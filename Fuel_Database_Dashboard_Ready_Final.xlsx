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1268b119c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l_Usage_Clean" sheetId="1" r:id="R760a14dbc0d7468e"/>
    <x:sheet xmlns:r="http://schemas.openxmlformats.org/officeDocument/2006/relationships" name="Master_Unit" sheetId="2" r:id="Re2c7ac364ec84ea6"/>
    <x:sheet xmlns:r="http://schemas.openxmlformats.org/officeDocument/2006/relationships" name="Master_Fuel_Consumption" sheetId="3" r:id="R50b2393115774178"/>
    <x:sheet xmlns:r="http://schemas.openxmlformats.org/officeDocument/2006/relationships" name="Data_Quality" sheetId="4" r:id="R17dbde4bc3924045"/>
    <x:sheet xmlns:r="http://schemas.openxmlformats.org/officeDocument/2006/relationships" name="Config_Status" sheetId="5" r:id="Rc254dd1f935e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.00"/>
    <x:numFmt numFmtId="202" formatCode="0.00"/>
    <x:numFmt numFmtId="203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C55A1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acd866dfb4a17" /><Relationship Type="http://schemas.openxmlformats.org/officeDocument/2006/relationships/theme" Target="/xl/theme/theme1.xml" Id="R067dd3c27da44a24" /><Relationship Type="http://schemas.openxmlformats.org/officeDocument/2006/relationships/sharedStrings" Target="/xl/sharedStrings.xml" Id="Ra76e251e6c334b51" /><Relationship Type="http://schemas.openxmlformats.org/officeDocument/2006/relationships/worksheet" Target="/xl/worksheets/sheet1.xml" Id="R760a14dbc0d7468e" /><Relationship Type="http://schemas.openxmlformats.org/officeDocument/2006/relationships/worksheet" Target="/xl/worksheets/sheet2.xml" Id="Re2c7ac364ec84ea6" /><Relationship Type="http://schemas.openxmlformats.org/officeDocument/2006/relationships/worksheet" Target="/xl/worksheets/sheet3.xml" Id="R50b2393115774178" /><Relationship Type="http://schemas.openxmlformats.org/officeDocument/2006/relationships/worksheet" Target="/xl/worksheets/sheet4.xml" Id="R17dbde4bc3924045" /><Relationship Type="http://schemas.openxmlformats.org/officeDocument/2006/relationships/worksheet" Target="/xl/worksheets/sheet5.xml" Id="Rc254dd1f935e449a" /></Relationships>
</file>

<file path=xl/tables/table1.xml><?xml version="1.0" encoding="utf-8"?>
<x:table xmlns:x="http://schemas.openxmlformats.org/spreadsheetml/2006/main" id="1" name="FuelUsageCleanTable" displayName="FuelUsageCleanTable" ref="A1:Z1379" headerRowCount="1" totalsRowCount="0" totalsRowShown="0">
  <x:tableColumns count="26">
    <x:tableColumn id="1" name="Transaction_ID"/>
    <x:tableColumn id="2" name="Source_Row"/>
    <x:tableColumn id="3" name="Date"/>
    <x:tableColumn id="4" name="Day"/>
    <x:tableColumn id="5" name="Time"/>
    <x:tableColumn id="6" name="Shift"/>
    <x:tableColumn id="7" name="Unit_Code"/>
    <x:tableColumn id="8" name="Category"/>
    <x:tableColumn id="9" name="Unit_Type"/>
    <x:tableColumn id="10" name="Fuel_Liter"/>
    <x:tableColumn id="11" name="Meter_Before"/>
    <x:tableColumn id="12" name="Meter_Current"/>
    <x:tableColumn id="13" name="Delta_HM_KM"/>
    <x:tableColumn id="14" name="Actual_L_per_HM_KM"/>
    <x:tableColumn id="15" name="Fuel_Truck"/>
    <x:tableColumn id="16" name="Mtech_Code"/>
    <x:tableColumn id="17" name="Model_Source"/>
    <x:tableColumn id="18" name="Application_Code"/>
    <x:tableColumn id="19" name="Brand_Code"/>
    <x:tableColumn id="20" name="Stock_Owner"/>
    <x:tableColumn id="21" name="Service_Project"/>
    <x:tableColumn id="22" name="Operator_Name"/>
    <x:tableColumn id="23" name="Operator_Code"/>
    <x:tableColumn id="24" name="Unit_Group_Code"/>
    <x:tableColumn id="25" name="Manpower"/>
    <x:tableColumn id="26" name="Unit_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UnitTable" displayName="MasterUnitTable" ref="A1:M78" headerRowCount="1" totalsRowCount="0" totalsRowShown="0">
  <x:tableColumns count="13">
    <x:tableColumn id="1" name="Unit_Code"/>
    <x:tableColumn id="2" name="Category"/>
    <x:tableColumn id="3" name="Unit_Type"/>
    <x:tableColumn id="4" name="Unit_Group_Code"/>
    <x:tableColumn id="5" name="Mtech_Code"/>
    <x:tableColumn id="6" name="Standard_Model"/>
    <x:tableColumn id="7" name="Standard_LHM"/>
    <x:tableColumn id="8" name="UOM"/>
    <x:tableColumn id="9" name="Transaction_Count"/>
    <x:tableColumn id="10" name="First_Seen"/>
    <x:tableColumn id="11" name="Last_Seen"/>
    <x:tableColumn id="12" name="Status"/>
    <x:tableColumn id="13" name="Standard_Mat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FuelConsumptionTable" displayName="MasterFuelConsumptionTable" ref="A1:G22" headerRowCount="1" totalsRowCount="0" totalsRowShown="0">
  <x:tableColumns count="7">
    <x:tableColumn id="1" name="Remark_Unit"/>
    <x:tableColumn id="2" name="Category"/>
    <x:tableColumn id="3" name="Unit_Model"/>
    <x:tableColumn id="4" name="Standard_LHM"/>
    <x:tableColumn id="5" name="UOM_Source"/>
    <x:tableColumn id="6" name="Source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0fe1f85b16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a3915be35b49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bbdc688f9745c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3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20" hidden="0" customWidth="1"/>
    <x:col min="31" max="31" width="16" hidden="0" customWidth="1"/>
  </x:cols>
  <x:sheetData>
    <x:row r="1">
      <x:c r="A1" s="6" t="str">
        <x:v>Transaction_ID</x:v>
      </x:c>
      <x:c r="B1" s="6" t="str">
        <x:v>Source_Row</x:v>
      </x:c>
      <x:c r="C1" s="6" t="str">
        <x:v>Date</x:v>
      </x:c>
      <x:c r="D1" s="6" t="str">
        <x:v>Day</x:v>
      </x:c>
      <x:c r="E1" s="6" t="str">
        <x:v>Time</x:v>
      </x:c>
      <x:c r="F1" s="6" t="str">
        <x:v>Shift</x:v>
      </x:c>
      <x:c r="G1" s="6" t="str">
        <x:v>Unit_Code</x:v>
      </x:c>
      <x:c r="H1" s="6" t="str">
        <x:v>Category</x:v>
      </x:c>
      <x:c r="I1" s="6" t="str">
        <x:v>Unit_Type</x:v>
      </x:c>
      <x:c r="J1" s="6" t="str">
        <x:v>Fuel_Liter</x:v>
      </x:c>
      <x:c r="K1" s="6" t="str">
        <x:v>Meter_Before</x:v>
      </x:c>
      <x:c r="L1" s="6" t="str">
        <x:v>Meter_Current</x:v>
      </x:c>
      <x:c r="M1" s="6" t="str">
        <x:v>Delta_HM_KM</x:v>
      </x:c>
      <x:c r="N1" s="6" t="str">
        <x:v>Actual_L_per_HM_KM</x:v>
      </x:c>
      <x:c r="O1" s="6" t="str">
        <x:v>Fuel_Truck</x:v>
      </x:c>
      <x:c r="P1" s="6" t="str">
        <x:v>Mtech_Code</x:v>
      </x:c>
      <x:c r="Q1" s="6" t="str">
        <x:v>Model_Source</x:v>
      </x:c>
      <x:c r="R1" s="6" t="str">
        <x:v>Application_Code</x:v>
      </x:c>
      <x:c r="S1" s="6" t="str">
        <x:v>Brand_Code</x:v>
      </x:c>
      <x:c r="T1" s="6" t="str">
        <x:v>Stock_Owner</x:v>
      </x:c>
      <x:c r="U1" s="6" t="str">
        <x:v>Service_Project</x:v>
      </x:c>
      <x:c r="V1" s="6" t="str">
        <x:v>Operator_Name</x:v>
      </x:c>
      <x:c r="W1" s="6" t="str">
        <x:v>Operator_Code</x:v>
      </x:c>
      <x:c r="X1" s="6" t="str">
        <x:v>Unit_Group_Code</x:v>
      </x:c>
      <x:c r="Y1" s="6" t="str">
        <x:v>Manpower</x:v>
      </x:c>
      <x:c r="Z1" s="6" t="str">
        <x:v>Unit_Position</x:v>
      </x:c>
      <x:c r="AA1" s="26" t="str">
        <x:v>Standard_LHM</x:v>
      </x:c>
      <x:c r="AB1" s="26" t="str">
        <x:v>Variance_LHM</x:v>
      </x:c>
      <x:c r="AC1" s="26" t="str">
        <x:v>Variance_Pct</x:v>
      </x:c>
      <x:c r="AD1" s="26" t="str">
        <x:v>Consumption_Status</x:v>
      </x:c>
      <x:c r="AE1" s="26" t="str">
        <x:v>Standard_Match</x:v>
      </x:c>
    </x:row>
    <x:row r="2">
      <x:c r="A2" s="12" t="str">
        <x:v>FU-20260601-00001</x:v>
      </x:c>
      <x:c r="B2" s="12" t="n">
        <x:v>131</x:v>
      </x:c>
      <x:c r="C2" s="14" t="n">
        <x:v>46174</x:v>
      </x:c>
      <x:c r="D2" s="12" t="str">
        <x:v>Senin</x:v>
      </x:c>
      <x:c r="E2" s="12" t="str">
        <x:v>07:09:00</x:v>
      </x:c>
      <x:c r="F2" s="12" t="str">
        <x:v>All Shift Day</x:v>
      </x:c>
      <x:c r="G2" s="12" t="str">
        <x:v>GSHT25G001</x:v>
      </x:c>
      <x:c r="H2" s="12" t="str">
        <x:v>Genset</x:v>
      </x:c>
      <x:c r="I2" s="12" t="str">
        <x:v>GENSET HARTECH HT-250-V</x:v>
      </x:c>
      <x:c r="J2" s="16" t="n">
        <x:v>450</x:v>
      </x:c>
      <x:c r="K2" s="16" t="n">
        <x:v>1730.15</x:v>
      </x:c>
      <x:c r="L2" s="16" t="n">
        <x:v>1754.15</x:v>
      </x:c>
      <x:c r="M2" s="16" t="n">
        <x:v>24</x:v>
      </x:c>
      <x:c r="N2" s="16" t="n">
        <x:v>18.75</x:v>
      </x:c>
      <x:c r="O2" s="12" t="str">
        <x:v>FTRL44G004</x:v>
      </x:c>
      <x:c r="P2" s="12" t="str">
        <x:v>GSHT25G001</x:v>
      </x:c>
      <x:c r="Q2" s="12" t="str"/>
      <x:c r="R2" s="12" t="str"/>
      <x:c r="S2" s="12" t="str"/>
      <x:c r="T2" s="12" t="str">
        <x:v>ABM</x:v>
      </x:c>
      <x:c r="U2" s="12" t="str"/>
      <x:c r="V2" s="12" t="str"/>
      <x:c r="W2" s="12" t="str"/>
      <x:c r="X2" s="12" t="str">
        <x:v>GSHT25</x:v>
      </x:c>
      <x:c r="Y2" s="12" t="str">
        <x:v>BADRI &amp; KAMRAN</x:v>
      </x:c>
      <x:c r="Z2" s="12" t="str"/>
      <x:c r="AA2" s="32" t="n">
        <x:f>IFERROR(VLOOKUP(G2,Master_Unit!$A$2:$N$78,7,FALSE),"")</x:f>
        <x:v>15</x:v>
      </x:c>
      <x:c r="AB2" s="32" t="n">
        <x:f>IF(OR(N2="",AA2=""),"",N2-AA2)</x:f>
        <x:v>3.75</x:v>
      </x:c>
      <x:c r="AC2" s="20" t="n">
        <x:f>IF(OR(N2="",AA2="",AA2=0),"",AB2/AA2)</x:f>
        <x:v>0.25</x:v>
      </x:c>
      <x:c r="AD2" t="str">
        <x:f>IF(AA2="","NO STANDARD",IF(AC2&lt;=Config_Status!$B$2,"EFFICIENT",IF(AC2&lt;=Config_Status!$B$3,"NORMAL",IF(AC2&lt;=Config_Status!$B$4,"WARNING","OVER CONSUMPTION"))))</x:f>
        <x:v>OVER CONSUMPTION</x:v>
      </x:c>
      <x:c r="AE2" t="str">
        <x:f>IFERROR(VLOOKUP(G2,Master_Unit!$A$2:$N$78,13,FALSE),"UNIT NOT FOUND")</x:f>
        <x:v>Matched</x:v>
      </x:c>
    </x:row>
    <x:row r="3">
      <x:c r="A3" s="12" t="str">
        <x:v>FU-20260601-00002</x:v>
      </x:c>
      <x:c r="B3" s="12" t="n">
        <x:v>132</x:v>
      </x:c>
      <x:c r="C3" s="14" t="n">
        <x:v>46174</x:v>
      </x:c>
      <x:c r="D3" s="12" t="str">
        <x:v>Senin</x:v>
      </x:c>
      <x:c r="E3" s="12" t="str">
        <x:v>07:14:00</x:v>
      </x:c>
      <x:c r="F3" s="12" t="str">
        <x:v>All Shift Day</x:v>
      </x:c>
      <x:c r="G3" s="12" t="str">
        <x:v>FTRL44G004</x:v>
      </x:c>
      <x:c r="H3" s="12" t="str">
        <x:v>Fuel Truck</x:v>
      </x:c>
      <x:c r="I3" s="12" t="str">
        <x:v>FUEL TRUCK RENAULT KRANGE440-P6X4 A/T</x:v>
      </x:c>
      <x:c r="J3" s="16" t="n">
        <x:v>80</x:v>
      </x:c>
      <x:c r="K3" s="16" t="n">
        <x:v>3800</x:v>
      </x:c>
      <x:c r="L3" s="16" t="n">
        <x:v>3810</x:v>
      </x:c>
      <x:c r="M3" s="16" t="n">
        <x:v>10</x:v>
      </x:c>
      <x:c r="N3" s="16" t="n">
        <x:v>8</x:v>
      </x:c>
      <x:c r="O3" s="12" t="str">
        <x:v>FTRL44G004</x:v>
      </x:c>
      <x:c r="P3" s="12" t="str">
        <x:v>FTRL44G004</x:v>
      </x:c>
      <x:c r="Q3" s="12" t="str"/>
      <x:c r="R3" s="12" t="str"/>
      <x:c r="S3" s="12" t="str"/>
      <x:c r="T3" s="12" t="str">
        <x:v>ABM</x:v>
      </x:c>
      <x:c r="U3" s="12" t="str"/>
      <x:c r="V3" s="12" t="str"/>
      <x:c r="W3" s="12" t="str"/>
      <x:c r="X3" s="12" t="str">
        <x:v>FTRL44</x:v>
      </x:c>
      <x:c r="Y3" s="12" t="str">
        <x:v>BADRI &amp; KAMRAN</x:v>
      </x:c>
      <x:c r="Z3" s="12" t="str"/>
      <x:c r="AA3" s="32" t="n">
        <x:f>IFERROR(VLOOKUP(G3,Master_Unit!$A$2:$N$78,7,FALSE),"")</x:f>
        <x:v>13</x:v>
      </x:c>
      <x:c r="AB3" s="32" t="n">
        <x:f>IF(OR(N3="",AA3=""),"",N3-AA3)</x:f>
        <x:v>-5</x:v>
      </x:c>
      <x:c r="AC3" s="20" t="n">
        <x:f>IF(OR(N3="",AA3="",AA3=0),"",AB3/AA3)</x:f>
        <x:v>-0.38461538461538464</x:v>
      </x:c>
      <x:c r="AD3" t="str">
        <x:f>IF(AA3="","NO STANDARD",IF(AC3&lt;=Config_Status!$B$2,"EFFICIENT",IF(AC3&lt;=Config_Status!$B$3,"NORMAL",IF(AC3&lt;=Config_Status!$B$4,"WARNING","OVER CONSUMPTION"))))</x:f>
        <x:v>EFFICIENT</x:v>
      </x:c>
      <x:c r="AE3" t="str">
        <x:f>IFERROR(VLOOKUP(G3,Master_Unit!$A$2:$N$78,13,FALSE),"UNIT NOT FOUND")</x:f>
        <x:v>Matched</x:v>
      </x:c>
    </x:row>
    <x:row r="4">
      <x:c r="A4" s="12" t="str">
        <x:v>FU-20260601-00003</x:v>
      </x:c>
      <x:c r="B4" s="12" t="n">
        <x:v>133</x:v>
      </x:c>
      <x:c r="C4" s="14" t="n">
        <x:v>46174</x:v>
      </x:c>
      <x:c r="D4" s="12" t="str">
        <x:v>Senin</x:v>
      </x:c>
      <x:c r="E4" s="12" t="str">
        <x:v>07:26:00</x:v>
      </x:c>
      <x:c r="F4" s="12" t="str">
        <x:v>All Shift Day</x:v>
      </x:c>
      <x:c r="G4" s="12" t="str">
        <x:v>EXVV35G002</x:v>
      </x:c>
      <x:c r="H4" s="12" t="str">
        <x:v>Excavator</x:v>
      </x:c>
      <x:c r="I4" s="12" t="str">
        <x:v>EXCAVATOR VOLVO EC350D</x:v>
      </x:c>
      <x:c r="J4" s="16" t="n">
        <x:v>220</x:v>
      </x:c>
      <x:c r="K4" s="16" t="n">
        <x:v>4897.8</x:v>
      </x:c>
      <x:c r="L4" s="16" t="n">
        <x:v>4901.8</x:v>
      </x:c>
      <x:c r="M4" s="16" t="n">
        <x:v>4</x:v>
      </x:c>
      <x:c r="N4" s="16" t="n">
        <x:v>55</x:v>
      </x:c>
      <x:c r="O4" s="12" t="str">
        <x:v>FTRL44G004</x:v>
      </x:c>
      <x:c r="P4" s="12" t="str">
        <x:v>EXVV35G002</x:v>
      </x:c>
      <x:c r="Q4" s="12" t="str"/>
      <x:c r="R4" s="12" t="str"/>
      <x:c r="S4" s="12" t="str"/>
      <x:c r="T4" s="12" t="str">
        <x:v>ABM</x:v>
      </x:c>
      <x:c r="U4" s="12" t="str"/>
      <x:c r="V4" s="12" t="str"/>
      <x:c r="W4" s="12" t="str"/>
      <x:c r="X4" s="12" t="str">
        <x:v>EXVV35</x:v>
      </x:c>
      <x:c r="Y4" s="12" t="str">
        <x:v>BADRI &amp; KAMRAN</x:v>
      </x:c>
      <x:c r="Z4" s="12" t="str"/>
      <x:c r="AA4" s="32" t="n">
        <x:f>IFERROR(VLOOKUP(G4,Master_Unit!$A$2:$N$78,7,FALSE),"")</x:f>
        <x:v>25</x:v>
      </x:c>
      <x:c r="AB4" s="32" t="n">
        <x:f>IF(OR(N4="",AA4=""),"",N4-AA4)</x:f>
        <x:v>30</x:v>
      </x:c>
      <x:c r="AC4" s="20" t="n">
        <x:f>IF(OR(N4="",AA4="",AA4=0),"",AB4/AA4)</x:f>
        <x:v>1.2</x:v>
      </x:c>
      <x:c r="AD4" t="str">
        <x:f>IF(AA4="","NO STANDARD",IF(AC4&lt;=Config_Status!$B$2,"EFFICIENT",IF(AC4&lt;=Config_Status!$B$3,"NORMAL",IF(AC4&lt;=Config_Status!$B$4,"WARNING","OVER CONSUMPTION"))))</x:f>
        <x:v>OVER CONSUMPTION</x:v>
      </x:c>
      <x:c r="AE4" t="str">
        <x:f>IFERROR(VLOOKUP(G4,Master_Unit!$A$2:$N$78,13,FALSE),"UNIT NOT FOUND")</x:f>
        <x:v>Matched</x:v>
      </x:c>
    </x:row>
    <x:row r="5">
      <x:c r="A5" s="12" t="str">
        <x:v>FU-20260601-00004</x:v>
      </x:c>
      <x:c r="B5" s="12" t="n">
        <x:v>134</x:v>
      </x:c>
      <x:c r="C5" s="14" t="n">
        <x:v>46174</x:v>
      </x:c>
      <x:c r="D5" s="12" t="str">
        <x:v>Senin</x:v>
      </x:c>
      <x:c r="E5" s="12" t="str">
        <x:v>07:38:00</x:v>
      </x:c>
      <x:c r="F5" s="12" t="str">
        <x:v>All Shift Day</x:v>
      </x:c>
      <x:c r="G5" s="12" t="str">
        <x:v>EXVV35G006</x:v>
      </x:c>
      <x:c r="H5" s="12" t="str">
        <x:v>Excavator</x:v>
      </x:c>
      <x:c r="I5" s="12" t="str">
        <x:v>EXCAVATOR VOLVO EC350D</x:v>
      </x:c>
      <x:c r="J5" s="16" t="n">
        <x:v>220</x:v>
      </x:c>
      <x:c r="K5" s="16" t="n">
        <x:v>3044</x:v>
      </x:c>
      <x:c r="L5" s="16" t="n">
        <x:v>3051</x:v>
      </x:c>
      <x:c r="M5" s="16" t="n">
        <x:v>7</x:v>
      </x:c>
      <x:c r="N5" s="16" t="n">
        <x:v>31.428571428571427</x:v>
      </x:c>
      <x:c r="O5" s="12" t="str">
        <x:v>FTRL44G004</x:v>
      </x:c>
      <x:c r="P5" s="12" t="str">
        <x:v>EXVV35G006</x:v>
      </x:c>
      <x:c r="Q5" s="12" t="str"/>
      <x:c r="R5" s="12" t="str"/>
      <x:c r="S5" s="12" t="str"/>
      <x:c r="T5" s="12" t="str">
        <x:v>ABM</x:v>
      </x:c>
      <x:c r="U5" s="12" t="str"/>
      <x:c r="V5" s="12" t="str"/>
      <x:c r="W5" s="12" t="str"/>
      <x:c r="X5" s="12" t="str">
        <x:v>EXVV35</x:v>
      </x:c>
      <x:c r="Y5" s="12" t="str">
        <x:v>BADRI &amp; KAMRAN</x:v>
      </x:c>
      <x:c r="Z5" s="12" t="str"/>
      <x:c r="AA5" s="32" t="n">
        <x:f>IFERROR(VLOOKUP(G5,Master_Unit!$A$2:$N$78,7,FALSE),"")</x:f>
        <x:v>25</x:v>
      </x:c>
      <x:c r="AB5" s="32" t="n">
        <x:f>IF(OR(N5="",AA5=""),"",N5-AA5)</x:f>
        <x:v>6.428571428571427</x:v>
      </x:c>
      <x:c r="AC5" s="20" t="n">
        <x:f>IF(OR(N5="",AA5="",AA5=0),"",AB5/AA5)</x:f>
        <x:v>0.25714285714285706</x:v>
      </x:c>
      <x:c r="AD5" t="str">
        <x:f>IF(AA5="","NO STANDARD",IF(AC5&lt;=Config_Status!$B$2,"EFFICIENT",IF(AC5&lt;=Config_Status!$B$3,"NORMAL",IF(AC5&lt;=Config_Status!$B$4,"WARNING","OVER CONSUMPTION"))))</x:f>
        <x:v>OVER CONSUMPTION</x:v>
      </x:c>
      <x:c r="AE5" t="str">
        <x:f>IFERROR(VLOOKUP(G5,Master_Unit!$A$2:$N$78,13,FALSE),"UNIT NOT FOUND")</x:f>
        <x:v>Matched</x:v>
      </x:c>
    </x:row>
    <x:row r="6">
      <x:c r="A6" s="12" t="str">
        <x:v>FU-20260601-00005</x:v>
      </x:c>
      <x:c r="B6" s="12" t="n">
        <x:v>135</x:v>
      </x:c>
      <x:c r="C6" s="14" t="n">
        <x:v>46174</x:v>
      </x:c>
      <x:c r="D6" s="12" t="str">
        <x:v>Senin</x:v>
      </x:c>
      <x:c r="E6" s="12" t="str">
        <x:v>07:44:00</x:v>
      </x:c>
      <x:c r="F6" s="12" t="str">
        <x:v>All Shift Day</x:v>
      </x:c>
      <x:c r="G6" s="12" t="str">
        <x:v>EXVV21G036</x:v>
      </x:c>
      <x:c r="H6" s="12" t="str">
        <x:v>Excavator</x:v>
      </x:c>
      <x:c r="I6" s="12" t="str">
        <x:v>EXCAVATOR VOLVO EC210D</x:v>
      </x:c>
      <x:c r="J6" s="16" t="n">
        <x:v>181</x:v>
      </x:c>
      <x:c r="K6" s="16" t="n">
        <x:v>7428.9</x:v>
      </x:c>
      <x:c r="L6" s="16" t="n">
        <x:v>7443.6</x:v>
      </x:c>
      <x:c r="M6" s="16" t="n">
        <x:v>14.700000000000728</x:v>
      </x:c>
      <x:c r="N6" s="16" t="n">
        <x:v>12.312925170067418</x:v>
      </x:c>
      <x:c r="O6" s="12" t="str">
        <x:v>FTRL44G004</x:v>
      </x:c>
      <x:c r="P6" s="12" t="str">
        <x:v>EXVV21G036</x:v>
      </x:c>
      <x:c r="Q6" s="12" t="str"/>
      <x:c r="R6" s="12" t="str"/>
      <x:c r="S6" s="12" t="str"/>
      <x:c r="T6" s="12" t="str">
        <x:v>ABM</x:v>
      </x:c>
      <x:c r="U6" s="12" t="str"/>
      <x:c r="V6" s="12" t="str"/>
      <x:c r="W6" s="12" t="str"/>
      <x:c r="X6" s="12" t="str">
        <x:v>EXVV21</x:v>
      </x:c>
      <x:c r="Y6" s="12" t="str">
        <x:v>BADRI &amp; KAMRAN</x:v>
      </x:c>
      <x:c r="Z6" s="12" t="str"/>
      <x:c r="AA6" s="32" t="n">
        <x:f>IFERROR(VLOOKUP(G6,Master_Unit!$A$2:$N$78,7,FALSE),"")</x:f>
        <x:v>20</x:v>
      </x:c>
      <x:c r="AB6" s="32" t="n">
        <x:f>IF(OR(N6="",AA6=""),"",N6-AA6)</x:f>
        <x:v>-7.687074829932582</x:v>
      </x:c>
      <x:c r="AC6" s="20" t="n">
        <x:f>IF(OR(N6="",AA6="",AA6=0),"",AB6/AA6)</x:f>
        <x:v>-0.3843537414966291</x:v>
      </x:c>
      <x:c r="AD6" t="str">
        <x:f>IF(AA6="","NO STANDARD",IF(AC6&lt;=Config_Status!$B$2,"EFFICIENT",IF(AC6&lt;=Config_Status!$B$3,"NORMAL",IF(AC6&lt;=Config_Status!$B$4,"WARNING","OVER CONSUMPTION"))))</x:f>
        <x:v>EFFICIENT</x:v>
      </x:c>
      <x:c r="AE6" t="str">
        <x:f>IFERROR(VLOOKUP(G6,Master_Unit!$A$2:$N$78,13,FALSE),"UNIT NOT FOUND")</x:f>
        <x:v>Matched</x:v>
      </x:c>
    </x:row>
    <x:row r="7">
      <x:c r="A7" s="12" t="str">
        <x:v>FU-20260601-00006</x:v>
      </x:c>
      <x:c r="B7" s="12" t="n">
        <x:v>136</x:v>
      </x:c>
      <x:c r="C7" s="14" t="n">
        <x:v>46174</x:v>
      </x:c>
      <x:c r="D7" s="12" t="str">
        <x:v>Senin</x:v>
      </x:c>
      <x:c r="E7" s="12" t="str">
        <x:v>08:25:00</x:v>
      </x:c>
      <x:c r="F7" s="12" t="str">
        <x:v>All Shift Day</x:v>
      </x:c>
      <x:c r="G7" s="12" t="str">
        <x:v>EXVV21G038</x:v>
      </x:c>
      <x:c r="H7" s="12" t="str">
        <x:v>Excavator</x:v>
      </x:c>
      <x:c r="I7" s="12" t="str">
        <x:v>EXCAVATOR VOLVO EC210D</x:v>
      </x:c>
      <x:c r="J7" s="16" t="n">
        <x:v>176</x:v>
      </x:c>
      <x:c r="K7" s="16" t="n">
        <x:v>4067.4</x:v>
      </x:c>
      <x:c r="L7" s="16" t="n">
        <x:v>4081.9</x:v>
      </x:c>
      <x:c r="M7" s="16" t="n">
        <x:v>14.5</x:v>
      </x:c>
      <x:c r="N7" s="16" t="n">
        <x:v>12.137931034482758</x:v>
      </x:c>
      <x:c r="O7" s="12" t="str">
        <x:v>FTRL44G004</x:v>
      </x:c>
      <x:c r="P7" s="12" t="str">
        <x:v>EXVV21G038</x:v>
      </x:c>
      <x:c r="Q7" s="12" t="str"/>
      <x:c r="R7" s="12" t="str"/>
      <x:c r="S7" s="12" t="str"/>
      <x:c r="T7" s="12" t="str">
        <x:v>ABM</x:v>
      </x:c>
      <x:c r="U7" s="12" t="str"/>
      <x:c r="V7" s="12" t="str"/>
      <x:c r="W7" s="12" t="str"/>
      <x:c r="X7" s="12" t="str">
        <x:v>EXVV21</x:v>
      </x:c>
      <x:c r="Y7" s="12" t="str">
        <x:v>BADRI &amp; KAMRAN</x:v>
      </x:c>
      <x:c r="Z7" s="12" t="str"/>
      <x:c r="AA7" s="32" t="n">
        <x:f>IFERROR(VLOOKUP(G7,Master_Unit!$A$2:$N$78,7,FALSE),"")</x:f>
        <x:v>20</x:v>
      </x:c>
      <x:c r="AB7" s="32" t="n">
        <x:f>IF(OR(N7="",AA7=""),"",N7-AA7)</x:f>
        <x:v>-7.862068965517242</x:v>
      </x:c>
      <x:c r="AC7" s="20" t="n">
        <x:f>IF(OR(N7="",AA7="",AA7=0),"",AB7/AA7)</x:f>
        <x:v>-0.3931034482758621</x:v>
      </x:c>
      <x:c r="AD7" t="str">
        <x:f>IF(AA7="","NO STANDARD",IF(AC7&lt;=Config_Status!$B$2,"EFFICIENT",IF(AC7&lt;=Config_Status!$B$3,"NORMAL",IF(AC7&lt;=Config_Status!$B$4,"WARNING","OVER CONSUMPTION"))))</x:f>
        <x:v>EFFICIENT</x:v>
      </x:c>
      <x:c r="AE7" t="str">
        <x:f>IFERROR(VLOOKUP(G7,Master_Unit!$A$2:$N$78,13,FALSE),"UNIT NOT FOUND")</x:f>
        <x:v>Matched</x:v>
      </x:c>
    </x:row>
    <x:row r="8">
      <x:c r="A8" s="12" t="str">
        <x:v>FU-20260601-00007</x:v>
      </x:c>
      <x:c r="B8" s="12" t="n">
        <x:v>137</x:v>
      </x:c>
      <x:c r="C8" s="14" t="n">
        <x:v>46174</x:v>
      </x:c>
      <x:c r="D8" s="12" t="str">
        <x:v>Senin</x:v>
      </x:c>
      <x:c r="E8" s="12" t="str">
        <x:v>08:38:00</x:v>
      </x:c>
      <x:c r="F8" s="12" t="str">
        <x:v>All Shift Day</x:v>
      </x:c>
      <x:c r="G8" s="12" t="str">
        <x:v>EXVV21G041</x:v>
      </x:c>
      <x:c r="H8" s="12" t="str">
        <x:v>Excavator</x:v>
      </x:c>
      <x:c r="I8" s="12" t="str">
        <x:v>EXCAVATOR VOLVO EC210D</x:v>
      </x:c>
      <x:c r="J8" s="16" t="n">
        <x:v>176</x:v>
      </x:c>
      <x:c r="K8" s="16" t="n">
        <x:v>4379.6</x:v>
      </x:c>
      <x:c r="L8" s="16" t="n">
        <x:v>4395.1</x:v>
      </x:c>
      <x:c r="M8" s="16" t="n">
        <x:v>15.5</x:v>
      </x:c>
      <x:c r="N8" s="16" t="n">
        <x:v>11.35483870967742</x:v>
      </x:c>
      <x:c r="O8" s="12" t="str">
        <x:v>FTRL44G004</x:v>
      </x:c>
      <x:c r="P8" s="12" t="str">
        <x:v>EXVV21G041</x:v>
      </x:c>
      <x:c r="Q8" s="12" t="str"/>
      <x:c r="R8" s="12" t="str"/>
      <x:c r="S8" s="12" t="str"/>
      <x:c r="T8" s="12" t="str">
        <x:v>ABM</x:v>
      </x:c>
      <x:c r="U8" s="12" t="str"/>
      <x:c r="V8" s="12" t="str"/>
      <x:c r="W8" s="12" t="str"/>
      <x:c r="X8" s="12" t="str">
        <x:v>EXVV21</x:v>
      </x:c>
      <x:c r="Y8" s="12" t="str">
        <x:v>BADRI &amp; KAMRAN</x:v>
      </x:c>
      <x:c r="Z8" s="12" t="str"/>
      <x:c r="AA8" s="32" t="n">
        <x:f>IFERROR(VLOOKUP(G8,Master_Unit!$A$2:$N$78,7,FALSE),"")</x:f>
        <x:v>20</x:v>
      </x:c>
      <x:c r="AB8" s="32" t="n">
        <x:f>IF(OR(N8="",AA8=""),"",N8-AA8)</x:f>
        <x:v>-8.64516129032258</x:v>
      </x:c>
      <x:c r="AC8" s="20" t="n">
        <x:f>IF(OR(N8="",AA8="",AA8=0),"",AB8/AA8)</x:f>
        <x:v>-0.432258064516129</x:v>
      </x:c>
      <x:c r="AD8" t="str">
        <x:f>IF(AA8="","NO STANDARD",IF(AC8&lt;=Config_Status!$B$2,"EFFICIENT",IF(AC8&lt;=Config_Status!$B$3,"NORMAL",IF(AC8&lt;=Config_Status!$B$4,"WARNING","OVER CONSUMPTION"))))</x:f>
        <x:v>EFFICIENT</x:v>
      </x:c>
      <x:c r="AE8" t="str">
        <x:f>IFERROR(VLOOKUP(G8,Master_Unit!$A$2:$N$78,13,FALSE),"UNIT NOT FOUND")</x:f>
        <x:v>Matched</x:v>
      </x:c>
    </x:row>
    <x:row r="9">
      <x:c r="A9" s="12" t="str">
        <x:v>FU-20260601-00008</x:v>
      </x:c>
      <x:c r="B9" s="12" t="n">
        <x:v>138</x:v>
      </x:c>
      <x:c r="C9" s="14" t="n">
        <x:v>46174</x:v>
      </x:c>
      <x:c r="D9" s="12" t="str">
        <x:v>Senin</x:v>
      </x:c>
      <x:c r="E9" s="12" t="str">
        <x:v>08:56:00</x:v>
      </x:c>
      <x:c r="F9" s="12" t="str">
        <x:v>All Shift Day</x:v>
      </x:c>
      <x:c r="G9" s="12" t="str">
        <x:v>STRL44G143</x:v>
      </x:c>
      <x:c r="H9" s="12" t="str">
        <x:v>Dump Truck</x:v>
      </x:c>
      <x:c r="I9" s="12" t="str">
        <x:v>DUMP TRUCK RENAULT KRANGE440-P6X4 A/T</x:v>
      </x:c>
      <x:c r="J9" s="16" t="n">
        <x:v>174</x:v>
      </x:c>
      <x:c r="K9" s="16" t="n">
        <x:v>5115</x:v>
      </x:c>
      <x:c r="L9" s="16" t="n">
        <x:v>5128</x:v>
      </x:c>
      <x:c r="M9" s="16" t="n">
        <x:v>13</x:v>
      </x:c>
      <x:c r="N9" s="16" t="n">
        <x:v>13.384615384615385</x:v>
      </x:c>
      <x:c r="O9" s="12" t="str">
        <x:v>FTRL44G004</x:v>
      </x:c>
      <x:c r="P9" s="12" t="str">
        <x:v>STRL44G143</x:v>
      </x:c>
      <x:c r="Q9" s="12" t="str"/>
      <x:c r="R9" s="12" t="str"/>
      <x:c r="S9" s="12" t="str"/>
      <x:c r="T9" s="12" t="str">
        <x:v>ABM</x:v>
      </x:c>
      <x:c r="U9" s="12" t="str"/>
      <x:c r="V9" s="12" t="str"/>
      <x:c r="W9" s="12" t="str"/>
      <x:c r="X9" s="12" t="str">
        <x:v>STRL44</x:v>
      </x:c>
      <x:c r="Y9" s="12" t="str">
        <x:v>BADRI &amp; KAMRAN</x:v>
      </x:c>
      <x:c r="Z9" s="12" t="str"/>
      <x:c r="AA9" s="32" t="n">
        <x:f>IFERROR(VLOOKUP(G9,Master_Unit!$A$2:$N$78,7,FALSE),"")</x:f>
        <x:v>20</x:v>
      </x:c>
      <x:c r="AB9" s="32" t="n">
        <x:f>IF(OR(N9="",AA9=""),"",N9-AA9)</x:f>
        <x:v>-6.615384615384615</x:v>
      </x:c>
      <x:c r="AC9" s="20" t="n">
        <x:f>IF(OR(N9="",AA9="",AA9=0),"",AB9/AA9)</x:f>
        <x:v>-0.33076923076923076</x:v>
      </x:c>
      <x:c r="AD9" t="str">
        <x:f>IF(AA9="","NO STANDARD",IF(AC9&lt;=Config_Status!$B$2,"EFFICIENT",IF(AC9&lt;=Config_Status!$B$3,"NORMAL",IF(AC9&lt;=Config_Status!$B$4,"WARNING","OVER CONSUMPTION"))))</x:f>
        <x:v>EFFICIENT</x:v>
      </x:c>
      <x:c r="AE9" t="str">
        <x:f>IFERROR(VLOOKUP(G9,Master_Unit!$A$2:$N$78,13,FALSE),"UNIT NOT FOUND")</x:f>
        <x:v>Matched</x:v>
      </x:c>
    </x:row>
    <x:row r="10">
      <x:c r="A10" s="12" t="str">
        <x:v>FU-20260601-00009</x:v>
      </x:c>
      <x:c r="B10" s="12" t="n">
        <x:v>139</x:v>
      </x:c>
      <x:c r="C10" s="14" t="n">
        <x:v>46174</x:v>
      </x:c>
      <x:c r="D10" s="12" t="str">
        <x:v>Senin</x:v>
      </x:c>
      <x:c r="E10" s="12" t="str">
        <x:v>09:00:00</x:v>
      </x:c>
      <x:c r="F10" s="12" t="str">
        <x:v>All Shift Day</x:v>
      </x:c>
      <x:c r="G10" s="12" t="str">
        <x:v>STRL44G147</x:v>
      </x:c>
      <x:c r="H10" s="12" t="str">
        <x:v>Dump Truck</x:v>
      </x:c>
      <x:c r="I10" s="12" t="str">
        <x:v>DUMP TRUCK RENAULT KRANGE440-P6X4 A/T</x:v>
      </x:c>
      <x:c r="J10" s="16" t="n">
        <x:v>150</x:v>
      </x:c>
      <x:c r="K10" s="16" t="n">
        <x:v>4904</x:v>
      </x:c>
      <x:c r="L10" s="16" t="n">
        <x:v>4914</x:v>
      </x:c>
      <x:c r="M10" s="16" t="n">
        <x:v>10</x:v>
      </x:c>
      <x:c r="N10" s="16" t="n">
        <x:v>15</x:v>
      </x:c>
      <x:c r="O10" s="12" t="str">
        <x:v>FTRL44G004</x:v>
      </x:c>
      <x:c r="P10" s="12" t="str">
        <x:v>STRL44G147</x:v>
      </x:c>
      <x:c r="Q10" s="12" t="str"/>
      <x:c r="R10" s="12" t="str"/>
      <x:c r="S10" s="12" t="str"/>
      <x:c r="T10" s="12" t="str">
        <x:v>ABM</x:v>
      </x:c>
      <x:c r="U10" s="12" t="str"/>
      <x:c r="V10" s="12" t="str"/>
      <x:c r="W10" s="12" t="str"/>
      <x:c r="X10" s="12" t="str">
        <x:v>STRL44</x:v>
      </x:c>
      <x:c r="Y10" s="12" t="str">
        <x:v>BADRI &amp; KAMRAN</x:v>
      </x:c>
      <x:c r="Z10" s="12" t="str"/>
      <x:c r="AA10" s="32" t="n">
        <x:f>IFERROR(VLOOKUP(G10,Master_Unit!$A$2:$N$78,7,FALSE),"")</x:f>
        <x:v>20</x:v>
      </x:c>
      <x:c r="AB10" s="32" t="n">
        <x:f>IF(OR(N10="",AA10=""),"",N10-AA10)</x:f>
        <x:v>-5</x:v>
      </x:c>
      <x:c r="AC10" s="20" t="n">
        <x:f>IF(OR(N10="",AA10="",AA10=0),"",AB10/AA10)</x:f>
        <x:v>-0.25</x:v>
      </x:c>
      <x:c r="AD10" t="str">
        <x:f>IF(AA10="","NO STANDARD",IF(AC10&lt;=Config_Status!$B$2,"EFFICIENT",IF(AC10&lt;=Config_Status!$B$3,"NORMAL",IF(AC10&lt;=Config_Status!$B$4,"WARNING","OVER CONSUMPTION"))))</x:f>
        <x:v>EFFICIENT</x:v>
      </x:c>
      <x:c r="AE10" t="str">
        <x:f>IFERROR(VLOOKUP(G10,Master_Unit!$A$2:$N$78,13,FALSE),"UNIT NOT FOUND")</x:f>
        <x:v>Matched</x:v>
      </x:c>
    </x:row>
    <x:row r="11">
      <x:c r="A11" s="12" t="str">
        <x:v>FU-20260601-00010</x:v>
      </x:c>
      <x:c r="B11" s="12" t="n">
        <x:v>140</x:v>
      </x:c>
      <x:c r="C11" s="14" t="n">
        <x:v>46174</x:v>
      </x:c>
      <x:c r="D11" s="12" t="str">
        <x:v>Senin</x:v>
      </x:c>
      <x:c r="E11" s="12" t="str">
        <x:v>09:05:00</x:v>
      </x:c>
      <x:c r="F11" s="12" t="str">
        <x:v>All Shift Day</x:v>
      </x:c>
      <x:c r="G11" s="12" t="str">
        <x:v>STRL44G151</x:v>
      </x:c>
      <x:c r="H11" s="12" t="str">
        <x:v>Dump Truck</x:v>
      </x:c>
      <x:c r="I11" s="12" t="str">
        <x:v>DUMP TRUCK RENAULT KRANGE440-P6X4 A/T</x:v>
      </x:c>
      <x:c r="J11" s="16" t="n">
        <x:v>176</x:v>
      </x:c>
      <x:c r="K11" s="16" t="n">
        <x:v>4280</x:v>
      </x:c>
      <x:c r="L11" s="16" t="n">
        <x:v>4290</x:v>
      </x:c>
      <x:c r="M11" s="16" t="n">
        <x:v>10</x:v>
      </x:c>
      <x:c r="N11" s="16" t="n">
        <x:v>17.6</x:v>
      </x:c>
      <x:c r="O11" s="12" t="str">
        <x:v>FTRL44G004</x:v>
      </x:c>
      <x:c r="P11" s="12" t="str">
        <x:v>STRL44G151</x:v>
      </x:c>
      <x:c r="Q11" s="12" t="str"/>
      <x:c r="R11" s="12" t="str"/>
      <x:c r="S11" s="12" t="str"/>
      <x:c r="T11" s="12" t="str">
        <x:v>ABM</x:v>
      </x:c>
      <x:c r="U11" s="12" t="str"/>
      <x:c r="V11" s="12" t="str"/>
      <x:c r="W11" s="12" t="str"/>
      <x:c r="X11" s="12" t="str">
        <x:v>STRL44</x:v>
      </x:c>
      <x:c r="Y11" s="12" t="str">
        <x:v>BADRI &amp; KAMRAN</x:v>
      </x:c>
      <x:c r="Z11" s="12" t="str"/>
      <x:c r="AA11" s="32" t="n">
        <x:f>IFERROR(VLOOKUP(G11,Master_Unit!$A$2:$N$78,7,FALSE),"")</x:f>
        <x:v>20</x:v>
      </x:c>
      <x:c r="AB11" s="32" t="n">
        <x:f>IF(OR(N11="",AA11=""),"",N11-AA11)</x:f>
        <x:v>-2.3999999999999986</x:v>
      </x:c>
      <x:c r="AC11" s="20" t="n">
        <x:f>IF(OR(N11="",AA11="",AA11=0),"",AB11/AA11)</x:f>
        <x:v>-0.11999999999999993</x:v>
      </x:c>
      <x:c r="AD11" t="str">
        <x:f>IF(AA11="","NO STANDARD",IF(AC11&lt;=Config_Status!$B$2,"EFFICIENT",IF(AC11&lt;=Config_Status!$B$3,"NORMAL",IF(AC11&lt;=Config_Status!$B$4,"WARNING","OVER CONSUMPTION"))))</x:f>
        <x:v>EFFICIENT</x:v>
      </x:c>
      <x:c r="AE11" t="str">
        <x:f>IFERROR(VLOOKUP(G11,Master_Unit!$A$2:$N$78,13,FALSE),"UNIT NOT FOUND")</x:f>
        <x:v>Matched</x:v>
      </x:c>
    </x:row>
    <x:row r="12">
      <x:c r="A12" s="12" t="str">
        <x:v>FU-20260601-00011</x:v>
      </x:c>
      <x:c r="B12" s="12" t="n">
        <x:v>141</x:v>
      </x:c>
      <x:c r="C12" s="14" t="n">
        <x:v>46174</x:v>
      </x:c>
      <x:c r="D12" s="12" t="str">
        <x:v>Senin</x:v>
      </x:c>
      <x:c r="E12" s="12" t="str">
        <x:v>09:09:00</x:v>
      </x:c>
      <x:c r="F12" s="12" t="str">
        <x:v>All Shift Day</x:v>
      </x:c>
      <x:c r="G12" s="12" t="str">
        <x:v>STRL44G140</x:v>
      </x:c>
      <x:c r="H12" s="12" t="str">
        <x:v>Dump Truck</x:v>
      </x:c>
      <x:c r="I12" s="12" t="str">
        <x:v>DUMP TRUCK RENAULT KRANGE440-P6X4 A/T</x:v>
      </x:c>
      <x:c r="J12" s="16" t="n">
        <x:v>176</x:v>
      </x:c>
      <x:c r="K12" s="16" t="n">
        <x:v>4984</x:v>
      </x:c>
      <x:c r="L12" s="16" t="n">
        <x:v>5000</x:v>
      </x:c>
      <x:c r="M12" s="16" t="n">
        <x:v>16</x:v>
      </x:c>
      <x:c r="N12" s="16" t="n">
        <x:v>11</x:v>
      </x:c>
      <x:c r="O12" s="12" t="str">
        <x:v>FTRL44G004</x:v>
      </x:c>
      <x:c r="P12" s="12" t="str">
        <x:v>STRL44G140</x:v>
      </x:c>
      <x:c r="Q12" s="12" t="str"/>
      <x:c r="R12" s="12" t="str"/>
      <x:c r="S12" s="12" t="str"/>
      <x:c r="T12" s="12" t="str">
        <x:v>ABM</x:v>
      </x:c>
      <x:c r="U12" s="12" t="str"/>
      <x:c r="V12" s="12" t="str"/>
      <x:c r="W12" s="12" t="str"/>
      <x:c r="X12" s="12" t="str">
        <x:v>STRL44</x:v>
      </x:c>
      <x:c r="Y12" s="12" t="str">
        <x:v>BADRI &amp; KAMRAN</x:v>
      </x:c>
      <x:c r="Z12" s="12" t="str"/>
      <x:c r="AA12" s="32" t="n">
        <x:f>IFERROR(VLOOKUP(G12,Master_Unit!$A$2:$N$78,7,FALSE),"")</x:f>
        <x:v>20</x:v>
      </x:c>
      <x:c r="AB12" s="32" t="n">
        <x:f>IF(OR(N12="",AA12=""),"",N12-AA12)</x:f>
        <x:v>-9</x:v>
      </x:c>
      <x:c r="AC12" s="20" t="n">
        <x:f>IF(OR(N12="",AA12="",AA12=0),"",AB12/AA12)</x:f>
        <x:v>-0.45</x:v>
      </x:c>
      <x:c r="AD12" t="str">
        <x:f>IF(AA12="","NO STANDARD",IF(AC12&lt;=Config_Status!$B$2,"EFFICIENT",IF(AC12&lt;=Config_Status!$B$3,"NORMAL",IF(AC12&lt;=Config_Status!$B$4,"WARNING","OVER CONSUMPTION"))))</x:f>
        <x:v>EFFICIENT</x:v>
      </x:c>
      <x:c r="AE12" t="str">
        <x:f>IFERROR(VLOOKUP(G12,Master_Unit!$A$2:$N$78,13,FALSE),"UNIT NOT FOUND")</x:f>
        <x:v>Matched</x:v>
      </x:c>
    </x:row>
    <x:row r="13">
      <x:c r="A13" s="12" t="str">
        <x:v>FU-20260601-00012</x:v>
      </x:c>
      <x:c r="B13" s="12" t="n">
        <x:v>142</x:v>
      </x:c>
      <x:c r="C13" s="14" t="n">
        <x:v>46174</x:v>
      </x:c>
      <x:c r="D13" s="12" t="str">
        <x:v>Senin</x:v>
      </x:c>
      <x:c r="E13" s="12" t="str">
        <x:v>09:12:00</x:v>
      </x:c>
      <x:c r="F13" s="12" t="str">
        <x:v>All Shift Day</x:v>
      </x:c>
      <x:c r="G13" s="12" t="str">
        <x:v>LVTH24R026</x:v>
      </x:c>
      <x:c r="H13" s="12" t="str">
        <x:v>Light Vehicle</x:v>
      </x:c>
      <x:c r="I13" s="12" t="str">
        <x:v>LIGHT VEHICLE TOYOTA HILUX</x:v>
      </x:c>
      <x:c r="J13" s="16" t="n">
        <x:v>20</x:v>
      </x:c>
      <x:c r="K13" s="16" t="n">
        <x:v>58294</x:v>
      </x:c>
      <x:c r="L13" s="16" t="n">
        <x:v>58403</x:v>
      </x:c>
      <x:c r="M13" s="16" t="n">
        <x:v>109</x:v>
      </x:c>
      <x:c r="N13" s="16" t="n">
        <x:v>0.1834862385321101</x:v>
      </x:c>
      <x:c r="O13" s="12" t="str">
        <x:v>FTRL44G004</x:v>
      </x:c>
      <x:c r="P13" s="12" t="str">
        <x:v>LVTH24R026</x:v>
      </x:c>
      <x:c r="Q13" s="12" t="str"/>
      <x:c r="R13" s="12" t="str"/>
      <x:c r="S13" s="12" t="str"/>
      <x:c r="T13" s="12" t="str">
        <x:v>ABM</x:v>
      </x:c>
      <x:c r="U13" s="12" t="str"/>
      <x:c r="V13" s="12" t="str"/>
      <x:c r="W13" s="12" t="str"/>
      <x:c r="X13" s="12" t="str">
        <x:v>LVTH24</x:v>
      </x:c>
      <x:c r="Y13" s="12" t="str">
        <x:v>BADRI &amp; KAMRAN</x:v>
      </x:c>
      <x:c r="Z13" s="12" t="str"/>
      <x:c r="AA13" s="32" t="n">
        <x:f>IFERROR(VLOOKUP(G13,Master_Unit!$A$2:$N$78,7,FALSE),"")</x:f>
        <x:v>0.2</x:v>
      </x:c>
      <x:c r="AB13" s="32" t="n">
        <x:f>IF(OR(N13="",AA13=""),"",N13-AA13)</x:f>
        <x:v>-0.01651376146788991</x:v>
      </x:c>
      <x:c r="AC13" s="20" t="n">
        <x:f>IF(OR(N13="",AA13="",AA13=0),"",AB13/AA13)</x:f>
        <x:v>-0.08256880733944955</x:v>
      </x:c>
      <x:c r="AD13" t="str">
        <x:f>IF(AA13="","NO STANDARD",IF(AC13&lt;=Config_Status!$B$2,"EFFICIENT",IF(AC13&lt;=Config_Status!$B$3,"NORMAL",IF(AC13&lt;=Config_Status!$B$4,"WARNING","OVER CONSUMPTION"))))</x:f>
        <x:v>NORMAL</x:v>
      </x:c>
      <x:c r="AE13" t="str">
        <x:f>IFERROR(VLOOKUP(G13,Master_Unit!$A$2:$N$78,13,FALSE),"UNIT NOT FOUND")</x:f>
        <x:v>Matched</x:v>
      </x:c>
    </x:row>
    <x:row r="14">
      <x:c r="A14" s="12" t="str">
        <x:v>FU-20260601-00013</x:v>
      </x:c>
      <x:c r="B14" s="12" t="n">
        <x:v>143</x:v>
      </x:c>
      <x:c r="C14" s="14" t="n">
        <x:v>46174</x:v>
      </x:c>
      <x:c r="D14" s="12" t="str">
        <x:v>Senin</x:v>
      </x:c>
      <x:c r="E14" s="12" t="str">
        <x:v>09:18:00</x:v>
      </x:c>
      <x:c r="F14" s="12" t="str">
        <x:v>All Shift Day</x:v>
      </x:c>
      <x:c r="G14" s="12" t="str">
        <x:v>STRL44G149</x:v>
      </x:c>
      <x:c r="H14" s="12" t="str">
        <x:v>Dump Truck</x:v>
      </x:c>
      <x:c r="I14" s="12" t="str">
        <x:v>DUMP TRUCK RENAULT KRANGE440-P6X4 A/T</x:v>
      </x:c>
      <x:c r="J14" s="16" t="n">
        <x:v>176</x:v>
      </x:c>
      <x:c r="K14" s="16" t="n">
        <x:v>4179</x:v>
      </x:c>
      <x:c r="L14" s="16" t="n">
        <x:v>4190</x:v>
      </x:c>
      <x:c r="M14" s="16" t="n">
        <x:v>11</x:v>
      </x:c>
      <x:c r="N14" s="16" t="n">
        <x:v>16</x:v>
      </x:c>
      <x:c r="O14" s="12" t="str">
        <x:v>FTRL44G004</x:v>
      </x:c>
      <x:c r="P14" s="12" t="str">
        <x:v>STRL44G149</x:v>
      </x:c>
      <x:c r="Q14" s="12" t="str"/>
      <x:c r="R14" s="12" t="str"/>
      <x:c r="S14" s="12" t="str"/>
      <x:c r="T14" s="12" t="str">
        <x:v>ABM</x:v>
      </x:c>
      <x:c r="U14" s="12" t="str"/>
      <x:c r="V14" s="12" t="str"/>
      <x:c r="W14" s="12" t="str"/>
      <x:c r="X14" s="12" t="str">
        <x:v>STRL44</x:v>
      </x:c>
      <x:c r="Y14" s="12" t="str">
        <x:v>BADRI &amp; KAMRAN</x:v>
      </x:c>
      <x:c r="Z14" s="12" t="str"/>
      <x:c r="AA14" s="32" t="n">
        <x:f>IFERROR(VLOOKUP(G14,Master_Unit!$A$2:$N$78,7,FALSE),"")</x:f>
        <x:v>20</x:v>
      </x:c>
      <x:c r="AB14" s="32" t="n">
        <x:f>IF(OR(N14="",AA14=""),"",N14-AA14)</x:f>
        <x:v>-4</x:v>
      </x:c>
      <x:c r="AC14" s="20" t="n">
        <x:f>IF(OR(N14="",AA14="",AA14=0),"",AB14/AA14)</x:f>
        <x:v>-0.2</x:v>
      </x:c>
      <x:c r="AD14" t="str">
        <x:f>IF(AA14="","NO STANDARD",IF(AC14&lt;=Config_Status!$B$2,"EFFICIENT",IF(AC14&lt;=Config_Status!$B$3,"NORMAL",IF(AC14&lt;=Config_Status!$B$4,"WARNING","OVER CONSUMPTION"))))</x:f>
        <x:v>EFFICIENT</x:v>
      </x:c>
      <x:c r="AE14" t="str">
        <x:f>IFERROR(VLOOKUP(G14,Master_Unit!$A$2:$N$78,13,FALSE),"UNIT NOT FOUND")</x:f>
        <x:v>Matched</x:v>
      </x:c>
    </x:row>
    <x:row r="15">
      <x:c r="A15" s="12" t="str">
        <x:v>FU-20260601-00014</x:v>
      </x:c>
      <x:c r="B15" s="12" t="n">
        <x:v>144</x:v>
      </x:c>
      <x:c r="C15" s="14" t="n">
        <x:v>46174</x:v>
      </x:c>
      <x:c r="D15" s="12" t="str">
        <x:v>Senin</x:v>
      </x:c>
      <x:c r="E15" s="12" t="str">
        <x:v>09:23:00</x:v>
      </x:c>
      <x:c r="F15" s="12" t="str">
        <x:v>All Shift Day</x:v>
      </x:c>
      <x:c r="G15" s="12" t="str">
        <x:v>STRL44G138</x:v>
      </x:c>
      <x:c r="H15" s="12" t="str">
        <x:v>Dump Truck</x:v>
      </x:c>
      <x:c r="I15" s="12" t="str">
        <x:v>DUMP TRUCK RENAULT KRANGE440-P6X4 A/T</x:v>
      </x:c>
      <x:c r="J15" s="16" t="n">
        <x:v>145</x:v>
      </x:c>
      <x:c r="K15" s="16" t="n">
        <x:v>5192</x:v>
      </x:c>
      <x:c r="L15" s="16" t="n">
        <x:v>5201</x:v>
      </x:c>
      <x:c r="M15" s="16" t="n">
        <x:v>9</x:v>
      </x:c>
      <x:c r="N15" s="16" t="n">
        <x:v>16.11111111111111</x:v>
      </x:c>
      <x:c r="O15" s="12" t="str">
        <x:v>FTRL44G004</x:v>
      </x:c>
      <x:c r="P15" s="12" t="str">
        <x:v>STRL44G138</x:v>
      </x:c>
      <x:c r="Q15" s="12" t="str"/>
      <x:c r="R15" s="12" t="str"/>
      <x:c r="S15" s="12" t="str"/>
      <x:c r="T15" s="12" t="str">
        <x:v>ABM</x:v>
      </x:c>
      <x:c r="U15" s="12" t="str"/>
      <x:c r="V15" s="12" t="str"/>
      <x:c r="W15" s="12" t="str"/>
      <x:c r="X15" s="12" t="str">
        <x:v>STRL44</x:v>
      </x:c>
      <x:c r="Y15" s="12" t="str">
        <x:v>BADRI &amp; KAMRAN</x:v>
      </x:c>
      <x:c r="Z15" s="12" t="str"/>
      <x:c r="AA15" s="32" t="n">
        <x:f>IFERROR(VLOOKUP(G15,Master_Unit!$A$2:$N$78,7,FALSE),"")</x:f>
        <x:v>20</x:v>
      </x:c>
      <x:c r="AB15" s="32" t="n">
        <x:f>IF(OR(N15="",AA15=""),"",N15-AA15)</x:f>
        <x:v>-3.8888888888888893</x:v>
      </x:c>
      <x:c r="AC15" s="20" t="n">
        <x:f>IF(OR(N15="",AA15="",AA15=0),"",AB15/AA15)</x:f>
        <x:v>-0.19444444444444448</x:v>
      </x:c>
      <x:c r="AD15" t="str">
        <x:f>IF(AA15="","NO STANDARD",IF(AC15&lt;=Config_Status!$B$2,"EFFICIENT",IF(AC15&lt;=Config_Status!$B$3,"NORMAL",IF(AC15&lt;=Config_Status!$B$4,"WARNING","OVER CONSUMPTION"))))</x:f>
        <x:v>EFFICIENT</x:v>
      </x:c>
      <x:c r="AE15" t="str">
        <x:f>IFERROR(VLOOKUP(G15,Master_Unit!$A$2:$N$78,13,FALSE),"UNIT NOT FOUND")</x:f>
        <x:v>Matched</x:v>
      </x:c>
    </x:row>
    <x:row r="16">
      <x:c r="A16" s="12" t="str">
        <x:v>FU-20260601-00015</x:v>
      </x:c>
      <x:c r="B16" s="12" t="n">
        <x:v>145</x:v>
      </x:c>
      <x:c r="C16" s="14" t="n">
        <x:v>46174</x:v>
      </x:c>
      <x:c r="D16" s="12" t="str">
        <x:v>Senin</x:v>
      </x:c>
      <x:c r="E16" s="12" t="str">
        <x:v>09:27:00</x:v>
      </x:c>
      <x:c r="F16" s="12" t="str">
        <x:v>All Shift Day</x:v>
      </x:c>
      <x:c r="G16" s="12" t="str">
        <x:v>STRL44G154</x:v>
      </x:c>
      <x:c r="H16" s="12" t="str">
        <x:v>Dump Truck</x:v>
      </x:c>
      <x:c r="I16" s="12" t="str">
        <x:v>DUMP TRUCK RENAULT KRANGE440-P6X4 A/T</x:v>
      </x:c>
      <x:c r="J16" s="16" t="n">
        <x:v>176</x:v>
      </x:c>
      <x:c r="K16" s="16" t="n">
        <x:v>3976</x:v>
      </x:c>
      <x:c r="L16" s="16" t="n">
        <x:v>3986</x:v>
      </x:c>
      <x:c r="M16" s="16" t="n">
        <x:v>10</x:v>
      </x:c>
      <x:c r="N16" s="16" t="n">
        <x:v>17.6</x:v>
      </x:c>
      <x:c r="O16" s="12" t="str">
        <x:v>FTRL44G004</x:v>
      </x:c>
      <x:c r="P16" s="12" t="str">
        <x:v>STRL44G154</x:v>
      </x:c>
      <x:c r="Q16" s="12" t="str"/>
      <x:c r="R16" s="12" t="str"/>
      <x:c r="S16" s="12" t="str"/>
      <x:c r="T16" s="12" t="str">
        <x:v>ABM</x:v>
      </x:c>
      <x:c r="U16" s="12" t="str"/>
      <x:c r="V16" s="12" t="str"/>
      <x:c r="W16" s="12" t="str"/>
      <x:c r="X16" s="12" t="str">
        <x:v>STRL44</x:v>
      </x:c>
      <x:c r="Y16" s="12" t="str">
        <x:v>BADRI &amp; KAMRAN</x:v>
      </x:c>
      <x:c r="Z16" s="12" t="str"/>
      <x:c r="AA16" s="32" t="n">
        <x:f>IFERROR(VLOOKUP(G16,Master_Unit!$A$2:$N$78,7,FALSE),"")</x:f>
        <x:v>20</x:v>
      </x:c>
      <x:c r="AB16" s="32" t="n">
        <x:f>IF(OR(N16="",AA16=""),"",N16-AA16)</x:f>
        <x:v>-2.3999999999999986</x:v>
      </x:c>
      <x:c r="AC16" s="20" t="n">
        <x:f>IF(OR(N16="",AA16="",AA16=0),"",AB16/AA16)</x:f>
        <x:v>-0.11999999999999993</x:v>
      </x:c>
      <x:c r="AD16" t="str">
        <x:f>IF(AA16="","NO STANDARD",IF(AC16&lt;=Config_Status!$B$2,"EFFICIENT",IF(AC16&lt;=Config_Status!$B$3,"NORMAL",IF(AC16&lt;=Config_Status!$B$4,"WARNING","OVER CONSUMPTION"))))</x:f>
        <x:v>EFFICIENT</x:v>
      </x:c>
      <x:c r="AE16" t="str">
        <x:f>IFERROR(VLOOKUP(G16,Master_Unit!$A$2:$N$78,13,FALSE),"UNIT NOT FOUND")</x:f>
        <x:v>Matched</x:v>
      </x:c>
    </x:row>
    <x:row r="17">
      <x:c r="A17" s="12" t="str">
        <x:v>FU-20260601-00016</x:v>
      </x:c>
      <x:c r="B17" s="12" t="n">
        <x:v>146</x:v>
      </x:c>
      <x:c r="C17" s="14" t="n">
        <x:v>46174</x:v>
      </x:c>
      <x:c r="D17" s="12" t="str">
        <x:v>Senin</x:v>
      </x:c>
      <x:c r="E17" s="12" t="str">
        <x:v>09:31:00</x:v>
      </x:c>
      <x:c r="F17" s="12" t="str">
        <x:v>All Shift Day</x:v>
      </x:c>
      <x:c r="G17" s="12" t="str">
        <x:v>STRL44G144</x:v>
      </x:c>
      <x:c r="H17" s="12" t="str">
        <x:v>Dump Truck</x:v>
      </x:c>
      <x:c r="I17" s="12" t="str">
        <x:v>DUMP TRUCK RENAULT KRANGE440-P6X4 A/T</x:v>
      </x:c>
      <x:c r="J17" s="16" t="n">
        <x:v>176</x:v>
      </x:c>
      <x:c r="K17" s="16" t="n">
        <x:v>1424</x:v>
      </x:c>
      <x:c r="L17" s="16" t="n">
        <x:v>1434</x:v>
      </x:c>
      <x:c r="M17" s="16" t="n">
        <x:v>10</x:v>
      </x:c>
      <x:c r="N17" s="16" t="n">
        <x:v>17.6</x:v>
      </x:c>
      <x:c r="O17" s="12" t="str">
        <x:v>FTRL44G004</x:v>
      </x:c>
      <x:c r="P17" s="12" t="str">
        <x:v>STRL44G144</x:v>
      </x:c>
      <x:c r="Q17" s="12" t="str"/>
      <x:c r="R17" s="12" t="str"/>
      <x:c r="S17" s="12" t="str"/>
      <x:c r="T17" s="12" t="str">
        <x:v>ABM</x:v>
      </x:c>
      <x:c r="U17" s="12" t="str"/>
      <x:c r="V17" s="12" t="str"/>
      <x:c r="W17" s="12" t="str"/>
      <x:c r="X17" s="12" t="str">
        <x:v>STRL44</x:v>
      </x:c>
      <x:c r="Y17" s="12" t="str">
        <x:v>BADRI &amp; KAMRAN</x:v>
      </x:c>
      <x:c r="Z17" s="12" t="str"/>
      <x:c r="AA17" s="32" t="n">
        <x:f>IFERROR(VLOOKUP(G17,Master_Unit!$A$2:$N$78,7,FALSE),"")</x:f>
        <x:v>20</x:v>
      </x:c>
      <x:c r="AB17" s="32" t="n">
        <x:f>IF(OR(N17="",AA17=""),"",N17-AA17)</x:f>
        <x:v>-2.3999999999999986</x:v>
      </x:c>
      <x:c r="AC17" s="20" t="n">
        <x:f>IF(OR(N17="",AA17="",AA17=0),"",AB17/AA17)</x:f>
        <x:v>-0.11999999999999993</x:v>
      </x:c>
      <x:c r="AD17" t="str">
        <x:f>IF(AA17="","NO STANDARD",IF(AC17&lt;=Config_Status!$B$2,"EFFICIENT",IF(AC17&lt;=Config_Status!$B$3,"NORMAL",IF(AC17&lt;=Config_Status!$B$4,"WARNING","OVER CONSUMPTION"))))</x:f>
        <x:v>EFFICIENT</x:v>
      </x:c>
      <x:c r="AE17" t="str">
        <x:f>IFERROR(VLOOKUP(G17,Master_Unit!$A$2:$N$78,13,FALSE),"UNIT NOT FOUND")</x:f>
        <x:v>Matched</x:v>
      </x:c>
    </x:row>
    <x:row r="18">
      <x:c r="A18" s="12" t="str">
        <x:v>FU-20260601-00017</x:v>
      </x:c>
      <x:c r="B18" s="12" t="n">
        <x:v>147</x:v>
      </x:c>
      <x:c r="C18" s="14" t="n">
        <x:v>46174</x:v>
      </x:c>
      <x:c r="D18" s="12" t="str">
        <x:v>Senin</x:v>
      </x:c>
      <x:c r="E18" s="12" t="str">
        <x:v>09:34:00</x:v>
      </x:c>
      <x:c r="F18" s="12" t="str">
        <x:v>All Shift Day</x:v>
      </x:c>
      <x:c r="G18" s="12" t="str">
        <x:v>STRL44G153</x:v>
      </x:c>
      <x:c r="H18" s="12" t="str">
        <x:v>Dump Truck</x:v>
      </x:c>
      <x:c r="I18" s="12" t="str">
        <x:v>DUMP TRUCK RENAULT KRANGE440-P6X4 A/T</x:v>
      </x:c>
      <x:c r="J18" s="16" t="n">
        <x:v>176</x:v>
      </x:c>
      <x:c r="K18" s="16" t="n">
        <x:v>3876</x:v>
      </x:c>
      <x:c r="L18" s="16" t="n">
        <x:v>3887</x:v>
      </x:c>
      <x:c r="M18" s="16" t="n">
        <x:v>11</x:v>
      </x:c>
      <x:c r="N18" s="16" t="n">
        <x:v>16</x:v>
      </x:c>
      <x:c r="O18" s="12" t="str">
        <x:v>FTRL44G004</x:v>
      </x:c>
      <x:c r="P18" s="12" t="str">
        <x:v>STRL44G153</x:v>
      </x:c>
      <x:c r="Q18" s="12" t="str"/>
      <x:c r="R18" s="12" t="str"/>
      <x:c r="S18" s="12" t="str"/>
      <x:c r="T18" s="12" t="str">
        <x:v>ABM</x:v>
      </x:c>
      <x:c r="U18" s="12" t="str"/>
      <x:c r="V18" s="12" t="str"/>
      <x:c r="W18" s="12" t="str"/>
      <x:c r="X18" s="12" t="str">
        <x:v>STRL44</x:v>
      </x:c>
      <x:c r="Y18" s="12" t="str">
        <x:v>BADRI &amp; KAMRAN</x:v>
      </x:c>
      <x:c r="Z18" s="12" t="str"/>
      <x:c r="AA18" s="32" t="n">
        <x:f>IFERROR(VLOOKUP(G18,Master_Unit!$A$2:$N$78,7,FALSE),"")</x:f>
        <x:v>20</x:v>
      </x:c>
      <x:c r="AB18" s="32" t="n">
        <x:f>IF(OR(N18="",AA18=""),"",N18-AA18)</x:f>
        <x:v>-4</x:v>
      </x:c>
      <x:c r="AC18" s="20" t="n">
        <x:f>IF(OR(N18="",AA18="",AA18=0),"",AB18/AA18)</x:f>
        <x:v>-0.2</x:v>
      </x:c>
      <x:c r="AD18" t="str">
        <x:f>IF(AA18="","NO STANDARD",IF(AC18&lt;=Config_Status!$B$2,"EFFICIENT",IF(AC18&lt;=Config_Status!$B$3,"NORMAL",IF(AC18&lt;=Config_Status!$B$4,"WARNING","OVER CONSUMPTION"))))</x:f>
        <x:v>EFFICIENT</x:v>
      </x:c>
      <x:c r="AE18" t="str">
        <x:f>IFERROR(VLOOKUP(G18,Master_Unit!$A$2:$N$78,13,FALSE),"UNIT NOT FOUND")</x:f>
        <x:v>Matched</x:v>
      </x:c>
    </x:row>
    <x:row r="19">
      <x:c r="A19" s="12" t="str">
        <x:v>FU-20260601-00018</x:v>
      </x:c>
      <x:c r="B19" s="12" t="n">
        <x:v>148</x:v>
      </x:c>
      <x:c r="C19" s="14" t="n">
        <x:v>46174</x:v>
      </x:c>
      <x:c r="D19" s="12" t="str">
        <x:v>Senin</x:v>
      </x:c>
      <x:c r="E19" s="12" t="str">
        <x:v>09:46:00</x:v>
      </x:c>
      <x:c r="F19" s="12" t="str">
        <x:v>All Shift Day</x:v>
      </x:c>
      <x:c r="G19" s="12" t="str">
        <x:v>STRL44G146</x:v>
      </x:c>
      <x:c r="H19" s="12" t="str">
        <x:v>Dump Truck</x:v>
      </x:c>
      <x:c r="I19" s="12" t="str">
        <x:v>DUMP TRUCK RENAULT KRANGE440-P6X4 A/T</x:v>
      </x:c>
      <x:c r="J19" s="16" t="n">
        <x:v>160</x:v>
      </x:c>
      <x:c r="K19" s="16" t="n">
        <x:v>4837</x:v>
      </x:c>
      <x:c r="L19" s="16" t="n">
        <x:v>4847</x:v>
      </x:c>
      <x:c r="M19" s="16" t="n">
        <x:v>10</x:v>
      </x:c>
      <x:c r="N19" s="16" t="n">
        <x:v>16</x:v>
      </x:c>
      <x:c r="O19" s="12" t="str">
        <x:v>FTRL44G004</x:v>
      </x:c>
      <x:c r="P19" s="12" t="str">
        <x:v>STRL44G146</x:v>
      </x:c>
      <x:c r="Q19" s="12" t="str"/>
      <x:c r="R19" s="12" t="str"/>
      <x:c r="S19" s="12" t="str"/>
      <x:c r="T19" s="12" t="str">
        <x:v>ABM</x:v>
      </x:c>
      <x:c r="U19" s="12" t="str"/>
      <x:c r="V19" s="12" t="str"/>
      <x:c r="W19" s="12" t="str"/>
      <x:c r="X19" s="12" t="str">
        <x:v>STRL44</x:v>
      </x:c>
      <x:c r="Y19" s="12" t="str">
        <x:v>BADRI &amp; KAMRAN</x:v>
      </x:c>
      <x:c r="Z19" s="12" t="str"/>
      <x:c r="AA19" s="32" t="n">
        <x:f>IFERROR(VLOOKUP(G19,Master_Unit!$A$2:$N$78,7,FALSE),"")</x:f>
        <x:v>20</x:v>
      </x:c>
      <x:c r="AB19" s="32" t="n">
        <x:f>IF(OR(N19="",AA19=""),"",N19-AA19)</x:f>
        <x:v>-4</x:v>
      </x:c>
      <x:c r="AC19" s="20" t="n">
        <x:f>IF(OR(N19="",AA19="",AA19=0),"",AB19/AA19)</x:f>
        <x:v>-0.2</x:v>
      </x:c>
      <x:c r="AD19" t="str">
        <x:f>IF(AA19="","NO STANDARD",IF(AC19&lt;=Config_Status!$B$2,"EFFICIENT",IF(AC19&lt;=Config_Status!$B$3,"NORMAL",IF(AC19&lt;=Config_Status!$B$4,"WARNING","OVER CONSUMPTION"))))</x:f>
        <x:v>EFFICIENT</x:v>
      </x:c>
      <x:c r="AE19" t="str">
        <x:f>IFERROR(VLOOKUP(G19,Master_Unit!$A$2:$N$78,13,FALSE),"UNIT NOT FOUND")</x:f>
        <x:v>Matched</x:v>
      </x:c>
    </x:row>
    <x:row r="20">
      <x:c r="A20" s="12" t="str">
        <x:v>FU-20260601-00019</x:v>
      </x:c>
      <x:c r="B20" s="12" t="n">
        <x:v>149</x:v>
      </x:c>
      <x:c r="C20" s="14" t="n">
        <x:v>46174</x:v>
      </x:c>
      <x:c r="D20" s="12" t="str">
        <x:v>Senin</x:v>
      </x:c>
      <x:c r="E20" s="12" t="str">
        <x:v>09:52:00</x:v>
      </x:c>
      <x:c r="F20" s="12" t="str">
        <x:v>All Shift Day</x:v>
      </x:c>
      <x:c r="G20" s="12" t="str">
        <x:v>STRL44G142</x:v>
      </x:c>
      <x:c r="H20" s="12" t="str">
        <x:v>Dump Truck</x:v>
      </x:c>
      <x:c r="I20" s="12" t="str">
        <x:v>DUMP TRUCK RENAULT KRANGE440-P6X4 A/T</x:v>
      </x:c>
      <x:c r="J20" s="16" t="n">
        <x:v>160</x:v>
      </x:c>
      <x:c r="K20" s="16" t="n">
        <x:v>3226</x:v>
      </x:c>
      <x:c r="L20" s="16" t="n">
        <x:v>3235</x:v>
      </x:c>
      <x:c r="M20" s="16" t="n">
        <x:v>9</x:v>
      </x:c>
      <x:c r="N20" s="16" t="n">
        <x:v>17.77777777777778</x:v>
      </x:c>
      <x:c r="O20" s="12" t="str">
        <x:v>FTRL44G004</x:v>
      </x:c>
      <x:c r="P20" s="12" t="str">
        <x:v>STRL44G142</x:v>
      </x:c>
      <x:c r="Q20" s="12" t="str"/>
      <x:c r="R20" s="12" t="str"/>
      <x:c r="S20" s="12" t="str"/>
      <x:c r="T20" s="12" t="str">
        <x:v>ABM</x:v>
      </x:c>
      <x:c r="U20" s="12" t="str"/>
      <x:c r="V20" s="12" t="str"/>
      <x:c r="W20" s="12" t="str"/>
      <x:c r="X20" s="12" t="str">
        <x:v>STRL44</x:v>
      </x:c>
      <x:c r="Y20" s="12" t="str">
        <x:v>BADRI &amp; KAMRAN</x:v>
      </x:c>
      <x:c r="Z20" s="12" t="str"/>
      <x:c r="AA20" s="32" t="n">
        <x:f>IFERROR(VLOOKUP(G20,Master_Unit!$A$2:$N$78,7,FALSE),"")</x:f>
        <x:v>20</x:v>
      </x:c>
      <x:c r="AB20" s="32" t="n">
        <x:f>IF(OR(N20="",AA20=""),"",N20-AA20)</x:f>
        <x:v>-2.2222222222222214</x:v>
      </x:c>
      <x:c r="AC20" s="20" t="n">
        <x:f>IF(OR(N20="",AA20="",AA20=0),"",AB20/AA20)</x:f>
        <x:v>-0.11111111111111108</x:v>
      </x:c>
      <x:c r="AD20" t="str">
        <x:f>IF(AA20="","NO STANDARD",IF(AC20&lt;=Config_Status!$B$2,"EFFICIENT",IF(AC20&lt;=Config_Status!$B$3,"NORMAL",IF(AC20&lt;=Config_Status!$B$4,"WARNING","OVER CONSUMPTION"))))</x:f>
        <x:v>EFFICIENT</x:v>
      </x:c>
      <x:c r="AE20" t="str">
        <x:f>IFERROR(VLOOKUP(G20,Master_Unit!$A$2:$N$78,13,FALSE),"UNIT NOT FOUND")</x:f>
        <x:v>Matched</x:v>
      </x:c>
    </x:row>
    <x:row r="21">
      <x:c r="A21" s="12" t="str">
        <x:v>FU-20260601-00020</x:v>
      </x:c>
      <x:c r="B21" s="12" t="n">
        <x:v>150</x:v>
      </x:c>
      <x:c r="C21" s="14" t="n">
        <x:v>46174</x:v>
      </x:c>
      <x:c r="D21" s="12" t="str">
        <x:v>Senin</x:v>
      </x:c>
      <x:c r="E21" s="12" t="str">
        <x:v>09:56:00</x:v>
      </x:c>
      <x:c r="F21" s="12" t="str">
        <x:v>All Shift Day</x:v>
      </x:c>
      <x:c r="G21" s="12" t="str">
        <x:v>STRL44G152</x:v>
      </x:c>
      <x:c r="H21" s="12" t="str">
        <x:v>Dump Truck</x:v>
      </x:c>
      <x:c r="I21" s="12" t="str">
        <x:v>DUMP TRUCK RENAULT KRANGE440-P6X4 A/T</x:v>
      </x:c>
      <x:c r="J21" s="16" t="n">
        <x:v>160</x:v>
      </x:c>
      <x:c r="K21" s="16" t="n">
        <x:v>3585</x:v>
      </x:c>
      <x:c r="L21" s="16" t="n">
        <x:v>3594</x:v>
      </x:c>
      <x:c r="M21" s="16" t="n">
        <x:v>9</x:v>
      </x:c>
      <x:c r="N21" s="16" t="n">
        <x:v>17.77777777777778</x:v>
      </x:c>
      <x:c r="O21" s="12" t="str">
        <x:v>FTRL44G004</x:v>
      </x:c>
      <x:c r="P21" s="12" t="str">
        <x:v>STRL44G152</x:v>
      </x:c>
      <x:c r="Q21" s="12" t="str"/>
      <x:c r="R21" s="12" t="str"/>
      <x:c r="S21" s="12" t="str"/>
      <x:c r="T21" s="12" t="str">
        <x:v>ABM</x:v>
      </x:c>
      <x:c r="U21" s="12" t="str"/>
      <x:c r="V21" s="12" t="str"/>
      <x:c r="W21" s="12" t="str"/>
      <x:c r="X21" s="12" t="str">
        <x:v>STRL44</x:v>
      </x:c>
      <x:c r="Y21" s="12" t="str">
        <x:v>BADRI &amp; KAMRAN</x:v>
      </x:c>
      <x:c r="Z21" s="12" t="str"/>
      <x:c r="AA21" s="32" t="n">
        <x:f>IFERROR(VLOOKUP(G21,Master_Unit!$A$2:$N$78,7,FALSE),"")</x:f>
        <x:v>20</x:v>
      </x:c>
      <x:c r="AB21" s="32" t="n">
        <x:f>IF(OR(N21="",AA21=""),"",N21-AA21)</x:f>
        <x:v>-2.2222222222222214</x:v>
      </x:c>
      <x:c r="AC21" s="20" t="n">
        <x:f>IF(OR(N21="",AA21="",AA21=0),"",AB21/AA21)</x:f>
        <x:v>-0.11111111111111108</x:v>
      </x:c>
      <x:c r="AD21" t="str">
        <x:f>IF(AA21="","NO STANDARD",IF(AC21&lt;=Config_Status!$B$2,"EFFICIENT",IF(AC21&lt;=Config_Status!$B$3,"NORMAL",IF(AC21&lt;=Config_Status!$B$4,"WARNING","OVER CONSUMPTION"))))</x:f>
        <x:v>EFFICIENT</x:v>
      </x:c>
      <x:c r="AE21" t="str">
        <x:f>IFERROR(VLOOKUP(G21,Master_Unit!$A$2:$N$78,13,FALSE),"UNIT NOT FOUND")</x:f>
        <x:v>Matched</x:v>
      </x:c>
    </x:row>
    <x:row r="22">
      <x:c r="A22" s="12" t="str">
        <x:v>FU-20260601-00021</x:v>
      </x:c>
      <x:c r="B22" s="12" t="n">
        <x:v>151</x:v>
      </x:c>
      <x:c r="C22" s="14" t="n">
        <x:v>46174</x:v>
      </x:c>
      <x:c r="D22" s="12" t="str">
        <x:v>Senin</x:v>
      </x:c>
      <x:c r="E22" s="12" t="str">
        <x:v>09:59:00</x:v>
      </x:c>
      <x:c r="F22" s="12" t="str">
        <x:v>All Shift Day</x:v>
      </x:c>
      <x:c r="G22" s="12" t="str">
        <x:v>STRL44G157</x:v>
      </x:c>
      <x:c r="H22" s="12" t="str">
        <x:v>Dump Truck</x:v>
      </x:c>
      <x:c r="I22" s="12" t="str">
        <x:v>DUMP TRUCK RENAULT KRANGE440-P6X4 A/T</x:v>
      </x:c>
      <x:c r="J22" s="16" t="n">
        <x:v>124</x:v>
      </x:c>
      <x:c r="K22" s="16" t="n">
        <x:v>3955</x:v>
      </x:c>
      <x:c r="L22" s="16" t="n">
        <x:v>3962</x:v>
      </x:c>
      <x:c r="M22" s="16" t="n">
        <x:v>7</x:v>
      </x:c>
      <x:c r="N22" s="16" t="n">
        <x:v>17.714285714285715</x:v>
      </x:c>
      <x:c r="O22" s="12" t="str">
        <x:v>FTRL44G004</x:v>
      </x:c>
      <x:c r="P22" s="12" t="str">
        <x:v>STRL44G157</x:v>
      </x:c>
      <x:c r="Q22" s="12" t="str"/>
      <x:c r="R22" s="12" t="str"/>
      <x:c r="S22" s="12" t="str"/>
      <x:c r="T22" s="12" t="str">
        <x:v>ABM</x:v>
      </x:c>
      <x:c r="U22" s="12" t="str"/>
      <x:c r="V22" s="12" t="str"/>
      <x:c r="W22" s="12" t="str"/>
      <x:c r="X22" s="12" t="str">
        <x:v>STRL44</x:v>
      </x:c>
      <x:c r="Y22" s="12" t="str">
        <x:v>BADRI &amp; KAMRAN</x:v>
      </x:c>
      <x:c r="Z22" s="12" t="str"/>
      <x:c r="AA22" s="32" t="n">
        <x:f>IFERROR(VLOOKUP(G22,Master_Unit!$A$2:$N$78,7,FALSE),"")</x:f>
        <x:v>20</x:v>
      </x:c>
      <x:c r="AB22" s="32" t="n">
        <x:f>IF(OR(N22="",AA22=""),"",N22-AA22)</x:f>
        <x:v>-2.2857142857142847</x:v>
      </x:c>
      <x:c r="AC22" s="20" t="n">
        <x:f>IF(OR(N22="",AA22="",AA22=0),"",AB22/AA22)</x:f>
        <x:v>-0.11428571428571424</x:v>
      </x:c>
      <x:c r="AD22" t="str">
        <x:f>IF(AA22="","NO STANDARD",IF(AC22&lt;=Config_Status!$B$2,"EFFICIENT",IF(AC22&lt;=Config_Status!$B$3,"NORMAL",IF(AC22&lt;=Config_Status!$B$4,"WARNING","OVER CONSUMPTION"))))</x:f>
        <x:v>EFFICIENT</x:v>
      </x:c>
      <x:c r="AE22" t="str">
        <x:f>IFERROR(VLOOKUP(G22,Master_Unit!$A$2:$N$78,13,FALSE),"UNIT NOT FOUND")</x:f>
        <x:v>Matched</x:v>
      </x:c>
    </x:row>
    <x:row r="23">
      <x:c r="A23" s="12" t="str">
        <x:v>FU-20260601-00022</x:v>
      </x:c>
      <x:c r="B23" s="12" t="n">
        <x:v>152</x:v>
      </x:c>
      <x:c r="C23" s="14" t="n">
        <x:v>46174</x:v>
      </x:c>
      <x:c r="D23" s="12" t="str">
        <x:v>Senin</x:v>
      </x:c>
      <x:c r="E23" s="12" t="str">
        <x:v>10:20:00</x:v>
      </x:c>
      <x:c r="F23" s="12" t="str">
        <x:v>All Shift Day</x:v>
      </x:c>
      <x:c r="G23" s="12" t="str">
        <x:v>STRL44G145</x:v>
      </x:c>
      <x:c r="H23" s="12" t="str">
        <x:v>Dump Truck</x:v>
      </x:c>
      <x:c r="I23" s="12" t="str">
        <x:v>DUMP TRUCK RENAULT KRANGE440-P6X4 A/T</x:v>
      </x:c>
      <x:c r="J23" s="16" t="n">
        <x:v>176</x:v>
      </x:c>
      <x:c r="K23" s="16" t="n">
        <x:v>4829</x:v>
      </x:c>
      <x:c r="L23" s="16" t="n">
        <x:v>4840</x:v>
      </x:c>
      <x:c r="M23" s="16" t="n">
        <x:v>11</x:v>
      </x:c>
      <x:c r="N23" s="16" t="n">
        <x:v>16</x:v>
      </x:c>
      <x:c r="O23" s="12" t="str">
        <x:v>FTRL44G004</x:v>
      </x:c>
      <x:c r="P23" s="12" t="str">
        <x:v>STRL44G145</x:v>
      </x:c>
      <x:c r="Q23" s="12" t="str"/>
      <x:c r="R23" s="12" t="str"/>
      <x:c r="S23" s="12" t="str"/>
      <x:c r="T23" s="12" t="str">
        <x:v>ABM</x:v>
      </x:c>
      <x:c r="U23" s="12" t="str"/>
      <x:c r="V23" s="12" t="str"/>
      <x:c r="W23" s="12" t="str"/>
      <x:c r="X23" s="12" t="str">
        <x:v>STRL44</x:v>
      </x:c>
      <x:c r="Y23" s="12" t="str">
        <x:v>BADRI &amp; KAMRAN</x:v>
      </x:c>
      <x:c r="Z23" s="12" t="str"/>
      <x:c r="AA23" s="32" t="n">
        <x:f>IFERROR(VLOOKUP(G23,Master_Unit!$A$2:$N$78,7,FALSE),"")</x:f>
        <x:v>20</x:v>
      </x:c>
      <x:c r="AB23" s="32" t="n">
        <x:f>IF(OR(N23="",AA23=""),"",N23-AA23)</x:f>
        <x:v>-4</x:v>
      </x:c>
      <x:c r="AC23" s="20" t="n">
        <x:f>IF(OR(N23="",AA23="",AA23=0),"",AB23/AA23)</x:f>
        <x:v>-0.2</x:v>
      </x:c>
      <x:c r="AD23" t="str">
        <x:f>IF(AA23="","NO STANDARD",IF(AC23&lt;=Config_Status!$B$2,"EFFICIENT",IF(AC23&lt;=Config_Status!$B$3,"NORMAL",IF(AC23&lt;=Config_Status!$B$4,"WARNING","OVER CONSUMPTION"))))</x:f>
        <x:v>EFFICIENT</x:v>
      </x:c>
      <x:c r="AE23" t="str">
        <x:f>IFERROR(VLOOKUP(G23,Master_Unit!$A$2:$N$78,13,FALSE),"UNIT NOT FOUND")</x:f>
        <x:v>Matched</x:v>
      </x:c>
    </x:row>
    <x:row r="24">
      <x:c r="A24" s="12" t="str">
        <x:v>FU-20260601-00023</x:v>
      </x:c>
      <x:c r="B24" s="12" t="n">
        <x:v>153</x:v>
      </x:c>
      <x:c r="C24" s="14" t="n">
        <x:v>46174</x:v>
      </x:c>
      <x:c r="D24" s="12" t="str">
        <x:v>Senin</x:v>
      </x:c>
      <x:c r="E24" s="12" t="str">
        <x:v>10:24:00</x:v>
      </x:c>
      <x:c r="F24" s="12" t="str">
        <x:v>All Shift Day</x:v>
      </x:c>
      <x:c r="G24" s="12" t="str">
        <x:v>STRL44G156</x:v>
      </x:c>
      <x:c r="H24" s="12" t="str">
        <x:v>Dump Truck</x:v>
      </x:c>
      <x:c r="I24" s="12" t="str">
        <x:v>DUMP TRUCK RENAULT KRANGE440-P6X4 A/T</x:v>
      </x:c>
      <x:c r="J24" s="16" t="n">
        <x:v>163</x:v>
      </x:c>
      <x:c r="K24" s="16" t="n">
        <x:v>3657</x:v>
      </x:c>
      <x:c r="L24" s="16" t="n">
        <x:v>3666</x:v>
      </x:c>
      <x:c r="M24" s="16" t="n">
        <x:v>9</x:v>
      </x:c>
      <x:c r="N24" s="16" t="n">
        <x:v>18.11111111111111</x:v>
      </x:c>
      <x:c r="O24" s="12" t="str">
        <x:v>FTRL44G004</x:v>
      </x:c>
      <x:c r="P24" s="12" t="str">
        <x:v>STRL44G156</x:v>
      </x:c>
      <x:c r="Q24" s="12" t="str"/>
      <x:c r="R24" s="12" t="str"/>
      <x:c r="S24" s="12" t="str"/>
      <x:c r="T24" s="12" t="str">
        <x:v>ABM</x:v>
      </x:c>
      <x:c r="U24" s="12" t="str"/>
      <x:c r="V24" s="12" t="str"/>
      <x:c r="W24" s="12" t="str"/>
      <x:c r="X24" s="12" t="str">
        <x:v>STRL44</x:v>
      </x:c>
      <x:c r="Y24" s="12" t="str">
        <x:v>BADRI &amp; KAMRAN</x:v>
      </x:c>
      <x:c r="Z24" s="12" t="str"/>
      <x:c r="AA24" s="32" t="n">
        <x:f>IFERROR(VLOOKUP(G24,Master_Unit!$A$2:$N$78,7,FALSE),"")</x:f>
        <x:v>20</x:v>
      </x:c>
      <x:c r="AB24" s="32" t="n">
        <x:f>IF(OR(N24="",AA24=""),"",N24-AA24)</x:f>
        <x:v>-1.8888888888888893</x:v>
      </x:c>
      <x:c r="AC24" s="20" t="n">
        <x:f>IF(OR(N24="",AA24="",AA24=0),"",AB24/AA24)</x:f>
        <x:v>-0.09444444444444447</x:v>
      </x:c>
      <x:c r="AD24" t="str">
        <x:f>IF(AA24="","NO STANDARD",IF(AC24&lt;=Config_Status!$B$2,"EFFICIENT",IF(AC24&lt;=Config_Status!$B$3,"NORMAL",IF(AC24&lt;=Config_Status!$B$4,"WARNING","OVER CONSUMPTION"))))</x:f>
        <x:v>NORMAL</x:v>
      </x:c>
      <x:c r="AE24" t="str">
        <x:f>IFERROR(VLOOKUP(G24,Master_Unit!$A$2:$N$78,13,FALSE),"UNIT NOT FOUND")</x:f>
        <x:v>Matched</x:v>
      </x:c>
    </x:row>
    <x:row r="25">
      <x:c r="A25" s="12" t="str">
        <x:v>FU-20260601-00024</x:v>
      </x:c>
      <x:c r="B25" s="12" t="n">
        <x:v>154</x:v>
      </x:c>
      <x:c r="C25" s="14" t="n">
        <x:v>46174</x:v>
      </x:c>
      <x:c r="D25" s="12" t="str">
        <x:v>Senin</x:v>
      </x:c>
      <x:c r="E25" s="12" t="str">
        <x:v>10:33:00</x:v>
      </x:c>
      <x:c r="F25" s="12" t="str">
        <x:v>All Shift Day</x:v>
      </x:c>
      <x:c r="G25" s="12" t="str">
        <x:v>LVTH24R034</x:v>
      </x:c>
      <x:c r="H25" s="12" t="str">
        <x:v>Light Vehicle</x:v>
      </x:c>
      <x:c r="I25" s="12" t="str">
        <x:v>LIGHT VEHICLE TOYOTA HILUX</x:v>
      </x:c>
      <x:c r="J25" s="16" t="n">
        <x:v>30</x:v>
      </x:c>
      <x:c r="K25" s="16" t="n">
        <x:v>46804</x:v>
      </x:c>
      <x:c r="L25" s="16" t="n">
        <x:v>46946</x:v>
      </x:c>
      <x:c r="M25" s="16" t="n">
        <x:v>142</x:v>
      </x:c>
      <x:c r="N25" s="16" t="n">
        <x:v>0.2112676056338028</x:v>
      </x:c>
      <x:c r="O25" s="12" t="str">
        <x:v>FTRL44G004</x:v>
      </x:c>
      <x:c r="P25" s="12" t="str">
        <x:v>LVTH24R034</x:v>
      </x:c>
      <x:c r="Q25" s="12" t="str"/>
      <x:c r="R25" s="12" t="str"/>
      <x:c r="S25" s="12" t="str"/>
      <x:c r="T25" s="12" t="str">
        <x:v>ABM</x:v>
      </x:c>
      <x:c r="U25" s="12" t="str"/>
      <x:c r="V25" s="12" t="str"/>
      <x:c r="W25" s="12" t="str"/>
      <x:c r="X25" s="12" t="str">
        <x:v>LVTH24</x:v>
      </x:c>
      <x:c r="Y25" s="12" t="str">
        <x:v>BADRI &amp; KAMRAN</x:v>
      </x:c>
      <x:c r="Z25" s="12" t="str"/>
      <x:c r="AA25" s="32" t="n">
        <x:f>IFERROR(VLOOKUP(G25,Master_Unit!$A$2:$N$78,7,FALSE),"")</x:f>
        <x:v>0.2</x:v>
      </x:c>
      <x:c r="AB25" s="32" t="n">
        <x:f>IF(OR(N25="",AA25=""),"",N25-AA25)</x:f>
        <x:v>0.011267605633802802</x:v>
      </x:c>
      <x:c r="AC25" s="20" t="n">
        <x:f>IF(OR(N25="",AA25="",AA25=0),"",AB25/AA25)</x:f>
        <x:v>0.05633802816901401</x:v>
      </x:c>
      <x:c r="AD25" t="str">
        <x:f>IF(AA25="","NO STANDARD",IF(AC25&lt;=Config_Status!$B$2,"EFFICIENT",IF(AC25&lt;=Config_Status!$B$3,"NORMAL",IF(AC25&lt;=Config_Status!$B$4,"WARNING","OVER CONSUMPTION"))))</x:f>
        <x:v>NORMAL</x:v>
      </x:c>
      <x:c r="AE25" t="str">
        <x:f>IFERROR(VLOOKUP(G25,Master_Unit!$A$2:$N$78,13,FALSE),"UNIT NOT FOUND")</x:f>
        <x:v>Matched</x:v>
      </x:c>
    </x:row>
    <x:row r="26">
      <x:c r="A26" s="12" t="str">
        <x:v>FU-20260601-00025</x:v>
      </x:c>
      <x:c r="B26" s="12" t="n">
        <x:v>155</x:v>
      </x:c>
      <x:c r="C26" s="14" t="n">
        <x:v>46174</x:v>
      </x:c>
      <x:c r="D26" s="12" t="str">
        <x:v>Senin</x:v>
      </x:c>
      <x:c r="E26" s="12" t="str">
        <x:v>12:21:00</x:v>
      </x:c>
      <x:c r="F26" s="12" t="str">
        <x:v>All Shift Day</x:v>
      </x:c>
      <x:c r="G26" s="12" t="str">
        <x:v>TLYM50G020</x:v>
      </x:c>
      <x:c r="H26" s="12" t="str">
        <x:v>Other</x:v>
      </x:c>
      <x:c r="I26" s="12" t="str">
        <x:v>TOWERLAMP YAMAGEN YDG5001SE-D-TLD4</x:v>
      </x:c>
      <x:c r="J26" s="16" t="n">
        <x:v>19</x:v>
      </x:c>
      <x:c r="K26" s="16" t="n">
        <x:v>4457.76</x:v>
      </x:c>
      <x:c r="L26" s="16" t="n">
        <x:v>4469.99</x:v>
      </x:c>
      <x:c r="M26" s="16" t="n">
        <x:v>12.229999999999563</x:v>
      </x:c>
      <x:c r="N26" s="16" t="n">
        <x:v>1.5535568274734814</x:v>
      </x:c>
      <x:c r="O26" s="12" t="str">
        <x:v>FTRL44G004</x:v>
      </x:c>
      <x:c r="P26" s="12" t="str">
        <x:v>TLYM50G020</x:v>
      </x:c>
      <x:c r="Q26" s="12" t="str"/>
      <x:c r="R26" s="12" t="str"/>
      <x:c r="S26" s="12" t="str"/>
      <x:c r="T26" s="12" t="str">
        <x:v>ABM</x:v>
      </x:c>
      <x:c r="U26" s="12" t="str"/>
      <x:c r="V26" s="12" t="str"/>
      <x:c r="W26" s="12" t="str"/>
      <x:c r="X26" s="12" t="str">
        <x:v>TLYM50</x:v>
      </x:c>
      <x:c r="Y26" s="12" t="str">
        <x:v>BADRI &amp; KAMRAN</x:v>
      </x:c>
      <x:c r="Z26" s="12" t="str"/>
      <x:c r="AA26" s="32" t="n">
        <x:f>IFERROR(VLOOKUP(G26,Master_Unit!$A$2:$N$78,7,FALSE),"")</x:f>
        <x:v>2</x:v>
      </x:c>
      <x:c r="AB26" s="32" t="n">
        <x:f>IF(OR(N26="",AA26=""),"",N26-AA26)</x:f>
        <x:v>-0.44644317252651855</x:v>
      </x:c>
      <x:c r="AC26" s="20" t="n">
        <x:f>IF(OR(N26="",AA26="",AA26=0),"",AB26/AA26)</x:f>
        <x:v>-0.22322158626325928</x:v>
      </x:c>
      <x:c r="AD26" t="str">
        <x:f>IF(AA26="","NO STANDARD",IF(AC26&lt;=Config_Status!$B$2,"EFFICIENT",IF(AC26&lt;=Config_Status!$B$3,"NORMAL",IF(AC26&lt;=Config_Status!$B$4,"WARNING","OVER CONSUMPTION"))))</x:f>
        <x:v>EFFICIENT</x:v>
      </x:c>
      <x:c r="AE26" t="str">
        <x:f>IFERROR(VLOOKUP(G26,Master_Unit!$A$2:$N$78,13,FALSE),"UNIT NOT FOUND")</x:f>
        <x:v>Matched</x:v>
      </x:c>
    </x:row>
    <x:row r="27">
      <x:c r="A27" s="12" t="str">
        <x:v>FU-20260601-00026</x:v>
      </x:c>
      <x:c r="B27" s="12" t="n">
        <x:v>156</x:v>
      </x:c>
      <x:c r="C27" s="14" t="n">
        <x:v>46174</x:v>
      </x:c>
      <x:c r="D27" s="12" t="str">
        <x:v>Senin</x:v>
      </x:c>
      <x:c r="E27" s="12" t="str">
        <x:v>12:27:00</x:v>
      </x:c>
      <x:c r="F27" s="12" t="str">
        <x:v>All Shift Day</x:v>
      </x:c>
      <x:c r="G27" s="12" t="str">
        <x:v>TLYM50G019</x:v>
      </x:c>
      <x:c r="H27" s="12" t="str">
        <x:v>Other</x:v>
      </x:c>
      <x:c r="I27" s="12" t="str">
        <x:v>TOWERLAMP YAMAGEN YDG5001SE-D-TLD4</x:v>
      </x:c>
      <x:c r="J27" s="16" t="n">
        <x:v>12</x:v>
      </x:c>
      <x:c r="K27" s="16" t="n">
        <x:v>4601.65</x:v>
      </x:c>
      <x:c r="L27" s="16" t="n">
        <x:v>4611.969999999999</x:v>
      </x:c>
      <x:c r="M27" s="16" t="n">
        <x:v>10.319999999999709</x:v>
      </x:c>
      <x:c r="N27" s="16" t="n">
        <x:v>1.1627906976744513</x:v>
      </x:c>
      <x:c r="O27" s="12" t="str">
        <x:v>FTRL44G004</x:v>
      </x:c>
      <x:c r="P27" s="12" t="str">
        <x:v>TLYM50G019</x:v>
      </x:c>
      <x:c r="Q27" s="12" t="str"/>
      <x:c r="R27" s="12" t="str"/>
      <x:c r="S27" s="12" t="str"/>
      <x:c r="T27" s="12" t="str">
        <x:v>ABM</x:v>
      </x:c>
      <x:c r="U27" s="12" t="str"/>
      <x:c r="V27" s="12" t="str"/>
      <x:c r="W27" s="12" t="str"/>
      <x:c r="X27" s="12" t="str">
        <x:v>TLYM50</x:v>
      </x:c>
      <x:c r="Y27" s="12" t="str">
        <x:v>BADRI &amp; KAMRAN</x:v>
      </x:c>
      <x:c r="Z27" s="12" t="str"/>
      <x:c r="AA27" s="32" t="n">
        <x:f>IFERROR(VLOOKUP(G27,Master_Unit!$A$2:$N$78,7,FALSE),"")</x:f>
        <x:v>2</x:v>
      </x:c>
      <x:c r="AB27" s="32" t="n">
        <x:f>IF(OR(N27="",AA27=""),"",N27-AA27)</x:f>
        <x:v>-0.8372093023255487</x:v>
      </x:c>
      <x:c r="AC27" s="20" t="n">
        <x:f>IF(OR(N27="",AA27="",AA27=0),"",AB27/AA27)</x:f>
        <x:v>-0.41860465116277434</x:v>
      </x:c>
      <x:c r="AD27" t="str">
        <x:f>IF(AA27="","NO STANDARD",IF(AC27&lt;=Config_Status!$B$2,"EFFICIENT",IF(AC27&lt;=Config_Status!$B$3,"NORMAL",IF(AC27&lt;=Config_Status!$B$4,"WARNING","OVER CONSUMPTION"))))</x:f>
        <x:v>EFFICIENT</x:v>
      </x:c>
      <x:c r="AE27" t="str">
        <x:f>IFERROR(VLOOKUP(G27,Master_Unit!$A$2:$N$78,13,FALSE),"UNIT NOT FOUND")</x:f>
        <x:v>Matched</x:v>
      </x:c>
    </x:row>
    <x:row r="28">
      <x:c r="A28" s="12" t="str">
        <x:v>FU-20260601-00027</x:v>
      </x:c>
      <x:c r="B28" s="12" t="n">
        <x:v>157</x:v>
      </x:c>
      <x:c r="C28" s="14" t="n">
        <x:v>46174</x:v>
      </x:c>
      <x:c r="D28" s="12" t="str">
        <x:v>Senin</x:v>
      </x:c>
      <x:c r="E28" s="12" t="str">
        <x:v>06:47:00</x:v>
      </x:c>
      <x:c r="F28" s="12" t="str">
        <x:v>All Shift Day</x:v>
      </x:c>
      <x:c r="G28" s="12" t="str">
        <x:v>LVTH24R033</x:v>
      </x:c>
      <x:c r="H28" s="12" t="str">
        <x:v>Light Vehicle</x:v>
      </x:c>
      <x:c r="I28" s="12" t="str">
        <x:v>LIGHT VEHICLE TOYOTA HILUX</x:v>
      </x:c>
      <x:c r="J28" s="16" t="n">
        <x:v>43</x:v>
      </x:c>
      <x:c r="K28" s="16" t="n">
        <x:v>137010</x:v>
      </x:c>
      <x:c r="L28" s="16" t="n">
        <x:v>137133</x:v>
      </x:c>
      <x:c r="M28" s="16" t="n">
        <x:v>123</x:v>
      </x:c>
      <x:c r="N28" s="16" t="n">
        <x:v>0.34959349593495936</x:v>
      </x:c>
      <x:c r="O28" s="12" t="str">
        <x:v>FTRL44G004</x:v>
      </x:c>
      <x:c r="P28" s="12" t="str">
        <x:v>LVTH24R033</x:v>
      </x:c>
      <x:c r="Q28" s="12" t="str"/>
      <x:c r="R28" s="12" t="str"/>
      <x:c r="S28" s="12" t="str"/>
      <x:c r="T28" s="12" t="str">
        <x:v>ABM</x:v>
      </x:c>
      <x:c r="U28" s="12" t="str"/>
      <x:c r="V28" s="12" t="str"/>
      <x:c r="W28" s="12" t="str"/>
      <x:c r="X28" s="12" t="str">
        <x:v>LVTH24</x:v>
      </x:c>
      <x:c r="Y28" s="12" t="str">
        <x:v>WAYAN &amp; YOGI</x:v>
      </x:c>
      <x:c r="Z28" s="12" t="str"/>
      <x:c r="AA28" s="32" t="n">
        <x:f>IFERROR(VLOOKUP(G28,Master_Unit!$A$2:$N$78,7,FALSE),"")</x:f>
        <x:v>0.2</x:v>
      </x:c>
      <x:c r="AB28" s="32" t="n">
        <x:f>IF(OR(N28="",AA28=""),"",N28-AA28)</x:f>
        <x:v>0.14959349593495935</x:v>
      </x:c>
      <x:c r="AC28" s="20" t="n">
        <x:f>IF(OR(N28="",AA28="",AA28=0),"",AB28/AA28)</x:f>
        <x:v>0.7479674796747967</x:v>
      </x:c>
      <x:c r="AD28" t="str">
        <x:f>IF(AA28="","NO STANDARD",IF(AC28&lt;=Config_Status!$B$2,"EFFICIENT",IF(AC28&lt;=Config_Status!$B$3,"NORMAL",IF(AC28&lt;=Config_Status!$B$4,"WARNING","OVER CONSUMPTION"))))</x:f>
        <x:v>OVER CONSUMPTION</x:v>
      </x:c>
      <x:c r="AE28" t="str">
        <x:f>IFERROR(VLOOKUP(G28,Master_Unit!$A$2:$N$78,13,FALSE),"UNIT NOT FOUND")</x:f>
        <x:v>Matched</x:v>
      </x:c>
    </x:row>
    <x:row r="29">
      <x:c r="A29" s="12" t="str">
        <x:v>FU-20260601-00028</x:v>
      </x:c>
      <x:c r="B29" s="12" t="n">
        <x:v>158</x:v>
      </x:c>
      <x:c r="C29" s="14" t="n">
        <x:v>46174</x:v>
      </x:c>
      <x:c r="D29" s="12" t="str">
        <x:v>Senin</x:v>
      </x:c>
      <x:c r="E29" s="12" t="str">
        <x:v>06:58:00</x:v>
      </x:c>
      <x:c r="F29" s="12" t="str">
        <x:v>All Shift Day</x:v>
      </x:c>
      <x:c r="G29" s="12" t="str">
        <x:v>GSHT10G002</x:v>
      </x:c>
      <x:c r="H29" s="12" t="str">
        <x:v>Genset</x:v>
      </x:c>
      <x:c r="I29" s="12" t="str">
        <x:v>GENSET HARTECH HT-10</x:v>
      </x:c>
      <x:c r="J29" s="16" t="n">
        <x:v>15</x:v>
      </x:c>
      <x:c r="K29" s="16" t="n">
        <x:v>8387.22</x:v>
      </x:c>
      <x:c r="L29" s="16" t="n">
        <x:v>8400.13</x:v>
      </x:c>
      <x:c r="M29" s="16" t="n">
        <x:v>12.909999999999854</x:v>
      </x:c>
      <x:c r="N29" s="16" t="n">
        <x:v>1.1618900077459464</x:v>
      </x:c>
      <x:c r="O29" s="12" t="str">
        <x:v>FTRL44G004</x:v>
      </x:c>
      <x:c r="P29" s="12" t="str">
        <x:v>GSHT10G002</x:v>
      </x:c>
      <x:c r="Q29" s="12" t="str"/>
      <x:c r="R29" s="12" t="str"/>
      <x:c r="S29" s="12" t="str"/>
      <x:c r="T29" s="12" t="str">
        <x:v>ABM</x:v>
      </x:c>
      <x:c r="U29" s="12" t="str"/>
      <x:c r="V29" s="12" t="str"/>
      <x:c r="W29" s="12" t="str"/>
      <x:c r="X29" s="12" t="str">
        <x:v>GSHT10</x:v>
      </x:c>
      <x:c r="Y29" s="12" t="str">
        <x:v>WAYAN &amp; YOGI</x:v>
      </x:c>
      <x:c r="Z29" s="12" t="str"/>
      <x:c r="AA29" s="32" t="n">
        <x:f>IFERROR(VLOOKUP(G29,Master_Unit!$A$2:$N$78,7,FALSE),"")</x:f>
        <x:v>3</x:v>
      </x:c>
      <x:c r="AB29" s="32" t="n">
        <x:f>IF(OR(N29="",AA29=""),"",N29-AA29)</x:f>
        <x:v>-1.8381099922540536</x:v>
      </x:c>
      <x:c r="AC29" s="20" t="n">
        <x:f>IF(OR(N29="",AA29="",AA29=0),"",AB29/AA29)</x:f>
        <x:v>-0.6127033307513512</x:v>
      </x:c>
      <x:c r="AD29" t="str">
        <x:f>IF(AA29="","NO STANDARD",IF(AC29&lt;=Config_Status!$B$2,"EFFICIENT",IF(AC29&lt;=Config_Status!$B$3,"NORMAL",IF(AC29&lt;=Config_Status!$B$4,"WARNING","OVER CONSUMPTION"))))</x:f>
        <x:v>EFFICIENT</x:v>
      </x:c>
      <x:c r="AE29" t="str">
        <x:f>IFERROR(VLOOKUP(G29,Master_Unit!$A$2:$N$78,13,FALSE),"UNIT NOT FOUND")</x:f>
        <x:v>Matched</x:v>
      </x:c>
    </x:row>
    <x:row r="30">
      <x:c r="A30" s="12" t="str">
        <x:v>FU-20260601-00029</x:v>
      </x:c>
      <x:c r="B30" s="12" t="n">
        <x:v>159</x:v>
      </x:c>
      <x:c r="C30" s="14" t="n">
        <x:v>46174</x:v>
      </x:c>
      <x:c r="D30" s="12" t="str">
        <x:v>Senin</x:v>
      </x:c>
      <x:c r="E30" s="12" t="str">
        <x:v>07:00:00</x:v>
      </x:c>
      <x:c r="F30" s="12" t="str">
        <x:v>All Shift Day</x:v>
      </x:c>
      <x:c r="G30" s="12" t="str">
        <x:v>BDKM85G040</x:v>
      </x:c>
      <x:c r="H30" s="12" t="str">
        <x:v>Dozer</x:v>
      </x:c>
      <x:c r="I30" s="12" t="str">
        <x:v>BULDOZER KOMATSU D85ESS-2</x:v>
      </x:c>
      <x:c r="J30" s="16" t="n">
        <x:v>180</x:v>
      </x:c>
      <x:c r="K30" s="16" t="n">
        <x:v>6176.4</x:v>
      </x:c>
      <x:c r="L30" s="16" t="n">
        <x:v>6187.2</x:v>
      </x:c>
      <x:c r="M30" s="16" t="n">
        <x:v>10.800000000000182</x:v>
      </x:c>
      <x:c r="N30" s="16" t="n">
        <x:v>16.666666666666387</x:v>
      </x:c>
      <x:c r="O30" s="12" t="str">
        <x:v>FTRL44G004</x:v>
      </x:c>
      <x:c r="P30" s="12" t="str">
        <x:v>BDKM85G040</x:v>
      </x:c>
      <x:c r="Q30" s="12" t="str"/>
      <x:c r="R30" s="12" t="str"/>
      <x:c r="S30" s="12" t="str"/>
      <x:c r="T30" s="12" t="str">
        <x:v>ABM</x:v>
      </x:c>
      <x:c r="U30" s="12" t="str"/>
      <x:c r="V30" s="12" t="str"/>
      <x:c r="W30" s="12" t="str"/>
      <x:c r="X30" s="12" t="str">
        <x:v>BDKM85</x:v>
      </x:c>
      <x:c r="Y30" s="12" t="str">
        <x:v>WAYAN &amp; YOGI</x:v>
      </x:c>
      <x:c r="Z30" s="12" t="str"/>
      <x:c r="AA30" s="32" t="n">
        <x:f>IFERROR(VLOOKUP(G30,Master_Unit!$A$2:$N$78,7,FALSE),"")</x:f>
        <x:v>30</x:v>
      </x:c>
      <x:c r="AB30" s="32" t="n">
        <x:f>IF(OR(N30="",AA30=""),"",N30-AA30)</x:f>
        <x:v>-13.333333333333613</x:v>
      </x:c>
      <x:c r="AC30" s="20" t="n">
        <x:f>IF(OR(N30="",AA30="",AA30=0),"",AB30/AA30)</x:f>
        <x:v>-0.44444444444445375</x:v>
      </x:c>
      <x:c r="AD30" t="str">
        <x:f>IF(AA30="","NO STANDARD",IF(AC30&lt;=Config_Status!$B$2,"EFFICIENT",IF(AC30&lt;=Config_Status!$B$3,"NORMAL",IF(AC30&lt;=Config_Status!$B$4,"WARNING","OVER CONSUMPTION"))))</x:f>
        <x:v>EFFICIENT</x:v>
      </x:c>
      <x:c r="AE30" t="str">
        <x:f>IFERROR(VLOOKUP(G30,Master_Unit!$A$2:$N$78,13,FALSE),"UNIT NOT FOUND")</x:f>
        <x:v>Matched</x:v>
      </x:c>
    </x:row>
    <x:row r="31">
      <x:c r="A31" s="12" t="str">
        <x:v>FU-20260601-00030</x:v>
      </x:c>
      <x:c r="B31" s="12" t="n">
        <x:v>160</x:v>
      </x:c>
      <x:c r="C31" s="14" t="n">
        <x:v>46174</x:v>
      </x:c>
      <x:c r="D31" s="12" t="str">
        <x:v>Senin</x:v>
      </x:c>
      <x:c r="E31" s="12" t="str">
        <x:v>07:05:00</x:v>
      </x:c>
      <x:c r="F31" s="12" t="str">
        <x:v>All Shift Day</x:v>
      </x:c>
      <x:c r="G31" s="12" t="str">
        <x:v>LVMP25R005</x:v>
      </x:c>
      <x:c r="H31" s="12" t="str">
        <x:v>Light Vehicle</x:v>
      </x:c>
      <x:c r="I31" s="12" t="str">
        <x:v>LIGHT VEHICLE MITSUBISHI PAJERO</x:v>
      </x:c>
      <x:c r="J31" s="16" t="n">
        <x:v>39</x:v>
      </x:c>
      <x:c r="K31" s="16" t="n">
        <x:v>58232</x:v>
      </x:c>
      <x:c r="L31" s="16" t="n">
        <x:v>58524</x:v>
      </x:c>
      <x:c r="M31" s="16" t="n">
        <x:v>292</x:v>
      </x:c>
      <x:c r="N31" s="16" t="n">
        <x:v>0.13356164383561644</x:v>
      </x:c>
      <x:c r="O31" s="12" t="str">
        <x:v>FTRL44G004</x:v>
      </x:c>
      <x:c r="P31" s="12" t="str">
        <x:v>LVMP25R005</x:v>
      </x:c>
      <x:c r="Q31" s="12" t="str"/>
      <x:c r="R31" s="12" t="str"/>
      <x:c r="S31" s="12" t="str"/>
      <x:c r="T31" s="12" t="str">
        <x:v>ABM</x:v>
      </x:c>
      <x:c r="U31" s="12" t="str"/>
      <x:c r="V31" s="12" t="str"/>
      <x:c r="W31" s="12" t="str"/>
      <x:c r="X31" s="12" t="str">
        <x:v>LVMP25</x:v>
      </x:c>
      <x:c r="Y31" s="12" t="str">
        <x:v>WAYAN &amp; YOGI</x:v>
      </x:c>
      <x:c r="Z31" s="12" t="str"/>
      <x:c r="AA31" s="32" t="str">
        <x:f>IFERROR(VLOOKUP(G31,Master_Unit!$A$2:$N$78,7,FALSE),"")</x:f>
      </x:c>
      <x:c r="AB31" s="32" t="str">
        <x:f>IF(OR(N31="",AA31=""),"",N31-AA31)</x:f>
      </x:c>
      <x:c r="AC31" s="20" t="str">
        <x:f>IF(OR(N31="",AA31="",AA31=0),"",AB31/AA31)</x:f>
      </x:c>
      <x:c r="AD31" t="str">
        <x:f>IF(AA31="","NO STANDARD",IF(AC31&lt;=Config_Status!$B$2,"EFFICIENT",IF(AC31&lt;=Config_Status!$B$3,"NORMAL",IF(AC31&lt;=Config_Status!$B$4,"WARNING","OVER CONSUMPTION"))))</x:f>
        <x:v>NO STANDARD</x:v>
      </x:c>
      <x:c r="AE31" t="str">
        <x:f>IFERROR(VLOOKUP(G31,Master_Unit!$A$2:$N$78,13,FALSE),"UNIT NOT FOUND")</x:f>
        <x:v>No Standard</x:v>
      </x:c>
    </x:row>
    <x:row r="32">
      <x:c r="A32" s="12" t="str">
        <x:v>FU-20260601-00031</x:v>
      </x:c>
      <x:c r="B32" s="12" t="n">
        <x:v>161</x:v>
      </x:c>
      <x:c r="C32" s="14" t="n">
        <x:v>46174</x:v>
      </x:c>
      <x:c r="D32" s="12" t="str">
        <x:v>Senin</x:v>
      </x:c>
      <x:c r="E32" s="12" t="str">
        <x:v>07:07:00</x:v>
      </x:c>
      <x:c r="F32" s="12" t="str">
        <x:v>All Shift Day</x:v>
      </x:c>
      <x:c r="G32" s="12" t="str">
        <x:v>LVTH24R035</x:v>
      </x:c>
      <x:c r="H32" s="12" t="str">
        <x:v>Light Vehicle</x:v>
      </x:c>
      <x:c r="I32" s="12" t="str">
        <x:v>LIGHT VEHICLE TOYOTA HILUX</x:v>
      </x:c>
      <x:c r="J32" s="16" t="n">
        <x:v>20</x:v>
      </x:c>
      <x:c r="K32" s="16" t="n">
        <x:v>68488</x:v>
      </x:c>
      <x:c r="L32" s="16" t="n">
        <x:v>68627</x:v>
      </x:c>
      <x:c r="M32" s="16" t="n">
        <x:v>139</x:v>
      </x:c>
      <x:c r="N32" s="16" t="n">
        <x:v>0.14388489208633093</x:v>
      </x:c>
      <x:c r="O32" s="12" t="str">
        <x:v>FTRL44G004</x:v>
      </x:c>
      <x:c r="P32" s="12" t="str">
        <x:v>LVTH24R035</x:v>
      </x:c>
      <x:c r="Q32" s="12" t="str"/>
      <x:c r="R32" s="12" t="str"/>
      <x:c r="S32" s="12" t="str"/>
      <x:c r="T32" s="12" t="str">
        <x:v>ABM</x:v>
      </x:c>
      <x:c r="U32" s="12" t="str"/>
      <x:c r="V32" s="12" t="str"/>
      <x:c r="W32" s="12" t="str"/>
      <x:c r="X32" s="12" t="str">
        <x:v>LVTH24</x:v>
      </x:c>
      <x:c r="Y32" s="12" t="str">
        <x:v>WAYAN &amp; YOGI</x:v>
      </x:c>
      <x:c r="Z32" s="12" t="str"/>
      <x:c r="AA32" s="32" t="n">
        <x:f>IFERROR(VLOOKUP(G32,Master_Unit!$A$2:$N$78,7,FALSE),"")</x:f>
        <x:v>0.2</x:v>
      </x:c>
      <x:c r="AB32" s="32" t="n">
        <x:f>IF(OR(N32="",AA32=""),"",N32-AA32)</x:f>
        <x:v>-0.05611510791366908</x:v>
      </x:c>
      <x:c r="AC32" s="20" t="n">
        <x:f>IF(OR(N32="",AA32="",AA32=0),"",AB32/AA32)</x:f>
        <x:v>-0.2805755395683454</x:v>
      </x:c>
      <x:c r="AD32" t="str">
        <x:f>IF(AA32="","NO STANDARD",IF(AC32&lt;=Config_Status!$B$2,"EFFICIENT",IF(AC32&lt;=Config_Status!$B$3,"NORMAL",IF(AC32&lt;=Config_Status!$B$4,"WARNING","OVER CONSUMPTION"))))</x:f>
        <x:v>EFFICIENT</x:v>
      </x:c>
      <x:c r="AE32" t="str">
        <x:f>IFERROR(VLOOKUP(G32,Master_Unit!$A$2:$N$78,13,FALSE),"UNIT NOT FOUND")</x:f>
        <x:v>Matched</x:v>
      </x:c>
    </x:row>
    <x:row r="33">
      <x:c r="A33" s="12" t="str">
        <x:v>FU-20260601-00032</x:v>
      </x:c>
      <x:c r="B33" s="12" t="n">
        <x:v>162</x:v>
      </x:c>
      <x:c r="C33" s="14" t="n">
        <x:v>46174</x:v>
      </x:c>
      <x:c r="D33" s="12" t="str">
        <x:v>Senin</x:v>
      </x:c>
      <x:c r="E33" s="12" t="str">
        <x:v>07:08:00</x:v>
      </x:c>
      <x:c r="F33" s="12" t="str">
        <x:v>All Shift Day</x:v>
      </x:c>
      <x:c r="G33" s="12" t="str">
        <x:v>EXVV21G037</x:v>
      </x:c>
      <x:c r="H33" s="12" t="str">
        <x:v>Excavator</x:v>
      </x:c>
      <x:c r="I33" s="12" t="str">
        <x:v>EXCAVATOR VOLVO EC210D</x:v>
      </x:c>
      <x:c r="J33" s="16" t="n">
        <x:v>163</x:v>
      </x:c>
      <x:c r="K33" s="16" t="n">
        <x:v>6741.8</x:v>
      </x:c>
      <x:c r="L33" s="16" t="n">
        <x:v>6750.3</x:v>
      </x:c>
      <x:c r="M33" s="16" t="n">
        <x:v>8.5</x:v>
      </x:c>
      <x:c r="N33" s="16" t="n">
        <x:v>19.176470588235293</x:v>
      </x:c>
      <x:c r="O33" s="12" t="str">
        <x:v>FTRL44G004</x:v>
      </x:c>
      <x:c r="P33" s="12" t="str">
        <x:v>EXVV21G037</x:v>
      </x:c>
      <x:c r="Q33" s="12" t="str"/>
      <x:c r="R33" s="12" t="str"/>
      <x:c r="S33" s="12" t="str"/>
      <x:c r="T33" s="12" t="str">
        <x:v>ABM</x:v>
      </x:c>
      <x:c r="U33" s="12" t="str"/>
      <x:c r="V33" s="12" t="str"/>
      <x:c r="W33" s="12" t="str"/>
      <x:c r="X33" s="12" t="str">
        <x:v>EXVV21</x:v>
      </x:c>
      <x:c r="Y33" s="12" t="str">
        <x:v>WAYAN &amp; YOGI</x:v>
      </x:c>
      <x:c r="Z33" s="12" t="str"/>
      <x:c r="AA33" s="32" t="n">
        <x:f>IFERROR(VLOOKUP(G33,Master_Unit!$A$2:$N$78,7,FALSE),"")</x:f>
        <x:v>20</x:v>
      </x:c>
      <x:c r="AB33" s="32" t="n">
        <x:f>IF(OR(N33="",AA33=""),"",N33-AA33)</x:f>
        <x:v>-0.8235294117647065</x:v>
      </x:c>
      <x:c r="AC33" s="20" t="n">
        <x:f>IF(OR(N33="",AA33="",AA33=0),"",AB33/AA33)</x:f>
        <x:v>-0.04117647058823533</x:v>
      </x:c>
      <x:c r="AD33" t="str">
        <x:f>IF(AA33="","NO STANDARD",IF(AC33&lt;=Config_Status!$B$2,"EFFICIENT",IF(AC33&lt;=Config_Status!$B$3,"NORMAL",IF(AC33&lt;=Config_Status!$B$4,"WARNING","OVER CONSUMPTION"))))</x:f>
        <x:v>NORMAL</x:v>
      </x:c>
      <x:c r="AE33" t="str">
        <x:f>IFERROR(VLOOKUP(G33,Master_Unit!$A$2:$N$78,13,FALSE),"UNIT NOT FOUND")</x:f>
        <x:v>Matched</x:v>
      </x:c>
    </x:row>
    <x:row r="34">
      <x:c r="A34" s="12" t="str">
        <x:v>FU-20260601-00033</x:v>
      </x:c>
      <x:c r="B34" s="12" t="n">
        <x:v>163</x:v>
      </x:c>
      <x:c r="C34" s="14" t="n">
        <x:v>46174</x:v>
      </x:c>
      <x:c r="D34" s="12" t="str">
        <x:v>Senin</x:v>
      </x:c>
      <x:c r="E34" s="12" t="str">
        <x:v>07:14:00</x:v>
      </x:c>
      <x:c r="F34" s="12" t="str">
        <x:v>All Shift Day</x:v>
      </x:c>
      <x:c r="G34" s="12" t="str">
        <x:v>EXVV21G040</x:v>
      </x:c>
      <x:c r="H34" s="12" t="str">
        <x:v>Excavator</x:v>
      </x:c>
      <x:c r="I34" s="12" t="str">
        <x:v>EXCAVATOR VOLVO EC210D</x:v>
      </x:c>
      <x:c r="J34" s="16" t="n">
        <x:v>174</x:v>
      </x:c>
      <x:c r="K34" s="16" t="n">
        <x:v>6458.8</x:v>
      </x:c>
      <x:c r="L34" s="16" t="n">
        <x:v>6473.7</x:v>
      </x:c>
      <x:c r="M34" s="16" t="n">
        <x:v>14.899999999999636</x:v>
      </x:c>
      <x:c r="N34" s="16" t="n">
        <x:v>11.677852348993573</x:v>
      </x:c>
      <x:c r="O34" s="12" t="str">
        <x:v>FTRL44G004</x:v>
      </x:c>
      <x:c r="P34" s="12" t="str">
        <x:v>EXVV21G040</x:v>
      </x:c>
      <x:c r="Q34" s="12" t="str"/>
      <x:c r="R34" s="12" t="str"/>
      <x:c r="S34" s="12" t="str"/>
      <x:c r="T34" s="12" t="str">
        <x:v>ABM</x:v>
      </x:c>
      <x:c r="U34" s="12" t="str"/>
      <x:c r="V34" s="12" t="str"/>
      <x:c r="W34" s="12" t="str"/>
      <x:c r="X34" s="12" t="str">
        <x:v>EXVV21</x:v>
      </x:c>
      <x:c r="Y34" s="12" t="str">
        <x:v>WAYAN &amp; YOGI</x:v>
      </x:c>
      <x:c r="Z34" s="12" t="str"/>
      <x:c r="AA34" s="32" t="n">
        <x:f>IFERROR(VLOOKUP(G34,Master_Unit!$A$2:$N$78,7,FALSE),"")</x:f>
        <x:v>20</x:v>
      </x:c>
      <x:c r="AB34" s="32" t="n">
        <x:f>IF(OR(N34="",AA34=""),"",N34-AA34)</x:f>
        <x:v>-8.322147651006427</x:v>
      </x:c>
      <x:c r="AC34" s="20" t="n">
        <x:f>IF(OR(N34="",AA34="",AA34=0),"",AB34/AA34)</x:f>
        <x:v>-0.4161073825503213</x:v>
      </x:c>
      <x:c r="AD34" t="str">
        <x:f>IF(AA34="","NO STANDARD",IF(AC34&lt;=Config_Status!$B$2,"EFFICIENT",IF(AC34&lt;=Config_Status!$B$3,"NORMAL",IF(AC34&lt;=Config_Status!$B$4,"WARNING","OVER CONSUMPTION"))))</x:f>
        <x:v>EFFICIENT</x:v>
      </x:c>
      <x:c r="AE34" t="str">
        <x:f>IFERROR(VLOOKUP(G34,Master_Unit!$A$2:$N$78,13,FALSE),"UNIT NOT FOUND")</x:f>
        <x:v>Matched</x:v>
      </x:c>
    </x:row>
    <x:row r="35">
      <x:c r="A35" s="12" t="str">
        <x:v>FU-20260601-00034</x:v>
      </x:c>
      <x:c r="B35" s="12" t="n">
        <x:v>164</x:v>
      </x:c>
      <x:c r="C35" s="14" t="n">
        <x:v>46174</x:v>
      </x:c>
      <x:c r="D35" s="12" t="str">
        <x:v>Senin</x:v>
      </x:c>
      <x:c r="E35" s="12" t="str">
        <x:v>07:22:00</x:v>
      </x:c>
      <x:c r="F35" s="12" t="str">
        <x:v>All Shift Day</x:v>
      </x:c>
      <x:c r="G35" s="12" t="str">
        <x:v>STRL44G155</x:v>
      </x:c>
      <x:c r="H35" s="12" t="str">
        <x:v>Dump Truck</x:v>
      </x:c>
      <x:c r="I35" s="12" t="str">
        <x:v>DUMP TRUCK RENAULT KRANGE440-P6X4 A/T</x:v>
      </x:c>
      <x:c r="J35" s="16" t="n">
        <x:v>174</x:v>
      </x:c>
      <x:c r="K35" s="16" t="n">
        <x:v>3841</x:v>
      </x:c>
      <x:c r="L35" s="16" t="n">
        <x:v>3861</x:v>
      </x:c>
      <x:c r="M35" s="16" t="n">
        <x:v>20</x:v>
      </x:c>
      <x:c r="N35" s="16" t="n">
        <x:v>8.7</x:v>
      </x:c>
      <x:c r="O35" s="12" t="str">
        <x:v>FTRL44G004</x:v>
      </x:c>
      <x:c r="P35" s="12" t="str">
        <x:v>STRL44G155</x:v>
      </x:c>
      <x:c r="Q35" s="12" t="str"/>
      <x:c r="R35" s="12" t="str"/>
      <x:c r="S35" s="12" t="str"/>
      <x:c r="T35" s="12" t="str">
        <x:v>ABM</x:v>
      </x:c>
      <x:c r="U35" s="12" t="str"/>
      <x:c r="V35" s="12" t="str"/>
      <x:c r="W35" s="12" t="str"/>
      <x:c r="X35" s="12" t="str">
        <x:v>STRL44</x:v>
      </x:c>
      <x:c r="Y35" s="12" t="str">
        <x:v>WAYAN &amp; YOGI</x:v>
      </x:c>
      <x:c r="Z35" s="12" t="str"/>
      <x:c r="AA35" s="32" t="n">
        <x:f>IFERROR(VLOOKUP(G35,Master_Unit!$A$2:$N$78,7,FALSE),"")</x:f>
        <x:v>20</x:v>
      </x:c>
      <x:c r="AB35" s="32" t="n">
        <x:f>IF(OR(N35="",AA35=""),"",N35-AA35)</x:f>
        <x:v>-11.3</x:v>
      </x:c>
      <x:c r="AC35" s="20" t="n">
        <x:f>IF(OR(N35="",AA35="",AA35=0),"",AB35/AA35)</x:f>
        <x:v>-0.5650000000000001</x:v>
      </x:c>
      <x:c r="AD35" t="str">
        <x:f>IF(AA35="","NO STANDARD",IF(AC35&lt;=Config_Status!$B$2,"EFFICIENT",IF(AC35&lt;=Config_Status!$B$3,"NORMAL",IF(AC35&lt;=Config_Status!$B$4,"WARNING","OVER CONSUMPTION"))))</x:f>
        <x:v>EFFICIENT</x:v>
      </x:c>
      <x:c r="AE35" t="str">
        <x:f>IFERROR(VLOOKUP(G35,Master_Unit!$A$2:$N$78,13,FALSE),"UNIT NOT FOUND")</x:f>
        <x:v>Matched</x:v>
      </x:c>
    </x:row>
    <x:row r="36">
      <x:c r="A36" s="12" t="str">
        <x:v>FU-20260601-00035</x:v>
      </x:c>
      <x:c r="B36" s="12" t="n">
        <x:v>165</x:v>
      </x:c>
      <x:c r="C36" s="14" t="n">
        <x:v>46174</x:v>
      </x:c>
      <x:c r="D36" s="12" t="str">
        <x:v>Senin</x:v>
      </x:c>
      <x:c r="E36" s="12" t="str">
        <x:v>07:30:00</x:v>
      </x:c>
      <x:c r="F36" s="12" t="str">
        <x:v>All Shift Day</x:v>
      </x:c>
      <x:c r="G36" s="12" t="str">
        <x:v>EXVV21G035</x:v>
      </x:c>
      <x:c r="H36" s="12" t="str">
        <x:v>Excavator</x:v>
      </x:c>
      <x:c r="I36" s="12" t="str">
        <x:v>EXCAVATOR VOLVO EC210D</x:v>
      </x:c>
      <x:c r="J36" s="16" t="n">
        <x:v>181</x:v>
      </x:c>
      <x:c r="K36" s="16" t="n">
        <x:v>8257.1</x:v>
      </x:c>
      <x:c r="L36" s="16" t="n">
        <x:v>8266.6</x:v>
      </x:c>
      <x:c r="M36" s="16" t="n">
        <x:v>9.5</x:v>
      </x:c>
      <x:c r="N36" s="16" t="n">
        <x:v>19.05263157894737</x:v>
      </x:c>
      <x:c r="O36" s="12" t="str">
        <x:v>FTRL44G004</x:v>
      </x:c>
      <x:c r="P36" s="12" t="str">
        <x:v>EXVV21G035</x:v>
      </x:c>
      <x:c r="Q36" s="12" t="str"/>
      <x:c r="R36" s="12" t="str"/>
      <x:c r="S36" s="12" t="str"/>
      <x:c r="T36" s="12" t="str">
        <x:v>ABM</x:v>
      </x:c>
      <x:c r="U36" s="12" t="str"/>
      <x:c r="V36" s="12" t="str"/>
      <x:c r="W36" s="12" t="str"/>
      <x:c r="X36" s="12" t="str">
        <x:v>EXVV21</x:v>
      </x:c>
      <x:c r="Y36" s="12" t="str">
        <x:v>WAYAN &amp; YOGI</x:v>
      </x:c>
      <x:c r="Z36" s="12" t="str"/>
      <x:c r="AA36" s="32" t="n">
        <x:f>IFERROR(VLOOKUP(G36,Master_Unit!$A$2:$N$78,7,FALSE),"")</x:f>
        <x:v>20</x:v>
      </x:c>
      <x:c r="AB36" s="32" t="n">
        <x:f>IF(OR(N36="",AA36=""),"",N36-AA36)</x:f>
        <x:v>-0.9473684210526301</x:v>
      </x:c>
      <x:c r="AC36" s="20" t="n">
        <x:f>IF(OR(N36="",AA36="",AA36=0),"",AB36/AA36)</x:f>
        <x:v>-0.047368421052631504</x:v>
      </x:c>
      <x:c r="AD36" t="str">
        <x:f>IF(AA36="","NO STANDARD",IF(AC36&lt;=Config_Status!$B$2,"EFFICIENT",IF(AC36&lt;=Config_Status!$B$3,"NORMAL",IF(AC36&lt;=Config_Status!$B$4,"WARNING","OVER CONSUMPTION"))))</x:f>
        <x:v>NORMAL</x:v>
      </x:c>
      <x:c r="AE36" t="str">
        <x:f>IFERROR(VLOOKUP(G36,Master_Unit!$A$2:$N$78,13,FALSE),"UNIT NOT FOUND")</x:f>
        <x:v>Matched</x:v>
      </x:c>
    </x:row>
    <x:row r="37">
      <x:c r="A37" s="12" t="str">
        <x:v>FU-20260601-00036</x:v>
      </x:c>
      <x:c r="B37" s="12" t="n">
        <x:v>166</x:v>
      </x:c>
      <x:c r="C37" s="14" t="n">
        <x:v>46174</x:v>
      </x:c>
      <x:c r="D37" s="12" t="str">
        <x:v>Senin</x:v>
      </x:c>
      <x:c r="E37" s="12" t="str">
        <x:v>07:33:00</x:v>
      </x:c>
      <x:c r="F37" s="12" t="str">
        <x:v>All Shift Day</x:v>
      </x:c>
      <x:c r="G37" s="12" t="str">
        <x:v>EXVV21G042</x:v>
      </x:c>
      <x:c r="H37" s="12" t="str">
        <x:v>Excavator</x:v>
      </x:c>
      <x:c r="I37" s="12" t="str">
        <x:v>EXCAVATOR VOLVO EC210D</x:v>
      </x:c>
      <x:c r="J37" s="16" t="n">
        <x:v>171</x:v>
      </x:c>
      <x:c r="K37" s="16" t="n">
        <x:v>7584.1</x:v>
      </x:c>
      <x:c r="L37" s="16" t="n">
        <x:v>7593.6</x:v>
      </x:c>
      <x:c r="M37" s="16" t="n">
        <x:v>9.5</x:v>
      </x:c>
      <x:c r="N37" s="16" t="n">
        <x:v>18</x:v>
      </x:c>
      <x:c r="O37" s="12" t="str">
        <x:v>FTRL44G004</x:v>
      </x:c>
      <x:c r="P37" s="12" t="str">
        <x:v>EXVV21G042</x:v>
      </x:c>
      <x:c r="Q37" s="12" t="str"/>
      <x:c r="R37" s="12" t="str"/>
      <x:c r="S37" s="12" t="str"/>
      <x:c r="T37" s="12" t="str">
        <x:v>ABM</x:v>
      </x:c>
      <x:c r="U37" s="12" t="str"/>
      <x:c r="V37" s="12" t="str"/>
      <x:c r="W37" s="12" t="str"/>
      <x:c r="X37" s="12" t="str">
        <x:v>EXVV21</x:v>
      </x:c>
      <x:c r="Y37" s="12" t="str">
        <x:v>WAYAN &amp; YOGI</x:v>
      </x:c>
      <x:c r="Z37" s="12" t="str"/>
      <x:c r="AA37" s="32" t="n">
        <x:f>IFERROR(VLOOKUP(G37,Master_Unit!$A$2:$N$78,7,FALSE),"")</x:f>
        <x:v>20</x:v>
      </x:c>
      <x:c r="AB37" s="32" t="n">
        <x:f>IF(OR(N37="",AA37=""),"",N37-AA37)</x:f>
        <x:v>-2</x:v>
      </x:c>
      <x:c r="AC37" s="20" t="n">
        <x:f>IF(OR(N37="",AA37="",AA37=0),"",AB37/AA37)</x:f>
        <x:v>-0.1</x:v>
      </x:c>
      <x:c r="AD37" t="str">
        <x:f>IF(AA37="","NO STANDARD",IF(AC37&lt;=Config_Status!$B$2,"EFFICIENT",IF(AC37&lt;=Config_Status!$B$3,"NORMAL",IF(AC37&lt;=Config_Status!$B$4,"WARNING","OVER CONSUMPTION"))))</x:f>
        <x:v>EFFICIENT</x:v>
      </x:c>
      <x:c r="AE37" t="str">
        <x:f>IFERROR(VLOOKUP(G37,Master_Unit!$A$2:$N$78,13,FALSE),"UNIT NOT FOUND")</x:f>
        <x:v>Matched</x:v>
      </x:c>
    </x:row>
    <x:row r="38">
      <x:c r="A38" s="12" t="str">
        <x:v>FU-20260601-00037</x:v>
      </x:c>
      <x:c r="B38" s="12" t="n">
        <x:v>167</x:v>
      </x:c>
      <x:c r="C38" s="14" t="n">
        <x:v>46174</x:v>
      </x:c>
      <x:c r="D38" s="12" t="str">
        <x:v>Senin</x:v>
      </x:c>
      <x:c r="E38" s="12" t="str">
        <x:v>07:36:00</x:v>
      </x:c>
      <x:c r="F38" s="12" t="str">
        <x:v>All Shift Day</x:v>
      </x:c>
      <x:c r="G38" s="12" t="str">
        <x:v>BDKM85G039</x:v>
      </x:c>
      <x:c r="H38" s="12" t="str">
        <x:v>Dozer</x:v>
      </x:c>
      <x:c r="I38" s="12" t="str">
        <x:v>BULDOZER KOMATSU D85ESS-2</x:v>
      </x:c>
      <x:c r="J38" s="16" t="n">
        <x:v>166</x:v>
      </x:c>
      <x:c r="K38" s="16" t="n">
        <x:v>6981.5</x:v>
      </x:c>
      <x:c r="L38" s="16" t="n">
        <x:v>7000.9</x:v>
      </x:c>
      <x:c r="M38" s="16" t="n">
        <x:v>19.399999999999636</x:v>
      </x:c>
      <x:c r="N38" s="16" t="n">
        <x:v>8.556701030927995</x:v>
      </x:c>
      <x:c r="O38" s="12" t="str">
        <x:v>FTRL44G004</x:v>
      </x:c>
      <x:c r="P38" s="12" t="str">
        <x:v>BDKM85G039</x:v>
      </x:c>
      <x:c r="Q38" s="12" t="str"/>
      <x:c r="R38" s="12" t="str"/>
      <x:c r="S38" s="12" t="str"/>
      <x:c r="T38" s="12" t="str">
        <x:v>ABM</x:v>
      </x:c>
      <x:c r="U38" s="12" t="str"/>
      <x:c r="V38" s="12" t="str"/>
      <x:c r="W38" s="12" t="str"/>
      <x:c r="X38" s="12" t="str">
        <x:v>BDKM85</x:v>
      </x:c>
      <x:c r="Y38" s="12" t="str">
        <x:v>WAYAN &amp; YOGI</x:v>
      </x:c>
      <x:c r="Z38" s="12" t="str"/>
      <x:c r="AA38" s="32" t="n">
        <x:f>IFERROR(VLOOKUP(G38,Master_Unit!$A$2:$N$78,7,FALSE),"")</x:f>
        <x:v>30</x:v>
      </x:c>
      <x:c r="AB38" s="32" t="n">
        <x:f>IF(OR(N38="",AA38=""),"",N38-AA38)</x:f>
        <x:v>-21.443298969072004</x:v>
      </x:c>
      <x:c r="AC38" s="20" t="n">
        <x:f>IF(OR(N38="",AA38="",AA38=0),"",AB38/AA38)</x:f>
        <x:v>-0.7147766323024001</x:v>
      </x:c>
      <x:c r="AD38" t="str">
        <x:f>IF(AA38="","NO STANDARD",IF(AC38&lt;=Config_Status!$B$2,"EFFICIENT",IF(AC38&lt;=Config_Status!$B$3,"NORMAL",IF(AC38&lt;=Config_Status!$B$4,"WARNING","OVER CONSUMPTION"))))</x:f>
        <x:v>EFFICIENT</x:v>
      </x:c>
      <x:c r="AE38" t="str">
        <x:f>IFERROR(VLOOKUP(G38,Master_Unit!$A$2:$N$78,13,FALSE),"UNIT NOT FOUND")</x:f>
        <x:v>Matched</x:v>
      </x:c>
    </x:row>
    <x:row r="39">
      <x:c r="A39" s="12" t="str">
        <x:v>FU-20260601-00038</x:v>
      </x:c>
      <x:c r="B39" s="12" t="n">
        <x:v>168</x:v>
      </x:c>
      <x:c r="C39" s="14" t="n">
        <x:v>46174</x:v>
      </x:c>
      <x:c r="D39" s="12" t="str">
        <x:v>Senin</x:v>
      </x:c>
      <x:c r="E39" s="12" t="str">
        <x:v>07:40:00</x:v>
      </x:c>
      <x:c r="F39" s="12" t="str">
        <x:v>All Shift Day</x:v>
      </x:c>
      <x:c r="G39" s="12" t="str">
        <x:v>GSHT10G001</x:v>
      </x:c>
      <x:c r="H39" s="12" t="str">
        <x:v>Genset</x:v>
      </x:c>
      <x:c r="I39" s="12" t="str">
        <x:v>GENSET HARTECH HT-10</x:v>
      </x:c>
      <x:c r="J39" s="16" t="n">
        <x:v>10</x:v>
      </x:c>
      <x:c r="K39" s="16" t="n">
        <x:v>5863.44</x:v>
      </x:c>
      <x:c r="L39" s="16" t="n">
        <x:v>5873.5</x:v>
      </x:c>
      <x:c r="M39" s="16" t="n">
        <x:v>10.0600000000004</x:v>
      </x:c>
      <x:c r="N39" s="16" t="n">
        <x:v>0.9940357852882309</x:v>
      </x:c>
      <x:c r="O39" s="12" t="str">
        <x:v>FTRL44G004</x:v>
      </x:c>
      <x:c r="P39" s="12" t="str">
        <x:v>GSHT10G001</x:v>
      </x:c>
      <x:c r="Q39" s="12" t="str"/>
      <x:c r="R39" s="12" t="str"/>
      <x:c r="S39" s="12" t="str"/>
      <x:c r="T39" s="12" t="str">
        <x:v>ABM</x:v>
      </x:c>
      <x:c r="U39" s="12" t="str"/>
      <x:c r="V39" s="12" t="str"/>
      <x:c r="W39" s="12" t="str"/>
      <x:c r="X39" s="12" t="str">
        <x:v>GSHT10</x:v>
      </x:c>
      <x:c r="Y39" s="12" t="str">
        <x:v>WAYAN &amp; YOGI</x:v>
      </x:c>
      <x:c r="Z39" s="12" t="str"/>
      <x:c r="AA39" s="32" t="n">
        <x:f>IFERROR(VLOOKUP(G39,Master_Unit!$A$2:$N$78,7,FALSE),"")</x:f>
        <x:v>3</x:v>
      </x:c>
      <x:c r="AB39" s="32" t="n">
        <x:f>IF(OR(N39="",AA39=""),"",N39-AA39)</x:f>
        <x:v>-2.005964214711769</x:v>
      </x:c>
      <x:c r="AC39" s="20" t="n">
        <x:f>IF(OR(N39="",AA39="",AA39=0),"",AB39/AA39)</x:f>
        <x:v>-0.6686547382372563</x:v>
      </x:c>
      <x:c r="AD39" t="str">
        <x:f>IF(AA39="","NO STANDARD",IF(AC39&lt;=Config_Status!$B$2,"EFFICIENT",IF(AC39&lt;=Config_Status!$B$3,"NORMAL",IF(AC39&lt;=Config_Status!$B$4,"WARNING","OVER CONSUMPTION"))))</x:f>
        <x:v>EFFICIENT</x:v>
      </x:c>
      <x:c r="AE39" t="str">
        <x:f>IFERROR(VLOOKUP(G39,Master_Unit!$A$2:$N$78,13,FALSE),"UNIT NOT FOUND")</x:f>
        <x:v>Matched</x:v>
      </x:c>
    </x:row>
    <x:row r="40">
      <x:c r="A40" s="12" t="str">
        <x:v>FU-20260601-00039</x:v>
      </x:c>
      <x:c r="B40" s="12" t="n">
        <x:v>169</x:v>
      </x:c>
      <x:c r="C40" s="14" t="n">
        <x:v>46174</x:v>
      </x:c>
      <x:c r="D40" s="12" t="str">
        <x:v>Senin</x:v>
      </x:c>
      <x:c r="E40" s="12" t="str">
        <x:v>07:46:00</x:v>
      </x:c>
      <x:c r="F40" s="12" t="str">
        <x:v>All Shift Day</x:v>
      </x:c>
      <x:c r="G40" s="12" t="str">
        <x:v>LVTH24R023</x:v>
      </x:c>
      <x:c r="H40" s="12" t="str">
        <x:v>Light Vehicle</x:v>
      </x:c>
      <x:c r="I40" s="12" t="str">
        <x:v>LIGHT VEHICLE TOYOTA HILUX</x:v>
      </x:c>
      <x:c r="J40" s="16" t="n">
        <x:v>21</x:v>
      </x:c>
      <x:c r="K40" s="16" t="n">
        <x:v>48712</x:v>
      </x:c>
      <x:c r="L40" s="16" t="n">
        <x:v>48833</x:v>
      </x:c>
      <x:c r="M40" s="16" t="n">
        <x:v>121</x:v>
      </x:c>
      <x:c r="N40" s="16" t="n">
        <x:v>0.17355371900826447</x:v>
      </x:c>
      <x:c r="O40" s="12" t="str">
        <x:v>FTRL44G004</x:v>
      </x:c>
      <x:c r="P40" s="12" t="str">
        <x:v>LVTH24R023</x:v>
      </x:c>
      <x:c r="Q40" s="12" t="str"/>
      <x:c r="R40" s="12" t="str"/>
      <x:c r="S40" s="12" t="str"/>
      <x:c r="T40" s="12" t="str">
        <x:v>ABM</x:v>
      </x:c>
      <x:c r="U40" s="12" t="str"/>
      <x:c r="V40" s="12" t="str"/>
      <x:c r="W40" s="12" t="str"/>
      <x:c r="X40" s="12" t="str">
        <x:v>LVTH24</x:v>
      </x:c>
      <x:c r="Y40" s="12" t="str">
        <x:v>WAYAN &amp; YOGI</x:v>
      </x:c>
      <x:c r="Z40" s="12" t="str"/>
      <x:c r="AA40" s="32" t="n">
        <x:f>IFERROR(VLOOKUP(G40,Master_Unit!$A$2:$N$78,7,FALSE),"")</x:f>
        <x:v>0.2</x:v>
      </x:c>
      <x:c r="AB40" s="32" t="n">
        <x:f>IF(OR(N40="",AA40=""),"",N40-AA40)</x:f>
        <x:v>-0.026446280991735543</x:v>
      </x:c>
      <x:c r="AC40" s="20" t="n">
        <x:f>IF(OR(N40="",AA40="",AA40=0),"",AB40/AA40)</x:f>
        <x:v>-0.13223140495867772</x:v>
      </x:c>
      <x:c r="AD40" t="str">
        <x:f>IF(AA40="","NO STANDARD",IF(AC40&lt;=Config_Status!$B$2,"EFFICIENT",IF(AC40&lt;=Config_Status!$B$3,"NORMAL",IF(AC40&lt;=Config_Status!$B$4,"WARNING","OVER CONSUMPTION"))))</x:f>
        <x:v>EFFICIENT</x:v>
      </x:c>
      <x:c r="AE40" t="str">
        <x:f>IFERROR(VLOOKUP(G40,Master_Unit!$A$2:$N$78,13,FALSE),"UNIT NOT FOUND")</x:f>
        <x:v>Matched</x:v>
      </x:c>
    </x:row>
    <x:row r="41">
      <x:c r="A41" s="12" t="str">
        <x:v>FU-20260601-00040</x:v>
      </x:c>
      <x:c r="B41" s="12" t="n">
        <x:v>170</x:v>
      </x:c>
      <x:c r="C41" s="14" t="n">
        <x:v>46174</x:v>
      </x:c>
      <x:c r="D41" s="12" t="str">
        <x:v>Senin</x:v>
      </x:c>
      <x:c r="E41" s="12" t="str">
        <x:v>07:49:00</x:v>
      </x:c>
      <x:c r="F41" s="12" t="str">
        <x:v>All Shift Day</x:v>
      </x:c>
      <x:c r="G41" s="12" t="str">
        <x:v>VRVV11G013</x:v>
      </x:c>
      <x:c r="H41" s="12" t="str">
        <x:v>Compactor</x:v>
      </x:c>
      <x:c r="I41" s="12" t="str">
        <x:v>VIBRO COMPACTOR VOLVO SD110NE</x:v>
      </x:c>
      <x:c r="J41" s="16" t="n">
        <x:v>74</x:v>
      </x:c>
      <x:c r="K41" s="16" t="n">
        <x:v>3156.6</x:v>
      </x:c>
      <x:c r="L41" s="16" t="n">
        <x:v>3160.7</x:v>
      </x:c>
      <x:c r="M41" s="16" t="n">
        <x:v>4.099999999999909</x:v>
      </x:c>
      <x:c r="N41" s="16" t="n">
        <x:v>18.048780487805278</x:v>
      </x:c>
      <x:c r="O41" s="12" t="str">
        <x:v>FTRL44G004</x:v>
      </x:c>
      <x:c r="P41" s="12" t="str">
        <x:v>VRVV11G013</x:v>
      </x:c>
      <x:c r="Q41" s="12" t="str"/>
      <x:c r="R41" s="12" t="str"/>
      <x:c r="S41" s="12" t="str"/>
      <x:c r="T41" s="12" t="str">
        <x:v>ABM</x:v>
      </x:c>
      <x:c r="U41" s="12" t="str"/>
      <x:c r="V41" s="12" t="str"/>
      <x:c r="W41" s="12" t="str"/>
      <x:c r="X41" s="12" t="str">
        <x:v>VRVV11</x:v>
      </x:c>
      <x:c r="Y41" s="12" t="str">
        <x:v>WAYAN &amp; YOGI</x:v>
      </x:c>
      <x:c r="Z41" s="12" t="str"/>
      <x:c r="AA41" s="32" t="n">
        <x:f>IFERROR(VLOOKUP(G41,Master_Unit!$A$2:$N$78,7,FALSE),"")</x:f>
        <x:v>15</x:v>
      </x:c>
      <x:c r="AB41" s="32" t="n">
        <x:f>IF(OR(N41="",AA41=""),"",N41-AA41)</x:f>
        <x:v>3.0487804878052778</x:v>
      </x:c>
      <x:c r="AC41" s="20" t="n">
        <x:f>IF(OR(N41="",AA41="",AA41=0),"",AB41/AA41)</x:f>
        <x:v>0.20325203252035184</x:v>
      </x:c>
      <x:c r="AD41" t="str">
        <x:f>IF(AA41="","NO STANDARD",IF(AC41&lt;=Config_Status!$B$2,"EFFICIENT",IF(AC41&lt;=Config_Status!$B$3,"NORMAL",IF(AC41&lt;=Config_Status!$B$4,"WARNING","OVER CONSUMPTION"))))</x:f>
        <x:v>OVER CONSUMPTION</x:v>
      </x:c>
      <x:c r="AE41" t="str">
        <x:f>IFERROR(VLOOKUP(G41,Master_Unit!$A$2:$N$78,13,FALSE),"UNIT NOT FOUND")</x:f>
        <x:v>Matched</x:v>
      </x:c>
    </x:row>
    <x:row r="42">
      <x:c r="A42" s="12" t="str">
        <x:v>FU-20260601-00041</x:v>
      </x:c>
      <x:c r="B42" s="12" t="n">
        <x:v>171</x:v>
      </x:c>
      <x:c r="C42" s="14" t="n">
        <x:v>46174</x:v>
      </x:c>
      <x:c r="D42" s="12" t="str">
        <x:v>Senin</x:v>
      </x:c>
      <x:c r="E42" s="12" t="str">
        <x:v>07:51:00</x:v>
      </x:c>
      <x:c r="F42" s="12" t="str">
        <x:v>All Shift Day</x:v>
      </x:c>
      <x:c r="G42" s="12" t="str">
        <x:v>STRL44G141</x:v>
      </x:c>
      <x:c r="H42" s="12" t="str">
        <x:v>Dump Truck</x:v>
      </x:c>
      <x:c r="I42" s="12" t="str">
        <x:v>DUMP TRUCK RENAULT KRANGE440-P6X4 A/T</x:v>
      </x:c>
      <x:c r="J42" s="16" t="n">
        <x:v>100</x:v>
      </x:c>
      <x:c r="K42" s="16" t="n">
        <x:v>3082</x:v>
      </x:c>
      <x:c r="L42" s="16" t="n">
        <x:v>3091</x:v>
      </x:c>
      <x:c r="M42" s="16" t="n">
        <x:v>9</x:v>
      </x:c>
      <x:c r="N42" s="16" t="n">
        <x:v>11.11111111111111</x:v>
      </x:c>
      <x:c r="O42" s="12" t="str">
        <x:v>FTRL44G004</x:v>
      </x:c>
      <x:c r="P42" s="12" t="str">
        <x:v>STRL44G141</x:v>
      </x:c>
      <x:c r="Q42" s="12" t="str"/>
      <x:c r="R42" s="12" t="str"/>
      <x:c r="S42" s="12" t="str"/>
      <x:c r="T42" s="12" t="str">
        <x:v>ABM</x:v>
      </x:c>
      <x:c r="U42" s="12" t="str"/>
      <x:c r="V42" s="12" t="str"/>
      <x:c r="W42" s="12" t="str"/>
      <x:c r="X42" s="12" t="str">
        <x:v>STRL44</x:v>
      </x:c>
      <x:c r="Y42" s="12" t="str">
        <x:v>WAYAN &amp; YOGI</x:v>
      </x:c>
      <x:c r="Z42" s="12" t="str"/>
      <x:c r="AA42" s="32" t="n">
        <x:f>IFERROR(VLOOKUP(G42,Master_Unit!$A$2:$N$78,7,FALSE),"")</x:f>
        <x:v>20</x:v>
      </x:c>
      <x:c r="AB42" s="32" t="n">
        <x:f>IF(OR(N42="",AA42=""),"",N42-AA42)</x:f>
        <x:v>-8.88888888888889</x:v>
      </x:c>
      <x:c r="AC42" s="20" t="n">
        <x:f>IF(OR(N42="",AA42="",AA42=0),"",AB42/AA42)</x:f>
        <x:v>-0.4444444444444445</x:v>
      </x:c>
      <x:c r="AD42" t="str">
        <x:f>IF(AA42="","NO STANDARD",IF(AC42&lt;=Config_Status!$B$2,"EFFICIENT",IF(AC42&lt;=Config_Status!$B$3,"NORMAL",IF(AC42&lt;=Config_Status!$B$4,"WARNING","OVER CONSUMPTION"))))</x:f>
        <x:v>EFFICIENT</x:v>
      </x:c>
      <x:c r="AE42" t="str">
        <x:f>IFERROR(VLOOKUP(G42,Master_Unit!$A$2:$N$78,13,FALSE),"UNIT NOT FOUND")</x:f>
        <x:v>Matched</x:v>
      </x:c>
    </x:row>
    <x:row r="43">
      <x:c r="A43" s="12" t="str">
        <x:v>FU-20260601-00042</x:v>
      </x:c>
      <x:c r="B43" s="12" t="n">
        <x:v>172</x:v>
      </x:c>
      <x:c r="C43" s="14" t="n">
        <x:v>46174</x:v>
      </x:c>
      <x:c r="D43" s="12" t="str">
        <x:v>Senin</x:v>
      </x:c>
      <x:c r="E43" s="12" t="str">
        <x:v>07:55:00</x:v>
      </x:c>
      <x:c r="F43" s="12" t="str">
        <x:v>All Shift Day</x:v>
      </x:c>
      <x:c r="G43" s="12" t="str">
        <x:v>LVTH24R024</x:v>
      </x:c>
      <x:c r="H43" s="12" t="str">
        <x:v>Light Vehicle</x:v>
      </x:c>
      <x:c r="I43" s="12" t="str">
        <x:v>LIGHT VEHICLE TOYOTA HILUX</x:v>
      </x:c>
      <x:c r="J43" s="16" t="n">
        <x:v>21</x:v>
      </x:c>
      <x:c r="K43" s="16" t="n">
        <x:v>45583</x:v>
      </x:c>
      <x:c r="L43" s="16" t="n">
        <x:v>45657</x:v>
      </x:c>
      <x:c r="M43" s="16" t="n">
        <x:v>74</x:v>
      </x:c>
      <x:c r="N43" s="16" t="n">
        <x:v>0.28378378378378377</x:v>
      </x:c>
      <x:c r="O43" s="12" t="str">
        <x:v>FTRL44G004</x:v>
      </x:c>
      <x:c r="P43" s="12" t="str">
        <x:v>LVTH24R024</x:v>
      </x:c>
      <x:c r="Q43" s="12" t="str"/>
      <x:c r="R43" s="12" t="str"/>
      <x:c r="S43" s="12" t="str"/>
      <x:c r="T43" s="12" t="str">
        <x:v>ABM</x:v>
      </x:c>
      <x:c r="U43" s="12" t="str"/>
      <x:c r="V43" s="12" t="str"/>
      <x:c r="W43" s="12" t="str"/>
      <x:c r="X43" s="12" t="str">
        <x:v>LVTH24</x:v>
      </x:c>
      <x:c r="Y43" s="12" t="str">
        <x:v>WAYAN &amp; YOGI</x:v>
      </x:c>
      <x:c r="Z43" s="12" t="str"/>
      <x:c r="AA43" s="32" t="n">
        <x:f>IFERROR(VLOOKUP(G43,Master_Unit!$A$2:$N$78,7,FALSE),"")</x:f>
        <x:v>0.2</x:v>
      </x:c>
      <x:c r="AB43" s="32" t="n">
        <x:f>IF(OR(N43="",AA43=""),"",N43-AA43)</x:f>
        <x:v>0.08378378378378376</x:v>
      </x:c>
      <x:c r="AC43" s="20" t="n">
        <x:f>IF(OR(N43="",AA43="",AA43=0),"",AB43/AA43)</x:f>
        <x:v>0.4189189189189188</x:v>
      </x:c>
      <x:c r="AD43" t="str">
        <x:f>IF(AA43="","NO STANDARD",IF(AC43&lt;=Config_Status!$B$2,"EFFICIENT",IF(AC43&lt;=Config_Status!$B$3,"NORMAL",IF(AC43&lt;=Config_Status!$B$4,"WARNING","OVER CONSUMPTION"))))</x:f>
        <x:v>OVER CONSUMPTION</x:v>
      </x:c>
      <x:c r="AE43" t="str">
        <x:f>IFERROR(VLOOKUP(G43,Master_Unit!$A$2:$N$78,13,FALSE),"UNIT NOT FOUND")</x:f>
        <x:v>Matched</x:v>
      </x:c>
    </x:row>
    <x:row r="44">
      <x:c r="A44" s="12" t="str">
        <x:v>FU-20260601-00043</x:v>
      </x:c>
      <x:c r="B44" s="12" t="n">
        <x:v>173</x:v>
      </x:c>
      <x:c r="C44" s="14" t="n">
        <x:v>46174</x:v>
      </x:c>
      <x:c r="D44" s="12" t="str">
        <x:v>Senin</x:v>
      </x:c>
      <x:c r="E44" s="12" t="str">
        <x:v>08:01:00</x:v>
      </x:c>
      <x:c r="F44" s="12" t="str">
        <x:v>All Shift Day</x:v>
      </x:c>
      <x:c r="G44" s="12" t="str">
        <x:v>STRL44G135</x:v>
      </x:c>
      <x:c r="H44" s="12" t="str">
        <x:v>Dump Truck</x:v>
      </x:c>
      <x:c r="I44" s="12" t="str">
        <x:v>DUMP TRUCK RENAULT KRANGE440-P6X4 A/T</x:v>
      </x:c>
      <x:c r="J44" s="16" t="n">
        <x:v>135</x:v>
      </x:c>
      <x:c r="K44" s="16" t="n">
        <x:v>5708</x:v>
      </x:c>
      <x:c r="L44" s="16" t="n">
        <x:v>5718</x:v>
      </x:c>
      <x:c r="M44" s="16" t="n">
        <x:v>10</x:v>
      </x:c>
      <x:c r="N44" s="16" t="n">
        <x:v>13.5</x:v>
      </x:c>
      <x:c r="O44" s="12" t="str">
        <x:v>FTRL44G004</x:v>
      </x:c>
      <x:c r="P44" s="12" t="str">
        <x:v>STRL44G135</x:v>
      </x:c>
      <x:c r="Q44" s="12" t="str"/>
      <x:c r="R44" s="12" t="str"/>
      <x:c r="S44" s="12" t="str"/>
      <x:c r="T44" s="12" t="str">
        <x:v>ABM</x:v>
      </x:c>
      <x:c r="U44" s="12" t="str"/>
      <x:c r="V44" s="12" t="str"/>
      <x:c r="W44" s="12" t="str"/>
      <x:c r="X44" s="12" t="str">
        <x:v>STRL44</x:v>
      </x:c>
      <x:c r="Y44" s="12" t="str">
        <x:v>WAYAN &amp; YOGI</x:v>
      </x:c>
      <x:c r="Z44" s="12" t="str"/>
      <x:c r="AA44" s="32" t="n">
        <x:f>IFERROR(VLOOKUP(G44,Master_Unit!$A$2:$N$78,7,FALSE),"")</x:f>
        <x:v>20</x:v>
      </x:c>
      <x:c r="AB44" s="32" t="n">
        <x:f>IF(OR(N44="",AA44=""),"",N44-AA44)</x:f>
        <x:v>-6.5</x:v>
      </x:c>
      <x:c r="AC44" s="20" t="n">
        <x:f>IF(OR(N44="",AA44="",AA44=0),"",AB44/AA44)</x:f>
        <x:v>-0.325</x:v>
      </x:c>
      <x:c r="AD44" t="str">
        <x:f>IF(AA44="","NO STANDARD",IF(AC44&lt;=Config_Status!$B$2,"EFFICIENT",IF(AC44&lt;=Config_Status!$B$3,"NORMAL",IF(AC44&lt;=Config_Status!$B$4,"WARNING","OVER CONSUMPTION"))))</x:f>
        <x:v>EFFICIENT</x:v>
      </x:c>
      <x:c r="AE44" t="str">
        <x:f>IFERROR(VLOOKUP(G44,Master_Unit!$A$2:$N$78,13,FALSE),"UNIT NOT FOUND")</x:f>
        <x:v>Matched</x:v>
      </x:c>
    </x:row>
    <x:row r="45">
      <x:c r="A45" s="12" t="str">
        <x:v>FU-20260601-00044</x:v>
      </x:c>
      <x:c r="B45" s="12" t="n">
        <x:v>174</x:v>
      </x:c>
      <x:c r="C45" s="14" t="n">
        <x:v>46174</x:v>
      </x:c>
      <x:c r="D45" s="12" t="str">
        <x:v>Senin</x:v>
      </x:c>
      <x:c r="E45" s="12" t="str">
        <x:v>08:04:00</x:v>
      </x:c>
      <x:c r="F45" s="12" t="str">
        <x:v>All Shift Day</x:v>
      </x:c>
      <x:c r="G45" s="12" t="str">
        <x:v>STRL44G134</x:v>
      </x:c>
      <x:c r="H45" s="12" t="str">
        <x:v>Dump Truck</x:v>
      </x:c>
      <x:c r="I45" s="12" t="str">
        <x:v>DUMP TRUCK RENAULT KRANGE440-P6X4 A/T</x:v>
      </x:c>
      <x:c r="J45" s="16" t="n">
        <x:v>152</x:v>
      </x:c>
      <x:c r="K45" s="16" t="n">
        <x:v>5578</x:v>
      </x:c>
      <x:c r="L45" s="16" t="n">
        <x:v>5589</x:v>
      </x:c>
      <x:c r="M45" s="16" t="n">
        <x:v>11</x:v>
      </x:c>
      <x:c r="N45" s="16" t="n">
        <x:v>13.818181818181818</x:v>
      </x:c>
      <x:c r="O45" s="12" t="str">
        <x:v>FTRL44G004</x:v>
      </x:c>
      <x:c r="P45" s="12" t="str">
        <x:v>STRL44G134</x:v>
      </x:c>
      <x:c r="Q45" s="12" t="str"/>
      <x:c r="R45" s="12" t="str"/>
      <x:c r="S45" s="12" t="str"/>
      <x:c r="T45" s="12" t="str">
        <x:v>ABM</x:v>
      </x:c>
      <x:c r="U45" s="12" t="str"/>
      <x:c r="V45" s="12" t="str"/>
      <x:c r="W45" s="12" t="str"/>
      <x:c r="X45" s="12" t="str">
        <x:v>STRL44</x:v>
      </x:c>
      <x:c r="Y45" s="12" t="str">
        <x:v>WAYAN &amp; YOGI</x:v>
      </x:c>
      <x:c r="Z45" s="12" t="str"/>
      <x:c r="AA45" s="32" t="n">
        <x:f>IFERROR(VLOOKUP(G45,Master_Unit!$A$2:$N$78,7,FALSE),"")</x:f>
        <x:v>20</x:v>
      </x:c>
      <x:c r="AB45" s="32" t="n">
        <x:f>IF(OR(N45="",AA45=""),"",N45-AA45)</x:f>
        <x:v>-6.181818181818182</x:v>
      </x:c>
      <x:c r="AC45" s="20" t="n">
        <x:f>IF(OR(N45="",AA45="",AA45=0),"",AB45/AA45)</x:f>
        <x:v>-0.3090909090909091</x:v>
      </x:c>
      <x:c r="AD45" t="str">
        <x:f>IF(AA45="","NO STANDARD",IF(AC45&lt;=Config_Status!$B$2,"EFFICIENT",IF(AC45&lt;=Config_Status!$B$3,"NORMAL",IF(AC45&lt;=Config_Status!$B$4,"WARNING","OVER CONSUMPTION"))))</x:f>
        <x:v>EFFICIENT</x:v>
      </x:c>
      <x:c r="AE45" t="str">
        <x:f>IFERROR(VLOOKUP(G45,Master_Unit!$A$2:$N$78,13,FALSE),"UNIT NOT FOUND")</x:f>
        <x:v>Matched</x:v>
      </x:c>
    </x:row>
    <x:row r="46">
      <x:c r="A46" s="12" t="str">
        <x:v>FU-20260601-00045</x:v>
      </x:c>
      <x:c r="B46" s="12" t="n">
        <x:v>175</x:v>
      </x:c>
      <x:c r="C46" s="14" t="n">
        <x:v>46174</x:v>
      </x:c>
      <x:c r="D46" s="12" t="str">
        <x:v>Senin</x:v>
      </x:c>
      <x:c r="E46" s="12" t="str">
        <x:v>08:09:00</x:v>
      </x:c>
      <x:c r="F46" s="12" t="str">
        <x:v>All Shift Day</x:v>
      </x:c>
      <x:c r="G46" s="12" t="str">
        <x:v>MGSD20G007</x:v>
      </x:c>
      <x:c r="H46" s="12" t="str">
        <x:v>Other</x:v>
      </x:c>
      <x:c r="I46" s="12" t="str">
        <x:v>MOTOR GRADER SDLG GD9220F</x:v>
      </x:c>
      <x:c r="J46" s="16" t="n">
        <x:v>81</x:v>
      </x:c>
      <x:c r="K46" s="16" t="n">
        <x:v>3666.5</x:v>
      </x:c>
      <x:c r="L46" s="16" t="n">
        <x:v>3673.1</x:v>
      </x:c>
      <x:c r="M46" s="16" t="n">
        <x:v>6.599999999999909</x:v>
      </x:c>
      <x:c r="N46" s="16" t="n">
        <x:v>12.272727272727442</x:v>
      </x:c>
      <x:c r="O46" s="12" t="str">
        <x:v>FTRL44G004</x:v>
      </x:c>
      <x:c r="P46" s="12" t="str">
        <x:v>MGSD20G007</x:v>
      </x:c>
      <x:c r="Q46" s="12" t="str"/>
      <x:c r="R46" s="12" t="str"/>
      <x:c r="S46" s="12" t="str"/>
      <x:c r="T46" s="12" t="str">
        <x:v>ABM</x:v>
      </x:c>
      <x:c r="U46" s="12" t="str"/>
      <x:c r="V46" s="12" t="str"/>
      <x:c r="W46" s="12" t="str"/>
      <x:c r="X46" s="12" t="str">
        <x:v>MGSD20</x:v>
      </x:c>
      <x:c r="Y46" s="12" t="str">
        <x:v>WAYAN &amp; YOGI</x:v>
      </x:c>
      <x:c r="Z46" s="12" t="str"/>
      <x:c r="AA46" s="32" t="n">
        <x:f>IFERROR(VLOOKUP(G46,Master_Unit!$A$2:$N$78,7,FALSE),"")</x:f>
        <x:v>20</x:v>
      </x:c>
      <x:c r="AB46" s="32" t="n">
        <x:f>IF(OR(N46="",AA46=""),"",N46-AA46)</x:f>
        <x:v>-7.727272727272558</x:v>
      </x:c>
      <x:c r="AC46" s="20" t="n">
        <x:f>IF(OR(N46="",AA46="",AA46=0),"",AB46/AA46)</x:f>
        <x:v>-0.3863636363636279</x:v>
      </x:c>
      <x:c r="AD46" t="str">
        <x:f>IF(AA46="","NO STANDARD",IF(AC46&lt;=Config_Status!$B$2,"EFFICIENT",IF(AC46&lt;=Config_Status!$B$3,"NORMAL",IF(AC46&lt;=Config_Status!$B$4,"WARNING","OVER CONSUMPTION"))))</x:f>
        <x:v>EFFICIENT</x:v>
      </x:c>
      <x:c r="AE46" t="str">
        <x:f>IFERROR(VLOOKUP(G46,Master_Unit!$A$2:$N$78,13,FALSE),"UNIT NOT FOUND")</x:f>
        <x:v>Matched</x:v>
      </x:c>
    </x:row>
    <x:row r="47">
      <x:c r="A47" s="12" t="str">
        <x:v>FU-20260601-00046</x:v>
      </x:c>
      <x:c r="B47" s="12" t="n">
        <x:v>176</x:v>
      </x:c>
      <x:c r="C47" s="14" t="n">
        <x:v>46174</x:v>
      </x:c>
      <x:c r="D47" s="12" t="str">
        <x:v>Senin</x:v>
      </x:c>
      <x:c r="E47" s="12" t="str">
        <x:v>08:16:00</x:v>
      </x:c>
      <x:c r="F47" s="12" t="str">
        <x:v>All Shift Day</x:v>
      </x:c>
      <x:c r="G47" s="12" t="str">
        <x:v>LTRL44G002</x:v>
      </x:c>
      <x:c r="H47" s="12" t="str">
        <x:v>Lube Truck</x:v>
      </x:c>
      <x:c r="I47" s="12" t="str">
        <x:v>LUBE TRUCK RENAULT KRANGE440-P6X4 A/T</x:v>
      </x:c>
      <x:c r="J47" s="16" t="n">
        <x:v>66</x:v>
      </x:c>
      <x:c r="K47" s="16" t="n">
        <x:v>2038</x:v>
      </x:c>
      <x:c r="L47" s="16" t="n">
        <x:v>2042</x:v>
      </x:c>
      <x:c r="M47" s="16" t="n">
        <x:v>4</x:v>
      </x:c>
      <x:c r="N47" s="16" t="n">
        <x:v>16.5</x:v>
      </x:c>
      <x:c r="O47" s="12" t="str">
        <x:v>FTRL44G004</x:v>
      </x:c>
      <x:c r="P47" s="12" t="str">
        <x:v>LTRL44G002</x:v>
      </x:c>
      <x:c r="Q47" s="12" t="str"/>
      <x:c r="R47" s="12" t="str"/>
      <x:c r="S47" s="12" t="str"/>
      <x:c r="T47" s="12" t="str">
        <x:v>ABM</x:v>
      </x:c>
      <x:c r="U47" s="12" t="str"/>
      <x:c r="V47" s="12" t="str"/>
      <x:c r="W47" s="12" t="str"/>
      <x:c r="X47" s="12" t="str">
        <x:v>LTRL44</x:v>
      </x:c>
      <x:c r="Y47" s="12" t="str">
        <x:v>WAYAN &amp; YOGI</x:v>
      </x:c>
      <x:c r="Z47" s="12" t="str"/>
      <x:c r="AA47" s="32" t="n">
        <x:f>IFERROR(VLOOKUP(G47,Master_Unit!$A$2:$N$78,7,FALSE),"")</x:f>
        <x:v>20</x:v>
      </x:c>
      <x:c r="AB47" s="32" t="n">
        <x:f>IF(OR(N47="",AA47=""),"",N47-AA47)</x:f>
        <x:v>-3.5</x:v>
      </x:c>
      <x:c r="AC47" s="20" t="n">
        <x:f>IF(OR(N47="",AA47="",AA47=0),"",AB47/AA47)</x:f>
        <x:v>-0.175</x:v>
      </x:c>
      <x:c r="AD47" t="str">
        <x:f>IF(AA47="","NO STANDARD",IF(AC47&lt;=Config_Status!$B$2,"EFFICIENT",IF(AC47&lt;=Config_Status!$B$3,"NORMAL",IF(AC47&lt;=Config_Status!$B$4,"WARNING","OVER CONSUMPTION"))))</x:f>
        <x:v>EFFICIENT</x:v>
      </x:c>
      <x:c r="AE47" t="str">
        <x:f>IFERROR(VLOOKUP(G47,Master_Unit!$A$2:$N$78,13,FALSE),"UNIT NOT FOUND")</x:f>
        <x:v>Matched</x:v>
      </x:c>
    </x:row>
    <x:row r="48">
      <x:c r="A48" s="12" t="str">
        <x:v>FU-20260601-00047</x:v>
      </x:c>
      <x:c r="B48" s="12" t="n">
        <x:v>177</x:v>
      </x:c>
      <x:c r="C48" s="14" t="n">
        <x:v>46174</x:v>
      </x:c>
      <x:c r="D48" s="12" t="str">
        <x:v>Senin</x:v>
      </x:c>
      <x:c r="E48" s="12" t="str">
        <x:v>08:19:00</x:v>
      </x:c>
      <x:c r="F48" s="12" t="str">
        <x:v>All Shift Day</x:v>
      </x:c>
      <x:c r="G48" s="12" t="str">
        <x:v>FTRL44G005</x:v>
      </x:c>
      <x:c r="H48" s="12" t="str">
        <x:v>Fuel Truck</x:v>
      </x:c>
      <x:c r="I48" s="12" t="str">
        <x:v>FUEL TRUCK RENAULT KRANGE440-P6X4 A/T</x:v>
      </x:c>
      <x:c r="J48" s="16" t="n">
        <x:v>150</x:v>
      </x:c>
      <x:c r="K48" s="16" t="n">
        <x:v>3596</x:v>
      </x:c>
      <x:c r="L48" s="16" t="n">
        <x:v>3606</x:v>
      </x:c>
      <x:c r="M48" s="16" t="n">
        <x:v>10</x:v>
      </x:c>
      <x:c r="N48" s="16" t="n">
        <x:v>15</x:v>
      </x:c>
      <x:c r="O48" s="12" t="str">
        <x:v>FTRL44G004</x:v>
      </x:c>
      <x:c r="P48" s="12" t="str">
        <x:v>FTRL44G005</x:v>
      </x:c>
      <x:c r="Q48" s="12" t="str"/>
      <x:c r="R48" s="12" t="str"/>
      <x:c r="S48" s="12" t="str"/>
      <x:c r="T48" s="12" t="str">
        <x:v>ABM</x:v>
      </x:c>
      <x:c r="U48" s="12" t="str"/>
      <x:c r="V48" s="12" t="str"/>
      <x:c r="W48" s="12" t="str"/>
      <x:c r="X48" s="12" t="str">
        <x:v>FTRL44</x:v>
      </x:c>
      <x:c r="Y48" s="12" t="str">
        <x:v>WAYAN &amp; YOGI</x:v>
      </x:c>
      <x:c r="Z48" s="12" t="str"/>
      <x:c r="AA48" s="32" t="n">
        <x:f>IFERROR(VLOOKUP(G48,Master_Unit!$A$2:$N$78,7,FALSE),"")</x:f>
        <x:v>13</x:v>
      </x:c>
      <x:c r="AB48" s="32" t="n">
        <x:f>IF(OR(N48="",AA48=""),"",N48-AA48)</x:f>
        <x:v>2</x:v>
      </x:c>
      <x:c r="AC48" s="20" t="n">
        <x:f>IF(OR(N48="",AA48="",AA48=0),"",AB48/AA48)</x:f>
        <x:v>0.15384615384615385</x:v>
      </x:c>
      <x:c r="AD48" t="str">
        <x:f>IF(AA48="","NO STANDARD",IF(AC48&lt;=Config_Status!$B$2,"EFFICIENT",IF(AC48&lt;=Config_Status!$B$3,"NORMAL",IF(AC48&lt;=Config_Status!$B$4,"WARNING","OVER CONSUMPTION"))))</x:f>
        <x:v>WARNING</x:v>
      </x:c>
      <x:c r="AE48" t="str">
        <x:f>IFERROR(VLOOKUP(G48,Master_Unit!$A$2:$N$78,13,FALSE),"UNIT NOT FOUND")</x:f>
        <x:v>Matched</x:v>
      </x:c>
    </x:row>
    <x:row r="49">
      <x:c r="A49" s="12" t="str">
        <x:v>FU-20260601-00048</x:v>
      </x:c>
      <x:c r="B49" s="12" t="n">
        <x:v>178</x:v>
      </x:c>
      <x:c r="C49" s="14" t="n">
        <x:v>46174</x:v>
      </x:c>
      <x:c r="D49" s="12" t="str">
        <x:v>Senin</x:v>
      </x:c>
      <x:c r="E49" s="12" t="str">
        <x:v>11:53:00</x:v>
      </x:c>
      <x:c r="F49" s="12" t="str">
        <x:v>All Shift Day</x:v>
      </x:c>
      <x:c r="G49" s="12" t="str">
        <x:v>WTRL44G007</x:v>
      </x:c>
      <x:c r="H49" s="12" t="str">
        <x:v>Water Truck</x:v>
      </x:c>
      <x:c r="I49" s="12" t="str">
        <x:v>WATER TRUCK RENAULT KRANGE440-P6X4 A/T</x:v>
      </x:c>
      <x:c r="J49" s="16" t="n">
        <x:v>70</x:v>
      </x:c>
      <x:c r="K49" s="16" t="n">
        <x:v>1564</x:v>
      </x:c>
      <x:c r="L49" s="16" t="n">
        <x:v>1571</x:v>
      </x:c>
      <x:c r="M49" s="16" t="n">
        <x:v>7</x:v>
      </x:c>
      <x:c r="N49" s="16" t="n">
        <x:v>10</x:v>
      </x:c>
      <x:c r="O49" s="12" t="str">
        <x:v>FTRL44G004</x:v>
      </x:c>
      <x:c r="P49" s="12" t="str">
        <x:v>WTRL44G007</x:v>
      </x:c>
      <x:c r="Q49" s="12" t="str"/>
      <x:c r="R49" s="12" t="str"/>
      <x:c r="S49" s="12" t="str"/>
      <x:c r="T49" s="12" t="str">
        <x:v>ABM</x:v>
      </x:c>
      <x:c r="U49" s="12" t="str"/>
      <x:c r="V49" s="12" t="str"/>
      <x:c r="W49" s="12" t="str"/>
      <x:c r="X49" s="12" t="str">
        <x:v>WTRL44</x:v>
      </x:c>
      <x:c r="Y49" s="12" t="str">
        <x:v>WAYAN &amp; YOGI</x:v>
      </x:c>
      <x:c r="Z49" s="12" t="str"/>
      <x:c r="AA49" s="32" t="n">
        <x:f>IFERROR(VLOOKUP(G49,Master_Unit!$A$2:$N$78,7,FALSE),"")</x:f>
        <x:v>20</x:v>
      </x:c>
      <x:c r="AB49" s="32" t="n">
        <x:f>IF(OR(N49="",AA49=""),"",N49-AA49)</x:f>
        <x:v>-10</x:v>
      </x:c>
      <x:c r="AC49" s="20" t="n">
        <x:f>IF(OR(N49="",AA49="",AA49=0),"",AB49/AA49)</x:f>
        <x:v>-0.5</x:v>
      </x:c>
      <x:c r="AD49" t="str">
        <x:f>IF(AA49="","NO STANDARD",IF(AC49&lt;=Config_Status!$B$2,"EFFICIENT",IF(AC49&lt;=Config_Status!$B$3,"NORMAL",IF(AC49&lt;=Config_Status!$B$4,"WARNING","OVER CONSUMPTION"))))</x:f>
        <x:v>EFFICIENT</x:v>
      </x:c>
      <x:c r="AE49" t="str">
        <x:f>IFERROR(VLOOKUP(G49,Master_Unit!$A$2:$N$78,13,FALSE),"UNIT NOT FOUND")</x:f>
        <x:v>Matched</x:v>
      </x:c>
    </x:row>
    <x:row r="50">
      <x:c r="A50" s="12" t="str">
        <x:v>FU-20260601-00049</x:v>
      </x:c>
      <x:c r="B50" s="12" t="n">
        <x:v>179</x:v>
      </x:c>
      <x:c r="C50" s="14" t="n">
        <x:v>46174</x:v>
      </x:c>
      <x:c r="D50" s="12" t="str">
        <x:v>Senin</x:v>
      </x:c>
      <x:c r="E50" s="12" t="str">
        <x:v>11:58:00</x:v>
      </x:c>
      <x:c r="F50" s="12" t="str">
        <x:v>All Shift Day</x:v>
      </x:c>
      <x:c r="G50" s="12" t="str">
        <x:v>EXVV21G032</x:v>
      </x:c>
      <x:c r="H50" s="12" t="str">
        <x:v>Excavator</x:v>
      </x:c>
      <x:c r="I50" s="12" t="str">
        <x:v>EXCAVATOR VOLVO EC210D</x:v>
      </x:c>
      <x:c r="J50" s="16" t="n">
        <x:v>156</x:v>
      </x:c>
      <x:c r="K50" s="16" t="n">
        <x:v>7391.7</x:v>
      </x:c>
      <x:c r="L50" s="16" t="n">
        <x:v>7401.2</x:v>
      </x:c>
      <x:c r="M50" s="16" t="n">
        <x:v>9.5</x:v>
      </x:c>
      <x:c r="N50" s="16" t="n">
        <x:v>16.42105263157895</x:v>
      </x:c>
      <x:c r="O50" s="12" t="str">
        <x:v>FTRL44G004</x:v>
      </x:c>
      <x:c r="P50" s="12" t="str">
        <x:v>EXVV21G032</x:v>
      </x:c>
      <x:c r="Q50" s="12" t="str"/>
      <x:c r="R50" s="12" t="str"/>
      <x:c r="S50" s="12" t="str"/>
      <x:c r="T50" s="12" t="str">
        <x:v>ABM</x:v>
      </x:c>
      <x:c r="U50" s="12" t="str"/>
      <x:c r="V50" s="12" t="str"/>
      <x:c r="W50" s="12" t="str"/>
      <x:c r="X50" s="12" t="str">
        <x:v>EXVV21</x:v>
      </x:c>
      <x:c r="Y50" s="12" t="str">
        <x:v>WAYAN &amp; YOGI</x:v>
      </x:c>
      <x:c r="Z50" s="12" t="str"/>
      <x:c r="AA50" s="32" t="n">
        <x:f>IFERROR(VLOOKUP(G50,Master_Unit!$A$2:$N$78,7,FALSE),"")</x:f>
        <x:v>20</x:v>
      </x:c>
      <x:c r="AB50" s="32" t="n">
        <x:f>IF(OR(N50="",AA50=""),"",N50-AA50)</x:f>
        <x:v>-3.5789473684210513</x:v>
      </x:c>
      <x:c r="AC50" s="20" t="n">
        <x:f>IF(OR(N50="",AA50="",AA50=0),"",AB50/AA50)</x:f>
        <x:v>-0.17894736842105258</x:v>
      </x:c>
      <x:c r="AD50" t="str">
        <x:f>IF(AA50="","NO STANDARD",IF(AC50&lt;=Config_Status!$B$2,"EFFICIENT",IF(AC50&lt;=Config_Status!$B$3,"NORMAL",IF(AC50&lt;=Config_Status!$B$4,"WARNING","OVER CONSUMPTION"))))</x:f>
        <x:v>EFFICIENT</x:v>
      </x:c>
      <x:c r="AE50" t="str">
        <x:f>IFERROR(VLOOKUP(G50,Master_Unit!$A$2:$N$78,13,FALSE),"UNIT NOT FOUND")</x:f>
        <x:v>Matched</x:v>
      </x:c>
    </x:row>
    <x:row r="51">
      <x:c r="A51" s="12" t="str">
        <x:v>FU-20260601-00050</x:v>
      </x:c>
      <x:c r="B51" s="12" t="n">
        <x:v>180</x:v>
      </x:c>
      <x:c r="C51" s="14" t="n">
        <x:v>46174</x:v>
      </x:c>
      <x:c r="D51" s="12" t="str">
        <x:v>Senin</x:v>
      </x:c>
      <x:c r="E51" s="12" t="str">
        <x:v>12:07:00</x:v>
      </x:c>
      <x:c r="F51" s="12" t="str">
        <x:v>All Shift Day</x:v>
      </x:c>
      <x:c r="G51" s="12" t="str">
        <x:v>EXVV35G004</x:v>
      </x:c>
      <x:c r="H51" s="12" t="str">
        <x:v>Excavator</x:v>
      </x:c>
      <x:c r="I51" s="12" t="str">
        <x:v>EXCAVATOR VOLVO EC350D</x:v>
      </x:c>
      <x:c r="J51" s="16" t="n">
        <x:v>205</x:v>
      </x:c>
      <x:c r="K51" s="16" t="n">
        <x:v>2472.4</x:v>
      </x:c>
      <x:c r="L51" s="16" t="n">
        <x:v>2482.3</x:v>
      </x:c>
      <x:c r="M51" s="16" t="n">
        <x:v>9.900000000000091</x:v>
      </x:c>
      <x:c r="N51" s="16" t="n">
        <x:v>20.707070707070518</x:v>
      </x:c>
      <x:c r="O51" s="12" t="str">
        <x:v>FTRL44G004</x:v>
      </x:c>
      <x:c r="P51" s="12" t="str">
        <x:v>EXVV35G004</x:v>
      </x:c>
      <x:c r="Q51" s="12" t="str"/>
      <x:c r="R51" s="12" t="str"/>
      <x:c r="S51" s="12" t="str"/>
      <x:c r="T51" s="12" t="str">
        <x:v>ABM</x:v>
      </x:c>
      <x:c r="U51" s="12" t="str"/>
      <x:c r="V51" s="12" t="str"/>
      <x:c r="W51" s="12" t="str"/>
      <x:c r="X51" s="12" t="str">
        <x:v>EXVV35</x:v>
      </x:c>
      <x:c r="Y51" s="12" t="str">
        <x:v>WAYAN &amp; YOGI</x:v>
      </x:c>
      <x:c r="Z51" s="12" t="str"/>
      <x:c r="AA51" s="32" t="n">
        <x:f>IFERROR(VLOOKUP(G51,Master_Unit!$A$2:$N$78,7,FALSE),"")</x:f>
        <x:v>25</x:v>
      </x:c>
      <x:c r="AB51" s="32" t="n">
        <x:f>IF(OR(N51="",AA51=""),"",N51-AA51)</x:f>
        <x:v>-4.292929292929482</x:v>
      </x:c>
      <x:c r="AC51" s="20" t="n">
        <x:f>IF(OR(N51="",AA51="",AA51=0),"",AB51/AA51)</x:f>
        <x:v>-0.1717171717171793</x:v>
      </x:c>
      <x:c r="AD51" t="str">
        <x:f>IF(AA51="","NO STANDARD",IF(AC51&lt;=Config_Status!$B$2,"EFFICIENT",IF(AC51&lt;=Config_Status!$B$3,"NORMAL",IF(AC51&lt;=Config_Status!$B$4,"WARNING","OVER CONSUMPTION"))))</x:f>
        <x:v>EFFICIENT</x:v>
      </x:c>
      <x:c r="AE51" t="str">
        <x:f>IFERROR(VLOOKUP(G51,Master_Unit!$A$2:$N$78,13,FALSE),"UNIT NOT FOUND")</x:f>
        <x:v>Matched</x:v>
      </x:c>
    </x:row>
    <x:row r="52">
      <x:c r="A52" s="12" t="str">
        <x:v>FU-20260601-00051</x:v>
      </x:c>
      <x:c r="B52" s="12" t="n">
        <x:v>181</x:v>
      </x:c>
      <x:c r="C52" s="14" t="n">
        <x:v>46174</x:v>
      </x:c>
      <x:c r="D52" s="12" t="str">
        <x:v>Senin</x:v>
      </x:c>
      <x:c r="E52" s="12" t="str">
        <x:v>12:11:00</x:v>
      </x:c>
      <x:c r="F52" s="12" t="str">
        <x:v>All Shift Day</x:v>
      </x:c>
      <x:c r="G52" s="12" t="str">
        <x:v>TLYM50G023</x:v>
      </x:c>
      <x:c r="H52" s="12" t="str">
        <x:v>Other</x:v>
      </x:c>
      <x:c r="I52" s="12" t="str">
        <x:v>TOWERLAMP YAMAGEN YDG5001SE-D-TLD4</x:v>
      </x:c>
      <x:c r="J52" s="16" t="n">
        <x:v>15</x:v>
      </x:c>
      <x:c r="K52" s="16" t="n">
        <x:v>4400.79</x:v>
      </x:c>
      <x:c r="L52" s="16" t="n">
        <x:v>4420.32</x:v>
      </x:c>
      <x:c r="M52" s="16" t="n">
        <x:v>19.529999999999745</x:v>
      </x:c>
      <x:c r="N52" s="16" t="n">
        <x:v>0.7680491551459393</x:v>
      </x:c>
      <x:c r="O52" s="12" t="str">
        <x:v>FTRL44G004</x:v>
      </x:c>
      <x:c r="P52" s="12" t="str">
        <x:v>TLYM50G023</x:v>
      </x:c>
      <x:c r="Q52" s="12" t="str"/>
      <x:c r="R52" s="12" t="str"/>
      <x:c r="S52" s="12" t="str"/>
      <x:c r="T52" s="12" t="str">
        <x:v>ABM</x:v>
      </x:c>
      <x:c r="U52" s="12" t="str"/>
      <x:c r="V52" s="12" t="str"/>
      <x:c r="W52" s="12" t="str"/>
      <x:c r="X52" s="12" t="str">
        <x:v>TLYM50</x:v>
      </x:c>
      <x:c r="Y52" s="12" t="str">
        <x:v>WAYAN &amp; YOGI</x:v>
      </x:c>
      <x:c r="Z52" s="12" t="str"/>
      <x:c r="AA52" s="32" t="n">
        <x:f>IFERROR(VLOOKUP(G52,Master_Unit!$A$2:$N$78,7,FALSE),"")</x:f>
        <x:v>2</x:v>
      </x:c>
      <x:c r="AB52" s="32" t="n">
        <x:f>IF(OR(N52="",AA52=""),"",N52-AA52)</x:f>
        <x:v>-1.2319508448540608</x:v>
      </x:c>
      <x:c r="AC52" s="20" t="n">
        <x:f>IF(OR(N52="",AA52="",AA52=0),"",AB52/AA52)</x:f>
        <x:v>-0.6159754224270304</x:v>
      </x:c>
      <x:c r="AD52" t="str">
        <x:f>IF(AA52="","NO STANDARD",IF(AC52&lt;=Config_Status!$B$2,"EFFICIENT",IF(AC52&lt;=Config_Status!$B$3,"NORMAL",IF(AC52&lt;=Config_Status!$B$4,"WARNING","OVER CONSUMPTION"))))</x:f>
        <x:v>EFFICIENT</x:v>
      </x:c>
      <x:c r="AE52" t="str">
        <x:f>IFERROR(VLOOKUP(G52,Master_Unit!$A$2:$N$78,13,FALSE),"UNIT NOT FOUND")</x:f>
        <x:v>Matched</x:v>
      </x:c>
    </x:row>
    <x:row r="53">
      <x:c r="A53" s="12" t="str">
        <x:v>FU-20260601-00052</x:v>
      </x:c>
      <x:c r="B53" s="12" t="n">
        <x:v>182</x:v>
      </x:c>
      <x:c r="C53" s="14" t="n">
        <x:v>46174</x:v>
      </x:c>
      <x:c r="D53" s="12" t="str">
        <x:v>Senin</x:v>
      </x:c>
      <x:c r="E53" s="12" t="str">
        <x:v>18:34:00</x:v>
      </x:c>
      <x:c r="F53" s="12" t="str">
        <x:v>All Shift Night</x:v>
      </x:c>
      <x:c r="G53" s="12" t="str">
        <x:v>EXVV21G040</x:v>
      </x:c>
      <x:c r="H53" s="12" t="str">
        <x:v>Excavator</x:v>
      </x:c>
      <x:c r="I53" s="12" t="str">
        <x:v>EXCAVATOR VOLVO EC210D</x:v>
      </x:c>
      <x:c r="J53" s="16" t="n">
        <x:v>174</x:v>
      </x:c>
      <x:c r="K53" s="16" t="n">
        <x:v>6473.7</x:v>
      </x:c>
      <x:c r="L53" s="16" t="n">
        <x:v>6482.4</x:v>
      </x:c>
      <x:c r="M53" s="16" t="n">
        <x:v>8.699999999999818</x:v>
      </x:c>
      <x:c r="N53" s="16" t="n">
        <x:v>20.00000000000042</x:v>
      </x:c>
      <x:c r="O53" s="12" t="str">
        <x:v>FTRL44G004</x:v>
      </x:c>
      <x:c r="P53" s="12" t="str">
        <x:v>EXVV21G040</x:v>
      </x:c>
      <x:c r="Q53" s="12" t="str"/>
      <x:c r="R53" s="12" t="str"/>
      <x:c r="S53" s="12" t="str"/>
      <x:c r="T53" s="12" t="str">
        <x:v>ABM</x:v>
      </x:c>
      <x:c r="U53" s="12" t="str"/>
      <x:c r="V53" s="12" t="str"/>
      <x:c r="W53" s="12" t="str"/>
      <x:c r="X53" s="12" t="str">
        <x:v>EXVV21</x:v>
      </x:c>
      <x:c r="Y53" s="12" t="str">
        <x:v>RAFIF &amp; RUSLAN</x:v>
      </x:c>
      <x:c r="Z53" s="12" t="str"/>
      <x:c r="AA53" s="32" t="n">
        <x:f>IFERROR(VLOOKUP(G53,Master_Unit!$A$2:$N$78,7,FALSE),"")</x:f>
        <x:v>20</x:v>
      </x:c>
      <x:c r="AB53" s="32" t="n">
        <x:f>IF(OR(N53="",AA53=""),"",N53-AA53)</x:f>
        <x:v>4.192202140984591e-13</x:v>
      </x:c>
      <x:c r="AC53" s="20" t="n">
        <x:f>IF(OR(N53="",AA53="",AA53=0),"",AB53/AA53)</x:f>
        <x:v>2.0961010704922957e-14</x:v>
      </x:c>
      <x:c r="AD53" t="str">
        <x:f>IF(AA53="","NO STANDARD",IF(AC53&lt;=Config_Status!$B$2,"EFFICIENT",IF(AC53&lt;=Config_Status!$B$3,"NORMAL",IF(AC53&lt;=Config_Status!$B$4,"WARNING","OVER CONSUMPTION"))))</x:f>
        <x:v>NORMAL</x:v>
      </x:c>
      <x:c r="AE53" t="str">
        <x:f>IFERROR(VLOOKUP(G53,Master_Unit!$A$2:$N$78,13,FALSE),"UNIT NOT FOUND")</x:f>
        <x:v>Matched</x:v>
      </x:c>
    </x:row>
    <x:row r="54">
      <x:c r="A54" s="12" t="str">
        <x:v>FU-20260601-00053</x:v>
      </x:c>
      <x:c r="B54" s="12" t="n">
        <x:v>183</x:v>
      </x:c>
      <x:c r="C54" s="14" t="n">
        <x:v>46174</x:v>
      </x:c>
      <x:c r="D54" s="12" t="str">
        <x:v>Senin</x:v>
      </x:c>
      <x:c r="E54" s="12" t="str">
        <x:v>18:45:00</x:v>
      </x:c>
      <x:c r="F54" s="12" t="str">
        <x:v>All Shift Night</x:v>
      </x:c>
      <x:c r="G54" s="12" t="str">
        <x:v>EXVV35G004</x:v>
      </x:c>
      <x:c r="H54" s="12" t="str">
        <x:v>Excavator</x:v>
      </x:c>
      <x:c r="I54" s="12" t="str">
        <x:v>EXCAVATOR VOLVO EC350D</x:v>
      </x:c>
      <x:c r="J54" s="16" t="n">
        <x:v>225</x:v>
      </x:c>
      <x:c r="K54" s="16" t="n">
        <x:v>2482.3</x:v>
      </x:c>
      <x:c r="L54" s="16" t="n">
        <x:v>2486.5</x:v>
      </x:c>
      <x:c r="M54" s="16" t="n">
        <x:v>4.199999999999818</x:v>
      </x:c>
      <x:c r="N54" s="16" t="n">
        <x:v>53.57142857143089</x:v>
      </x:c>
      <x:c r="O54" s="12" t="str">
        <x:v>FTRL44G004</x:v>
      </x:c>
      <x:c r="P54" s="12" t="str">
        <x:v>EXVV35G004</x:v>
      </x:c>
      <x:c r="Q54" s="12" t="str"/>
      <x:c r="R54" s="12" t="str"/>
      <x:c r="S54" s="12" t="str"/>
      <x:c r="T54" s="12" t="str">
        <x:v>ABM</x:v>
      </x:c>
      <x:c r="U54" s="12" t="str"/>
      <x:c r="V54" s="12" t="str"/>
      <x:c r="W54" s="12" t="str"/>
      <x:c r="X54" s="12" t="str">
        <x:v>EXVV35</x:v>
      </x:c>
      <x:c r="Y54" s="12" t="str">
        <x:v>RAFIF &amp; RUSLAN</x:v>
      </x:c>
      <x:c r="Z54" s="12" t="str"/>
      <x:c r="AA54" s="32" t="n">
        <x:f>IFERROR(VLOOKUP(G54,Master_Unit!$A$2:$N$78,7,FALSE),"")</x:f>
        <x:v>25</x:v>
      </x:c>
      <x:c r="AB54" s="32" t="n">
        <x:f>IF(OR(N54="",AA54=""),"",N54-AA54)</x:f>
        <x:v>28.571428571430893</x:v>
      </x:c>
      <x:c r="AC54" s="20" t="n">
        <x:f>IF(OR(N54="",AA54="",AA54=0),"",AB54/AA54)</x:f>
        <x:v>1.1428571428572356</x:v>
      </x:c>
      <x:c r="AD54" t="str">
        <x:f>IF(AA54="","NO STANDARD",IF(AC54&lt;=Config_Status!$B$2,"EFFICIENT",IF(AC54&lt;=Config_Status!$B$3,"NORMAL",IF(AC54&lt;=Config_Status!$B$4,"WARNING","OVER CONSUMPTION"))))</x:f>
        <x:v>OVER CONSUMPTION</x:v>
      </x:c>
      <x:c r="AE54" t="str">
        <x:f>IFERROR(VLOOKUP(G54,Master_Unit!$A$2:$N$78,13,FALSE),"UNIT NOT FOUND")</x:f>
        <x:v>Matched</x:v>
      </x:c>
    </x:row>
    <x:row r="55">
      <x:c r="A55" s="12" t="str">
        <x:v>FU-20260601-00054</x:v>
      </x:c>
      <x:c r="B55" s="12" t="n">
        <x:v>184</x:v>
      </x:c>
      <x:c r="C55" s="14" t="n">
        <x:v>46174</x:v>
      </x:c>
      <x:c r="D55" s="12" t="str">
        <x:v>Senin</x:v>
      </x:c>
      <x:c r="E55" s="12" t="str">
        <x:v>18:55:00</x:v>
      </x:c>
      <x:c r="F55" s="12" t="str">
        <x:v>All Shift Night</x:v>
      </x:c>
      <x:c r="G55" s="12" t="str">
        <x:v>STRL44G137</x:v>
      </x:c>
      <x:c r="H55" s="12" t="str">
        <x:v>Dump Truck</x:v>
      </x:c>
      <x:c r="I55" s="12" t="str">
        <x:v>DUMP TRUCK RENAULT KRANGE440-P6X4 A/T</x:v>
      </x:c>
      <x:c r="J55" s="16" t="n">
        <x:v>180</x:v>
      </x:c>
      <x:c r="K55" s="16" t="n">
        <x:v>6310</x:v>
      </x:c>
      <x:c r="L55" s="16" t="n">
        <x:v>6331</x:v>
      </x:c>
      <x:c r="M55" s="16" t="n">
        <x:v>21</x:v>
      </x:c>
      <x:c r="N55" s="16" t="n">
        <x:v>8.571428571428571</x:v>
      </x:c>
      <x:c r="O55" s="12" t="str">
        <x:v>FTRL44G004</x:v>
      </x:c>
      <x:c r="P55" s="12" t="str">
        <x:v>STRL44G137</x:v>
      </x:c>
      <x:c r="Q55" s="12" t="str"/>
      <x:c r="R55" s="12" t="str"/>
      <x:c r="S55" s="12" t="str"/>
      <x:c r="T55" s="12" t="str">
        <x:v>ABM</x:v>
      </x:c>
      <x:c r="U55" s="12" t="str"/>
      <x:c r="V55" s="12" t="str"/>
      <x:c r="W55" s="12" t="str"/>
      <x:c r="X55" s="12" t="str">
        <x:v>STRL44</x:v>
      </x:c>
      <x:c r="Y55" s="12" t="str">
        <x:v>RAFIF &amp; RUSLAN</x:v>
      </x:c>
      <x:c r="Z55" s="12" t="str"/>
      <x:c r="AA55" s="32" t="n">
        <x:f>IFERROR(VLOOKUP(G55,Master_Unit!$A$2:$N$78,7,FALSE),"")</x:f>
        <x:v>20</x:v>
      </x:c>
      <x:c r="AB55" s="32" t="n">
        <x:f>IF(OR(N55="",AA55=""),"",N55-AA55)</x:f>
        <x:v>-11.428571428571429</x:v>
      </x:c>
      <x:c r="AC55" s="20" t="n">
        <x:f>IF(OR(N55="",AA55="",AA55=0),"",AB55/AA55)</x:f>
        <x:v>-0.5714285714285714</x:v>
      </x:c>
      <x:c r="AD55" t="str">
        <x:f>IF(AA55="","NO STANDARD",IF(AC55&lt;=Config_Status!$B$2,"EFFICIENT",IF(AC55&lt;=Config_Status!$B$3,"NORMAL",IF(AC55&lt;=Config_Status!$B$4,"WARNING","OVER CONSUMPTION"))))</x:f>
        <x:v>EFFICIENT</x:v>
      </x:c>
      <x:c r="AE55" t="str">
        <x:f>IFERROR(VLOOKUP(G55,Master_Unit!$A$2:$N$78,13,FALSE),"UNIT NOT FOUND")</x:f>
        <x:v>Matched</x:v>
      </x:c>
    </x:row>
    <x:row r="56">
      <x:c r="A56" s="12" t="str">
        <x:v>FU-20260601-00055</x:v>
      </x:c>
      <x:c r="B56" s="12" t="n">
        <x:v>185</x:v>
      </x:c>
      <x:c r="C56" s="14" t="n">
        <x:v>46174</x:v>
      </x:c>
      <x:c r="D56" s="12" t="str">
        <x:v>Senin</x:v>
      </x:c>
      <x:c r="E56" s="12" t="str">
        <x:v>18:58:00</x:v>
      </x:c>
      <x:c r="F56" s="12" t="str">
        <x:v>All Shift Night</x:v>
      </x:c>
      <x:c r="G56" s="12" t="str">
        <x:v>STRL44G135</x:v>
      </x:c>
      <x:c r="H56" s="12" t="str">
        <x:v>Dump Truck</x:v>
      </x:c>
      <x:c r="I56" s="12" t="str">
        <x:v>DUMP TRUCK RENAULT KRANGE440-P6X4 A/T</x:v>
      </x:c>
      <x:c r="J56" s="16" t="n">
        <x:v>123</x:v>
      </x:c>
      <x:c r="K56" s="16" t="n">
        <x:v>5718</x:v>
      </x:c>
      <x:c r="L56" s="16" t="n">
        <x:v>5727</x:v>
      </x:c>
      <x:c r="M56" s="16" t="n">
        <x:v>9</x:v>
      </x:c>
      <x:c r="N56" s="16" t="n">
        <x:v>13.666666666666666</x:v>
      </x:c>
      <x:c r="O56" s="12" t="str">
        <x:v>FTRL44G004</x:v>
      </x:c>
      <x:c r="P56" s="12" t="str">
        <x:v>STRL44G135</x:v>
      </x:c>
      <x:c r="Q56" s="12" t="str"/>
      <x:c r="R56" s="12" t="str"/>
      <x:c r="S56" s="12" t="str"/>
      <x:c r="T56" s="12" t="str">
        <x:v>ABM</x:v>
      </x:c>
      <x:c r="U56" s="12" t="str"/>
      <x:c r="V56" s="12" t="str"/>
      <x:c r="W56" s="12" t="str"/>
      <x:c r="X56" s="12" t="str">
        <x:v>STRL44</x:v>
      </x:c>
      <x:c r="Y56" s="12" t="str">
        <x:v>RAFIF &amp; RUSLAN</x:v>
      </x:c>
      <x:c r="Z56" s="12" t="str"/>
      <x:c r="AA56" s="32" t="n">
        <x:f>IFERROR(VLOOKUP(G56,Master_Unit!$A$2:$N$78,7,FALSE),"")</x:f>
        <x:v>20</x:v>
      </x:c>
      <x:c r="AB56" s="32" t="n">
        <x:f>IF(OR(N56="",AA56=""),"",N56-AA56)</x:f>
        <x:v>-6.333333333333334</x:v>
      </x:c>
      <x:c r="AC56" s="20" t="n">
        <x:f>IF(OR(N56="",AA56="",AA56=0),"",AB56/AA56)</x:f>
        <x:v>-0.3166666666666667</x:v>
      </x:c>
      <x:c r="AD56" t="str">
        <x:f>IF(AA56="","NO STANDARD",IF(AC56&lt;=Config_Status!$B$2,"EFFICIENT",IF(AC56&lt;=Config_Status!$B$3,"NORMAL",IF(AC56&lt;=Config_Status!$B$4,"WARNING","OVER CONSUMPTION"))))</x:f>
        <x:v>EFFICIENT</x:v>
      </x:c>
      <x:c r="AE56" t="str">
        <x:f>IFERROR(VLOOKUP(G56,Master_Unit!$A$2:$N$78,13,FALSE),"UNIT NOT FOUND")</x:f>
        <x:v>Matched</x:v>
      </x:c>
    </x:row>
    <x:row r="57">
      <x:c r="A57" s="12" t="str">
        <x:v>FU-20260601-00056</x:v>
      </x:c>
      <x:c r="B57" s="12" t="n">
        <x:v>186</x:v>
      </x:c>
      <x:c r="C57" s="14" t="n">
        <x:v>46174</x:v>
      </x:c>
      <x:c r="D57" s="12" t="str">
        <x:v>Senin</x:v>
      </x:c>
      <x:c r="E57" s="12" t="str">
        <x:v>19:02:00</x:v>
      </x:c>
      <x:c r="F57" s="12" t="str">
        <x:v>All Shift Night</x:v>
      </x:c>
      <x:c r="G57" s="12" t="str">
        <x:v>MGSD20G007</x:v>
      </x:c>
      <x:c r="H57" s="12" t="str">
        <x:v>Other</x:v>
      </x:c>
      <x:c r="I57" s="12" t="str">
        <x:v>MOTOR GRADER SDLG GD9220F</x:v>
      </x:c>
      <x:c r="J57" s="16" t="n">
        <x:v>55</x:v>
      </x:c>
      <x:c r="K57" s="16" t="n">
        <x:v>3673.1</x:v>
      </x:c>
      <x:c r="L57" s="16" t="n">
        <x:v>3677.4</x:v>
      </x:c>
      <x:c r="M57" s="16" t="n">
        <x:v>4.300000000000182</x:v>
      </x:c>
      <x:c r="N57" s="16" t="n">
        <x:v>12.790697674418064</x:v>
      </x:c>
      <x:c r="O57" s="12" t="str">
        <x:v>FTRL44G004</x:v>
      </x:c>
      <x:c r="P57" s="12" t="str">
        <x:v>MGSD20G007</x:v>
      </x:c>
      <x:c r="Q57" s="12" t="str"/>
      <x:c r="R57" s="12" t="str"/>
      <x:c r="S57" s="12" t="str"/>
      <x:c r="T57" s="12" t="str">
        <x:v>ABM</x:v>
      </x:c>
      <x:c r="U57" s="12" t="str"/>
      <x:c r="V57" s="12" t="str"/>
      <x:c r="W57" s="12" t="str"/>
      <x:c r="X57" s="12" t="str">
        <x:v>MGSD20</x:v>
      </x:c>
      <x:c r="Y57" s="12" t="str">
        <x:v>RAFIF &amp; RUSLAN</x:v>
      </x:c>
      <x:c r="Z57" s="12" t="str"/>
      <x:c r="AA57" s="32" t="n">
        <x:f>IFERROR(VLOOKUP(G57,Master_Unit!$A$2:$N$78,7,FALSE),"")</x:f>
        <x:v>20</x:v>
      </x:c>
      <x:c r="AB57" s="32" t="n">
        <x:f>IF(OR(N57="",AA57=""),"",N57-AA57)</x:f>
        <x:v>-7.209302325581936</x:v>
      </x:c>
      <x:c r="AC57" s="20" t="n">
        <x:f>IF(OR(N57="",AA57="",AA57=0),"",AB57/AA57)</x:f>
        <x:v>-0.3604651162790968</x:v>
      </x:c>
      <x:c r="AD57" t="str">
        <x:f>IF(AA57="","NO STANDARD",IF(AC57&lt;=Config_Status!$B$2,"EFFICIENT",IF(AC57&lt;=Config_Status!$B$3,"NORMAL",IF(AC57&lt;=Config_Status!$B$4,"WARNING","OVER CONSUMPTION"))))</x:f>
        <x:v>EFFICIENT</x:v>
      </x:c>
      <x:c r="AE57" t="str">
        <x:f>IFERROR(VLOOKUP(G57,Master_Unit!$A$2:$N$78,13,FALSE),"UNIT NOT FOUND")</x:f>
        <x:v>Matched</x:v>
      </x:c>
    </x:row>
    <x:row r="58">
      <x:c r="A58" s="12" t="str">
        <x:v>FU-20260601-00057</x:v>
      </x:c>
      <x:c r="B58" s="12" t="n">
        <x:v>187</x:v>
      </x:c>
      <x:c r="C58" s="14" t="n">
        <x:v>46174</x:v>
      </x:c>
      <x:c r="D58" s="12" t="str">
        <x:v>Senin</x:v>
      </x:c>
      <x:c r="E58" s="12" t="str">
        <x:v>19:04:00</x:v>
      </x:c>
      <x:c r="F58" s="12" t="str">
        <x:v>All Shift Night</x:v>
      </x:c>
      <x:c r="G58" s="12" t="str">
        <x:v>STRL44G136</x:v>
      </x:c>
      <x:c r="H58" s="12" t="str">
        <x:v>Dump Truck</x:v>
      </x:c>
      <x:c r="I58" s="12" t="str">
        <x:v>DUMP TRUCK RENAULT KRANGE440-P6X4 A/T</x:v>
      </x:c>
      <x:c r="J58" s="16" t="n">
        <x:v>180</x:v>
      </x:c>
      <x:c r="K58" s="16" t="n">
        <x:v>5733</x:v>
      </x:c>
      <x:c r="L58" s="16" t="n">
        <x:v>5752</x:v>
      </x:c>
      <x:c r="M58" s="16" t="n">
        <x:v>19</x:v>
      </x:c>
      <x:c r="N58" s="16" t="n">
        <x:v>9.473684210526315</x:v>
      </x:c>
      <x:c r="O58" s="12" t="str">
        <x:v>FTRL44G004</x:v>
      </x:c>
      <x:c r="P58" s="12" t="str">
        <x:v>STRL44G136</x:v>
      </x:c>
      <x:c r="Q58" s="12" t="str"/>
      <x:c r="R58" s="12" t="str"/>
      <x:c r="S58" s="12" t="str"/>
      <x:c r="T58" s="12" t="str">
        <x:v>ABM</x:v>
      </x:c>
      <x:c r="U58" s="12" t="str"/>
      <x:c r="V58" s="12" t="str"/>
      <x:c r="W58" s="12" t="str"/>
      <x:c r="X58" s="12" t="str">
        <x:v>STRL44</x:v>
      </x:c>
      <x:c r="Y58" s="12" t="str">
        <x:v>RAFIF &amp; RUSLAN</x:v>
      </x:c>
      <x:c r="Z58" s="12" t="str"/>
      <x:c r="AA58" s="32" t="n">
        <x:f>IFERROR(VLOOKUP(G58,Master_Unit!$A$2:$N$78,7,FALSE),"")</x:f>
        <x:v>20</x:v>
      </x:c>
      <x:c r="AB58" s="32" t="n">
        <x:f>IF(OR(N58="",AA58=""),"",N58-AA58)</x:f>
        <x:v>-10.526315789473685</x:v>
      </x:c>
      <x:c r="AC58" s="20" t="n">
        <x:f>IF(OR(N58="",AA58="",AA58=0),"",AB58/AA58)</x:f>
        <x:v>-0.5263157894736843</x:v>
      </x:c>
      <x:c r="AD58" t="str">
        <x:f>IF(AA58="","NO STANDARD",IF(AC58&lt;=Config_Status!$B$2,"EFFICIENT",IF(AC58&lt;=Config_Status!$B$3,"NORMAL",IF(AC58&lt;=Config_Status!$B$4,"WARNING","OVER CONSUMPTION"))))</x:f>
        <x:v>EFFICIENT</x:v>
      </x:c>
      <x:c r="AE58" t="str">
        <x:f>IFERROR(VLOOKUP(G58,Master_Unit!$A$2:$N$78,13,FALSE),"UNIT NOT FOUND")</x:f>
        <x:v>Matched</x:v>
      </x:c>
    </x:row>
    <x:row r="59">
      <x:c r="A59" s="12" t="str">
        <x:v>FU-20260601-00058</x:v>
      </x:c>
      <x:c r="B59" s="12" t="n">
        <x:v>188</x:v>
      </x:c>
      <x:c r="C59" s="14" t="n">
        <x:v>46174</x:v>
      </x:c>
      <x:c r="D59" s="12" t="str">
        <x:v>Senin</x:v>
      </x:c>
      <x:c r="E59" s="12" t="str">
        <x:v>00:01:00</x:v>
      </x:c>
      <x:c r="F59" s="12" t="str">
        <x:v>All Shift Night</x:v>
      </x:c>
      <x:c r="G59" s="12" t="str">
        <x:v>EXVV35G005</x:v>
      </x:c>
      <x:c r="H59" s="12" t="str">
        <x:v>Excavator</x:v>
      </x:c>
      <x:c r="I59" s="12" t="str">
        <x:v>EXCAVATOR VOLVO EC350D</x:v>
      </x:c>
      <x:c r="J59" s="16" t="n">
        <x:v>217</x:v>
      </x:c>
      <x:c r="K59" s="16" t="n">
        <x:v>5078.9</x:v>
      </x:c>
      <x:c r="L59" s="16" t="n">
        <x:v>5088.7</x:v>
      </x:c>
      <x:c r="M59" s="16" t="n">
        <x:v>9.800000000000182</x:v>
      </x:c>
      <x:c r="N59" s="16" t="n">
        <x:v>22.14285714285673</x:v>
      </x:c>
      <x:c r="O59" s="12" t="str">
        <x:v>FTRL44G004</x:v>
      </x:c>
      <x:c r="P59" s="12" t="str">
        <x:v>EXVV35G005</x:v>
      </x:c>
      <x:c r="Q59" s="12" t="str"/>
      <x:c r="R59" s="12" t="str"/>
      <x:c r="S59" s="12" t="str"/>
      <x:c r="T59" s="12" t="str">
        <x:v>ABM</x:v>
      </x:c>
      <x:c r="U59" s="12" t="str"/>
      <x:c r="V59" s="12" t="str"/>
      <x:c r="W59" s="12" t="str"/>
      <x:c r="X59" s="12" t="str">
        <x:v>EXVV35</x:v>
      </x:c>
      <x:c r="Y59" s="12" t="str">
        <x:v>RAFIF &amp; RUSLAN</x:v>
      </x:c>
      <x:c r="Z59" s="12" t="str"/>
      <x:c r="AA59" s="32" t="n">
        <x:f>IFERROR(VLOOKUP(G59,Master_Unit!$A$2:$N$78,7,FALSE),"")</x:f>
        <x:v>25</x:v>
      </x:c>
      <x:c r="AB59" s="32" t="n">
        <x:f>IF(OR(N59="",AA59=""),"",N59-AA59)</x:f>
        <x:v>-2.8571428571432698</x:v>
      </x:c>
      <x:c r="AC59" s="20" t="n">
        <x:f>IF(OR(N59="",AA59="",AA59=0),"",AB59/AA59)</x:f>
        <x:v>-0.1142857142857308</x:v>
      </x:c>
      <x:c r="AD59" t="str">
        <x:f>IF(AA59="","NO STANDARD",IF(AC59&lt;=Config_Status!$B$2,"EFFICIENT",IF(AC59&lt;=Config_Status!$B$3,"NORMAL",IF(AC59&lt;=Config_Status!$B$4,"WARNING","OVER CONSUMPTION"))))</x:f>
        <x:v>EFFICIENT</x:v>
      </x:c>
      <x:c r="AE59" t="str">
        <x:f>IFERROR(VLOOKUP(G59,Master_Unit!$A$2:$N$78,13,FALSE),"UNIT NOT FOUND")</x:f>
        <x:v>Matched</x:v>
      </x:c>
    </x:row>
    <x:row r="60">
      <x:c r="A60" s="12" t="str">
        <x:v>FU-20260601-00059</x:v>
      </x:c>
      <x:c r="B60" s="12" t="n">
        <x:v>189</x:v>
      </x:c>
      <x:c r="C60" s="14" t="n">
        <x:v>46174</x:v>
      </x:c>
      <x:c r="D60" s="12" t="str">
        <x:v>Senin</x:v>
      </x:c>
      <x:c r="E60" s="12" t="str">
        <x:v>00:02:00</x:v>
      </x:c>
      <x:c r="F60" s="12" t="str">
        <x:v>All Shift Night</x:v>
      </x:c>
      <x:c r="G60" s="12" t="str">
        <x:v>EXVV21G043</x:v>
      </x:c>
      <x:c r="H60" s="12" t="str">
        <x:v>Excavator</x:v>
      </x:c>
      <x:c r="I60" s="12" t="str">
        <x:v>EXCAVATOR VOLVO EC210D</x:v>
      </x:c>
      <x:c r="J60" s="16" t="n">
        <x:v>125</x:v>
      </x:c>
      <x:c r="K60" s="16" t="n">
        <x:v>5272.5</x:v>
      </x:c>
      <x:c r="L60" s="16" t="n">
        <x:v>5280</x:v>
      </x:c>
      <x:c r="M60" s="16" t="n">
        <x:v>7.5</x:v>
      </x:c>
      <x:c r="N60" s="16" t="n">
        <x:v>16.666666666666668</x:v>
      </x:c>
      <x:c r="O60" s="12" t="str">
        <x:v>FTRL44G004</x:v>
      </x:c>
      <x:c r="P60" s="12" t="str">
        <x:v>EXVV21G043</x:v>
      </x:c>
      <x:c r="Q60" s="12" t="str"/>
      <x:c r="R60" s="12" t="str"/>
      <x:c r="S60" s="12" t="str"/>
      <x:c r="T60" s="12" t="str">
        <x:v>ABM</x:v>
      </x:c>
      <x:c r="U60" s="12" t="str"/>
      <x:c r="V60" s="12" t="str"/>
      <x:c r="W60" s="12" t="str"/>
      <x:c r="X60" s="12" t="str">
        <x:v>EXVV21</x:v>
      </x:c>
      <x:c r="Y60" s="12" t="str">
        <x:v>RAFIF &amp; RUSLAN</x:v>
      </x:c>
      <x:c r="Z60" s="12" t="str"/>
      <x:c r="AA60" s="32" t="n">
        <x:f>IFERROR(VLOOKUP(G60,Master_Unit!$A$2:$N$78,7,FALSE),"")</x:f>
        <x:v>20</x:v>
      </x:c>
      <x:c r="AB60" s="32" t="n">
        <x:f>IF(OR(N60="",AA60=""),"",N60-AA60)</x:f>
        <x:v>-3.333333333333332</x:v>
      </x:c>
      <x:c r="AC60" s="20" t="n">
        <x:f>IF(OR(N60="",AA60="",AA60=0),"",AB60/AA60)</x:f>
        <x:v>-0.1666666666666666</x:v>
      </x:c>
      <x:c r="AD60" t="str">
        <x:f>IF(AA60="","NO STANDARD",IF(AC60&lt;=Config_Status!$B$2,"EFFICIENT",IF(AC60&lt;=Config_Status!$B$3,"NORMAL",IF(AC60&lt;=Config_Status!$B$4,"WARNING","OVER CONSUMPTION"))))</x:f>
        <x:v>EFFICIENT</x:v>
      </x:c>
      <x:c r="AE60" t="str">
        <x:f>IFERROR(VLOOKUP(G60,Master_Unit!$A$2:$N$78,13,FALSE),"UNIT NOT FOUND")</x:f>
        <x:v>Matched</x:v>
      </x:c>
    </x:row>
    <x:row r="61">
      <x:c r="A61" s="12" t="str">
        <x:v>FU-20260601-00060</x:v>
      </x:c>
      <x:c r="B61" s="12" t="n">
        <x:v>190</x:v>
      </x:c>
      <x:c r="C61" s="14" t="n">
        <x:v>46174</x:v>
      </x:c>
      <x:c r="D61" s="12" t="str">
        <x:v>Senin</x:v>
      </x:c>
      <x:c r="E61" s="12" t="str">
        <x:v>00:14:00</x:v>
      </x:c>
      <x:c r="F61" s="12" t="str">
        <x:v>All Shift Night</x:v>
      </x:c>
      <x:c r="G61" s="12" t="str">
        <x:v>EXVV21G037</x:v>
      </x:c>
      <x:c r="H61" s="12" t="str">
        <x:v>Excavator</x:v>
      </x:c>
      <x:c r="I61" s="12" t="str">
        <x:v>EXCAVATOR VOLVO EC210D</x:v>
      </x:c>
      <x:c r="J61" s="16" t="n">
        <x:v>163</x:v>
      </x:c>
      <x:c r="K61" s="16" t="n">
        <x:v>6750.3</x:v>
      </x:c>
      <x:c r="L61" s="16" t="n">
        <x:v>6758.8</x:v>
      </x:c>
      <x:c r="M61" s="16" t="n">
        <x:v>8.5</x:v>
      </x:c>
      <x:c r="N61" s="16" t="n">
        <x:v>19.176470588235293</x:v>
      </x:c>
      <x:c r="O61" s="12" t="str">
        <x:v>FTRL44G004</x:v>
      </x:c>
      <x:c r="P61" s="12" t="str">
        <x:v>EXVV21G037</x:v>
      </x:c>
      <x:c r="Q61" s="12" t="str"/>
      <x:c r="R61" s="12" t="str"/>
      <x:c r="S61" s="12" t="str"/>
      <x:c r="T61" s="12" t="str">
        <x:v>ABM</x:v>
      </x:c>
      <x:c r="U61" s="12" t="str"/>
      <x:c r="V61" s="12" t="str"/>
      <x:c r="W61" s="12" t="str"/>
      <x:c r="X61" s="12" t="str">
        <x:v>EXVV21</x:v>
      </x:c>
      <x:c r="Y61" s="12" t="str">
        <x:v>RAFIF &amp; RUSLAN</x:v>
      </x:c>
      <x:c r="Z61" s="12" t="str"/>
      <x:c r="AA61" s="32" t="n">
        <x:f>IFERROR(VLOOKUP(G61,Master_Unit!$A$2:$N$78,7,FALSE),"")</x:f>
        <x:v>20</x:v>
      </x:c>
      <x:c r="AB61" s="32" t="n">
        <x:f>IF(OR(N61="",AA61=""),"",N61-AA61)</x:f>
        <x:v>-0.8235294117647065</x:v>
      </x:c>
      <x:c r="AC61" s="20" t="n">
        <x:f>IF(OR(N61="",AA61="",AA61=0),"",AB61/AA61)</x:f>
        <x:v>-0.04117647058823533</x:v>
      </x:c>
      <x:c r="AD61" t="str">
        <x:f>IF(AA61="","NO STANDARD",IF(AC61&lt;=Config_Status!$B$2,"EFFICIENT",IF(AC61&lt;=Config_Status!$B$3,"NORMAL",IF(AC61&lt;=Config_Status!$B$4,"WARNING","OVER CONSUMPTION"))))</x:f>
        <x:v>NORMAL</x:v>
      </x:c>
      <x:c r="AE61" t="str">
        <x:f>IFERROR(VLOOKUP(G61,Master_Unit!$A$2:$N$78,13,FALSE),"UNIT NOT FOUND")</x:f>
        <x:v>Matched</x:v>
      </x:c>
    </x:row>
    <x:row r="62">
      <x:c r="A62" s="12" t="str">
        <x:v>FU-20260601-00061</x:v>
      </x:c>
      <x:c r="B62" s="12" t="n">
        <x:v>191</x:v>
      </x:c>
      <x:c r="C62" s="14" t="n">
        <x:v>46174</x:v>
      </x:c>
      <x:c r="D62" s="12" t="str">
        <x:v>Senin</x:v>
      </x:c>
      <x:c r="E62" s="12" t="str">
        <x:v>18:19:00</x:v>
      </x:c>
      <x:c r="F62" s="12" t="str">
        <x:v>All Shift Night</x:v>
      </x:c>
      <x:c r="G62" s="12" t="str">
        <x:v>STRL44G155</x:v>
      </x:c>
      <x:c r="H62" s="12" t="str">
        <x:v>Dump Truck</x:v>
      </x:c>
      <x:c r="I62" s="12" t="str">
        <x:v>DUMP TRUCK RENAULT KRANGE440-P6X4 A/T</x:v>
      </x:c>
      <x:c r="J62" s="16" t="n">
        <x:v>176</x:v>
      </x:c>
      <x:c r="K62" s="16" t="n">
        <x:v>3861</x:v>
      </x:c>
      <x:c r="L62" s="16" t="n">
        <x:v>3870</x:v>
      </x:c>
      <x:c r="M62" s="16" t="n">
        <x:v>9</x:v>
      </x:c>
      <x:c r="N62" s="16" t="n">
        <x:v>19.555555555555557</x:v>
      </x:c>
      <x:c r="O62" s="12" t="str">
        <x:v>FTRL44G004</x:v>
      </x:c>
      <x:c r="P62" s="12" t="str">
        <x:v>STRL44G155</x:v>
      </x:c>
      <x:c r="Q62" s="12" t="str"/>
      <x:c r="R62" s="12" t="str"/>
      <x:c r="S62" s="12" t="str"/>
      <x:c r="T62" s="12" t="str">
        <x:v>ABM</x:v>
      </x:c>
      <x:c r="U62" s="12" t="str"/>
      <x:c r="V62" s="12" t="str"/>
      <x:c r="W62" s="12" t="str"/>
      <x:c r="X62" s="12" t="str">
        <x:v>STRL44</x:v>
      </x:c>
      <x:c r="Y62" s="12" t="str">
        <x:v>FANGKI &amp; ACUNG</x:v>
      </x:c>
      <x:c r="Z62" s="12" t="str"/>
      <x:c r="AA62" s="32" t="n">
        <x:f>IFERROR(VLOOKUP(G62,Master_Unit!$A$2:$N$78,7,FALSE),"")</x:f>
        <x:v>20</x:v>
      </x:c>
      <x:c r="AB62" s="32" t="n">
        <x:f>IF(OR(N62="",AA62=""),"",N62-AA62)</x:f>
        <x:v>-0.44444444444444287</x:v>
      </x:c>
      <x:c r="AC62" s="20" t="n">
        <x:f>IF(OR(N62="",AA62="",AA62=0),"",AB62/AA62)</x:f>
        <x:v>-0.022222222222222143</x:v>
      </x:c>
      <x:c r="AD62" t="str">
        <x:f>IF(AA62="","NO STANDARD",IF(AC62&lt;=Config_Status!$B$2,"EFFICIENT",IF(AC62&lt;=Config_Status!$B$3,"NORMAL",IF(AC62&lt;=Config_Status!$B$4,"WARNING","OVER CONSUMPTION"))))</x:f>
        <x:v>NORMAL</x:v>
      </x:c>
      <x:c r="AE62" t="str">
        <x:f>IFERROR(VLOOKUP(G62,Master_Unit!$A$2:$N$78,13,FALSE),"UNIT NOT FOUND")</x:f>
        <x:v>Matched</x:v>
      </x:c>
    </x:row>
    <x:row r="63">
      <x:c r="A63" s="12" t="str">
        <x:v>FU-20260601-00062</x:v>
      </x:c>
      <x:c r="B63" s="12" t="n">
        <x:v>192</x:v>
      </x:c>
      <x:c r="C63" s="14" t="n">
        <x:v>46174</x:v>
      </x:c>
      <x:c r="D63" s="12" t="str">
        <x:v>Senin</x:v>
      </x:c>
      <x:c r="E63" s="12" t="str">
        <x:v>19:09:00</x:v>
      </x:c>
      <x:c r="F63" s="12" t="str">
        <x:v>All Shift Night</x:v>
      </x:c>
      <x:c r="G63" s="12" t="str">
        <x:v>EXVV21G041</x:v>
      </x:c>
      <x:c r="H63" s="12" t="str">
        <x:v>Excavator</x:v>
      </x:c>
      <x:c r="I63" s="12" t="str">
        <x:v>EXCAVATOR VOLVO EC210D</x:v>
      </x:c>
      <x:c r="J63" s="16" t="n">
        <x:v>144</x:v>
      </x:c>
      <x:c r="K63" s="16" t="n">
        <x:v>4395.1</x:v>
      </x:c>
      <x:c r="L63" s="16" t="n">
        <x:v>4403.7</x:v>
      </x:c>
      <x:c r="M63" s="16" t="n">
        <x:v>8.599999999999454</x:v>
      </x:c>
      <x:c r="N63" s="16" t="n">
        <x:v>16.74418604651269</x:v>
      </x:c>
      <x:c r="O63" s="12" t="str">
        <x:v>FTRL44G004</x:v>
      </x:c>
      <x:c r="P63" s="12" t="str">
        <x:v>EXVV21G041</x:v>
      </x:c>
      <x:c r="Q63" s="12" t="str"/>
      <x:c r="R63" s="12" t="str"/>
      <x:c r="S63" s="12" t="str"/>
      <x:c r="T63" s="12" t="str">
        <x:v>ABM</x:v>
      </x:c>
      <x:c r="U63" s="12" t="str"/>
      <x:c r="V63" s="12" t="str"/>
      <x:c r="W63" s="12" t="str"/>
      <x:c r="X63" s="12" t="str">
        <x:v>EXVV21</x:v>
      </x:c>
      <x:c r="Y63" s="12" t="str">
        <x:v>FANGKI &amp; ACUNG</x:v>
      </x:c>
      <x:c r="Z63" s="12" t="str"/>
      <x:c r="AA63" s="32" t="n">
        <x:f>IFERROR(VLOOKUP(G63,Master_Unit!$A$2:$N$78,7,FALSE),"")</x:f>
        <x:v>20</x:v>
      </x:c>
      <x:c r="AB63" s="32" t="n">
        <x:f>IF(OR(N63="",AA63=""),"",N63-AA63)</x:f>
        <x:v>-3.2558139534873085</x:v>
      </x:c>
      <x:c r="AC63" s="20" t="n">
        <x:f>IF(OR(N63="",AA63="",AA63=0),"",AB63/AA63)</x:f>
        <x:v>-0.16279069767436544</x:v>
      </x:c>
      <x:c r="AD63" t="str">
        <x:f>IF(AA63="","NO STANDARD",IF(AC63&lt;=Config_Status!$B$2,"EFFICIENT",IF(AC63&lt;=Config_Status!$B$3,"NORMAL",IF(AC63&lt;=Config_Status!$B$4,"WARNING","OVER CONSUMPTION"))))</x:f>
        <x:v>EFFICIENT</x:v>
      </x:c>
      <x:c r="AE63" t="str">
        <x:f>IFERROR(VLOOKUP(G63,Master_Unit!$A$2:$N$78,13,FALSE),"UNIT NOT FOUND")</x:f>
        <x:v>Matched</x:v>
      </x:c>
    </x:row>
    <x:row r="64">
      <x:c r="A64" s="12" t="str">
        <x:v>FU-20260601-00063</x:v>
      </x:c>
      <x:c r="B64" s="12" t="n">
        <x:v>193</x:v>
      </x:c>
      <x:c r="C64" s="14" t="n">
        <x:v>46174</x:v>
      </x:c>
      <x:c r="D64" s="12" t="str">
        <x:v>Senin</x:v>
      </x:c>
      <x:c r="E64" s="12" t="str">
        <x:v>19:14:00</x:v>
      </x:c>
      <x:c r="F64" s="12" t="str">
        <x:v>All Shift Night</x:v>
      </x:c>
      <x:c r="G64" s="12" t="str">
        <x:v>EXVV21G038</x:v>
      </x:c>
      <x:c r="H64" s="12" t="str">
        <x:v>Excavator</x:v>
      </x:c>
      <x:c r="I64" s="12" t="str">
        <x:v>EXCAVATOR VOLVO EC210D</x:v>
      </x:c>
      <x:c r="J64" s="16" t="n">
        <x:v>163</x:v>
      </x:c>
      <x:c r="K64" s="16" t="n">
        <x:v>4081.9</x:v>
      </x:c>
      <x:c r="L64" s="16" t="n">
        <x:v>4090.6</x:v>
      </x:c>
      <x:c r="M64" s="16" t="n">
        <x:v>8.699999999999818</x:v>
      </x:c>
      <x:c r="N64" s="16" t="n">
        <x:v>18.73563218390844</x:v>
      </x:c>
      <x:c r="O64" s="12" t="str">
        <x:v>FTRL44G004</x:v>
      </x:c>
      <x:c r="P64" s="12" t="str">
        <x:v>EXVV21G038</x:v>
      </x:c>
      <x:c r="Q64" s="12" t="str"/>
      <x:c r="R64" s="12" t="str"/>
      <x:c r="S64" s="12" t="str"/>
      <x:c r="T64" s="12" t="str">
        <x:v>ABM</x:v>
      </x:c>
      <x:c r="U64" s="12" t="str"/>
      <x:c r="V64" s="12" t="str"/>
      <x:c r="W64" s="12" t="str"/>
      <x:c r="X64" s="12" t="str">
        <x:v>EXVV21</x:v>
      </x:c>
      <x:c r="Y64" s="12" t="str">
        <x:v>FANGKI &amp; ACUNG</x:v>
      </x:c>
      <x:c r="Z64" s="12" t="str"/>
      <x:c r="AA64" s="32" t="n">
        <x:f>IFERROR(VLOOKUP(G64,Master_Unit!$A$2:$N$78,7,FALSE),"")</x:f>
        <x:v>20</x:v>
      </x:c>
      <x:c r="AB64" s="32" t="n">
        <x:f>IF(OR(N64="",AA64=""),"",N64-AA64)</x:f>
        <x:v>-1.2643678160915606</x:v>
      </x:c>
      <x:c r="AC64" s="20" t="n">
        <x:f>IF(OR(N64="",AA64="",AA64=0),"",AB64/AA64)</x:f>
        <x:v>-0.06321839080457803</x:v>
      </x:c>
      <x:c r="AD64" t="str">
        <x:f>IF(AA64="","NO STANDARD",IF(AC64&lt;=Config_Status!$B$2,"EFFICIENT",IF(AC64&lt;=Config_Status!$B$3,"NORMAL",IF(AC64&lt;=Config_Status!$B$4,"WARNING","OVER CONSUMPTION"))))</x:f>
        <x:v>NORMAL</x:v>
      </x:c>
      <x:c r="AE64" t="str">
        <x:f>IFERROR(VLOOKUP(G64,Master_Unit!$A$2:$N$78,13,FALSE),"UNIT NOT FOUND")</x:f>
        <x:v>Matched</x:v>
      </x:c>
    </x:row>
    <x:row r="65">
      <x:c r="A65" s="12" t="str">
        <x:v>FU-20260601-00064</x:v>
      </x:c>
      <x:c r="B65" s="12" t="n">
        <x:v>194</x:v>
      </x:c>
      <x:c r="C65" s="14" t="n">
        <x:v>46174</x:v>
      </x:c>
      <x:c r="D65" s="12" t="str">
        <x:v>Senin</x:v>
      </x:c>
      <x:c r="E65" s="12" t="str">
        <x:v>19:48:00</x:v>
      </x:c>
      <x:c r="F65" s="12" t="str">
        <x:v>All Shift Night</x:v>
      </x:c>
      <x:c r="G65" s="12" t="str">
        <x:v>STRL44G153</x:v>
      </x:c>
      <x:c r="H65" s="12" t="str">
        <x:v>Dump Truck</x:v>
      </x:c>
      <x:c r="I65" s="12" t="str">
        <x:v>DUMP TRUCK RENAULT KRANGE440-P6X4 A/T</x:v>
      </x:c>
      <x:c r="J65" s="16" t="n">
        <x:v>140</x:v>
      </x:c>
      <x:c r="K65" s="16" t="n">
        <x:v>3887</x:v>
      </x:c>
      <x:c r="L65" s="16" t="n">
        <x:v>3894</x:v>
      </x:c>
      <x:c r="M65" s="16" t="n">
        <x:v>7</x:v>
      </x:c>
      <x:c r="N65" s="16" t="n">
        <x:v>20</x:v>
      </x:c>
      <x:c r="O65" s="12" t="str">
        <x:v>FTRL44G004</x:v>
      </x:c>
      <x:c r="P65" s="12" t="str">
        <x:v>STRL44G153</x:v>
      </x:c>
      <x:c r="Q65" s="12" t="str"/>
      <x:c r="R65" s="12" t="str"/>
      <x:c r="S65" s="12" t="str"/>
      <x:c r="T65" s="12" t="str">
        <x:v>ABM</x:v>
      </x:c>
      <x:c r="U65" s="12" t="str"/>
      <x:c r="V65" s="12" t="str"/>
      <x:c r="W65" s="12" t="str"/>
      <x:c r="X65" s="12" t="str">
        <x:v>STRL44</x:v>
      </x:c>
      <x:c r="Y65" s="12" t="str">
        <x:v>FANGKI &amp; ACUNG</x:v>
      </x:c>
      <x:c r="Z65" s="12" t="str"/>
      <x:c r="AA65" s="32" t="n">
        <x:f>IFERROR(VLOOKUP(G65,Master_Unit!$A$2:$N$78,7,FALSE),"")</x:f>
        <x:v>20</x:v>
      </x:c>
      <x:c r="AB65" s="32" t="n">
        <x:f>IF(OR(N65="",AA65=""),"",N65-AA65)</x:f>
        <x:v>0</x:v>
      </x:c>
      <x:c r="AC65" s="20" t="n">
        <x:f>IF(OR(N65="",AA65="",AA65=0),"",AB65/AA65)</x:f>
        <x:v>0</x:v>
      </x:c>
      <x:c r="AD65" t="str">
        <x:f>IF(AA65="","NO STANDARD",IF(AC65&lt;=Config_Status!$B$2,"EFFICIENT",IF(AC65&lt;=Config_Status!$B$3,"NORMAL",IF(AC65&lt;=Config_Status!$B$4,"WARNING","OVER CONSUMPTION"))))</x:f>
        <x:v>NORMAL</x:v>
      </x:c>
      <x:c r="AE65" t="str">
        <x:f>IFERROR(VLOOKUP(G65,Master_Unit!$A$2:$N$78,13,FALSE),"UNIT NOT FOUND")</x:f>
        <x:v>Matched</x:v>
      </x:c>
    </x:row>
    <x:row r="66">
      <x:c r="A66" s="12" t="str">
        <x:v>FU-20260601-00065</x:v>
      </x:c>
      <x:c r="B66" s="12" t="n">
        <x:v>195</x:v>
      </x:c>
      <x:c r="C66" s="14" t="n">
        <x:v>46174</x:v>
      </x:c>
      <x:c r="D66" s="12" t="str">
        <x:v>Senin</x:v>
      </x:c>
      <x:c r="E66" s="12" t="str">
        <x:v>19:52:00</x:v>
      </x:c>
      <x:c r="F66" s="12" t="str">
        <x:v>All Shift Night</x:v>
      </x:c>
      <x:c r="G66" s="12" t="str">
        <x:v>STRL44G151</x:v>
      </x:c>
      <x:c r="H66" s="12" t="str">
        <x:v>Dump Truck</x:v>
      </x:c>
      <x:c r="I66" s="12" t="str">
        <x:v>DUMP TRUCK RENAULT KRANGE440-P6X4 A/T</x:v>
      </x:c>
      <x:c r="J66" s="16" t="n">
        <x:v>130</x:v>
      </x:c>
      <x:c r="K66" s="16" t="n">
        <x:v>4290</x:v>
      </x:c>
      <x:c r="L66" s="16" t="n">
        <x:v>4298</x:v>
      </x:c>
      <x:c r="M66" s="16" t="n">
        <x:v>8</x:v>
      </x:c>
      <x:c r="N66" s="16" t="n">
        <x:v>16.25</x:v>
      </x:c>
      <x:c r="O66" s="12" t="str">
        <x:v>FTRL44G004</x:v>
      </x:c>
      <x:c r="P66" s="12" t="str">
        <x:v>STRL44G151</x:v>
      </x:c>
      <x:c r="Q66" s="12" t="str"/>
      <x:c r="R66" s="12" t="str"/>
      <x:c r="S66" s="12" t="str"/>
      <x:c r="T66" s="12" t="str">
        <x:v>ABM</x:v>
      </x:c>
      <x:c r="U66" s="12" t="str"/>
      <x:c r="V66" s="12" t="str"/>
      <x:c r="W66" s="12" t="str"/>
      <x:c r="X66" s="12" t="str">
        <x:v>STRL44</x:v>
      </x:c>
      <x:c r="Y66" s="12" t="str">
        <x:v>FANGKI &amp; ACUNG</x:v>
      </x:c>
      <x:c r="Z66" s="12" t="str"/>
      <x:c r="AA66" s="32" t="n">
        <x:f>IFERROR(VLOOKUP(G66,Master_Unit!$A$2:$N$78,7,FALSE),"")</x:f>
        <x:v>20</x:v>
      </x:c>
      <x:c r="AB66" s="32" t="n">
        <x:f>IF(OR(N66="",AA66=""),"",N66-AA66)</x:f>
        <x:v>-3.75</x:v>
      </x:c>
      <x:c r="AC66" s="20" t="n">
        <x:f>IF(OR(N66="",AA66="",AA66=0),"",AB66/AA66)</x:f>
        <x:v>-0.1875</x:v>
      </x:c>
      <x:c r="AD66" t="str">
        <x:f>IF(AA66="","NO STANDARD",IF(AC66&lt;=Config_Status!$B$2,"EFFICIENT",IF(AC66&lt;=Config_Status!$B$3,"NORMAL",IF(AC66&lt;=Config_Status!$B$4,"WARNING","OVER CONSUMPTION"))))</x:f>
        <x:v>EFFICIENT</x:v>
      </x:c>
      <x:c r="AE66" t="str">
        <x:f>IFERROR(VLOOKUP(G66,Master_Unit!$A$2:$N$78,13,FALSE),"UNIT NOT FOUND")</x:f>
        <x:v>Matched</x:v>
      </x:c>
    </x:row>
    <x:row r="67">
      <x:c r="A67" s="12" t="str">
        <x:v>FU-20260601-00066</x:v>
      </x:c>
      <x:c r="B67" s="12" t="n">
        <x:v>196</x:v>
      </x:c>
      <x:c r="C67" s="14" t="n">
        <x:v>46174</x:v>
      </x:c>
      <x:c r="D67" s="12" t="str">
        <x:v>Senin</x:v>
      </x:c>
      <x:c r="E67" s="12" t="str">
        <x:v>19:57:00</x:v>
      </x:c>
      <x:c r="F67" s="12" t="str">
        <x:v>All Shift Night</x:v>
      </x:c>
      <x:c r="G67" s="12" t="str">
        <x:v>STRL44G149</x:v>
      </x:c>
      <x:c r="H67" s="12" t="str">
        <x:v>Dump Truck</x:v>
      </x:c>
      <x:c r="I67" s="12" t="str">
        <x:v>DUMP TRUCK RENAULT KRANGE440-P6X4 A/T</x:v>
      </x:c>
      <x:c r="J67" s="16" t="n">
        <x:v>100</x:v>
      </x:c>
      <x:c r="K67" s="16" t="n">
        <x:v>4190</x:v>
      </x:c>
      <x:c r="L67" s="16" t="n">
        <x:v>4196</x:v>
      </x:c>
      <x:c r="M67" s="16" t="n">
        <x:v>6</x:v>
      </x:c>
      <x:c r="N67" s="16" t="n">
        <x:v>16.666666666666668</x:v>
      </x:c>
      <x:c r="O67" s="12" t="str">
        <x:v>FTRL44G004</x:v>
      </x:c>
      <x:c r="P67" s="12" t="str">
        <x:v>STRL44G149</x:v>
      </x:c>
      <x:c r="Q67" s="12" t="str"/>
      <x:c r="R67" s="12" t="str"/>
      <x:c r="S67" s="12" t="str"/>
      <x:c r="T67" s="12" t="str">
        <x:v>ABM</x:v>
      </x:c>
      <x:c r="U67" s="12" t="str"/>
      <x:c r="V67" s="12" t="str"/>
      <x:c r="W67" s="12" t="str"/>
      <x:c r="X67" s="12" t="str">
        <x:v>STRL44</x:v>
      </x:c>
      <x:c r="Y67" s="12" t="str">
        <x:v>FANGKI &amp; ACUNG</x:v>
      </x:c>
      <x:c r="Z67" s="12" t="str"/>
      <x:c r="AA67" s="32" t="n">
        <x:f>IFERROR(VLOOKUP(G67,Master_Unit!$A$2:$N$78,7,FALSE),"")</x:f>
        <x:v>20</x:v>
      </x:c>
      <x:c r="AB67" s="32" t="n">
        <x:f>IF(OR(N67="",AA67=""),"",N67-AA67)</x:f>
        <x:v>-3.333333333333332</x:v>
      </x:c>
      <x:c r="AC67" s="20" t="n">
        <x:f>IF(OR(N67="",AA67="",AA67=0),"",AB67/AA67)</x:f>
        <x:v>-0.1666666666666666</x:v>
      </x:c>
      <x:c r="AD67" t="str">
        <x:f>IF(AA67="","NO STANDARD",IF(AC67&lt;=Config_Status!$B$2,"EFFICIENT",IF(AC67&lt;=Config_Status!$B$3,"NORMAL",IF(AC67&lt;=Config_Status!$B$4,"WARNING","OVER CONSUMPTION"))))</x:f>
        <x:v>EFFICIENT</x:v>
      </x:c>
      <x:c r="AE67" t="str">
        <x:f>IFERROR(VLOOKUP(G67,Master_Unit!$A$2:$N$78,13,FALSE),"UNIT NOT FOUND")</x:f>
        <x:v>Matched</x:v>
      </x:c>
    </x:row>
    <x:row r="68">
      <x:c r="A68" s="12" t="str">
        <x:v>FU-20260601-00067</x:v>
      </x:c>
      <x:c r="B68" s="12" t="n">
        <x:v>197</x:v>
      </x:c>
      <x:c r="C68" s="14" t="n">
        <x:v>46174</x:v>
      </x:c>
      <x:c r="D68" s="12" t="str">
        <x:v>Senin</x:v>
      </x:c>
      <x:c r="E68" s="12" t="str">
        <x:v>20:02:00</x:v>
      </x:c>
      <x:c r="F68" s="12" t="str">
        <x:v>All Shift Night</x:v>
      </x:c>
      <x:c r="G68" s="12" t="str">
        <x:v>STRL44G152</x:v>
      </x:c>
      <x:c r="H68" s="12" t="str">
        <x:v>Dump Truck</x:v>
      </x:c>
      <x:c r="I68" s="12" t="str">
        <x:v>DUMP TRUCK RENAULT KRANGE440-P6X4 A/T</x:v>
      </x:c>
      <x:c r="J68" s="16" t="n">
        <x:v>120</x:v>
      </x:c>
      <x:c r="K68" s="16" t="n">
        <x:v>3594</x:v>
      </x:c>
      <x:c r="L68" s="16" t="n">
        <x:v>3602</x:v>
      </x:c>
      <x:c r="M68" s="16" t="n">
        <x:v>8</x:v>
      </x:c>
      <x:c r="N68" s="16" t="n">
        <x:v>15</x:v>
      </x:c>
      <x:c r="O68" s="12" t="str">
        <x:v>FTRL44G004</x:v>
      </x:c>
      <x:c r="P68" s="12" t="str">
        <x:v>STRL44G152</x:v>
      </x:c>
      <x:c r="Q68" s="12" t="str"/>
      <x:c r="R68" s="12" t="str"/>
      <x:c r="S68" s="12" t="str"/>
      <x:c r="T68" s="12" t="str">
        <x:v>ABM</x:v>
      </x:c>
      <x:c r="U68" s="12" t="str"/>
      <x:c r="V68" s="12" t="str"/>
      <x:c r="W68" s="12" t="str"/>
      <x:c r="X68" s="12" t="str">
        <x:v>STRL44</x:v>
      </x:c>
      <x:c r="Y68" s="12" t="str">
        <x:v>FANGKI &amp; ACUNG</x:v>
      </x:c>
      <x:c r="Z68" s="12" t="str"/>
      <x:c r="AA68" s="32" t="n">
        <x:f>IFERROR(VLOOKUP(G68,Master_Unit!$A$2:$N$78,7,FALSE),"")</x:f>
        <x:v>20</x:v>
      </x:c>
      <x:c r="AB68" s="32" t="n">
        <x:f>IF(OR(N68="",AA68=""),"",N68-AA68)</x:f>
        <x:v>-5</x:v>
      </x:c>
      <x:c r="AC68" s="20" t="n">
        <x:f>IF(OR(N68="",AA68="",AA68=0),"",AB68/AA68)</x:f>
        <x:v>-0.25</x:v>
      </x:c>
      <x:c r="AD68" t="str">
        <x:f>IF(AA68="","NO STANDARD",IF(AC68&lt;=Config_Status!$B$2,"EFFICIENT",IF(AC68&lt;=Config_Status!$B$3,"NORMAL",IF(AC68&lt;=Config_Status!$B$4,"WARNING","OVER CONSUMPTION"))))</x:f>
        <x:v>EFFICIENT</x:v>
      </x:c>
      <x:c r="AE68" t="str">
        <x:f>IFERROR(VLOOKUP(G68,Master_Unit!$A$2:$N$78,13,FALSE),"UNIT NOT FOUND")</x:f>
        <x:v>Matched</x:v>
      </x:c>
    </x:row>
    <x:row r="69">
      <x:c r="A69" s="12" t="str">
        <x:v>FU-20260601-00068</x:v>
      </x:c>
      <x:c r="B69" s="12" t="n">
        <x:v>198</x:v>
      </x:c>
      <x:c r="C69" s="14" t="n">
        <x:v>46174</x:v>
      </x:c>
      <x:c r="D69" s="12" t="str">
        <x:v>Senin</x:v>
      </x:c>
      <x:c r="E69" s="12" t="str">
        <x:v>20:09:00</x:v>
      </x:c>
      <x:c r="F69" s="12" t="str">
        <x:v>All Shift Night</x:v>
      </x:c>
      <x:c r="G69" s="12" t="str">
        <x:v>STRL44G156</x:v>
      </x:c>
      <x:c r="H69" s="12" t="str">
        <x:v>Dump Truck</x:v>
      </x:c>
      <x:c r="I69" s="12" t="str">
        <x:v>DUMP TRUCK RENAULT KRANGE440-P6X4 A/T</x:v>
      </x:c>
      <x:c r="J69" s="16" t="n">
        <x:v>105</x:v>
      </x:c>
      <x:c r="K69" s="16" t="n">
        <x:v>3666</x:v>
      </x:c>
      <x:c r="L69" s="16" t="n">
        <x:v>3673</x:v>
      </x:c>
      <x:c r="M69" s="16" t="n">
        <x:v>7</x:v>
      </x:c>
      <x:c r="N69" s="16" t="n">
        <x:v>15</x:v>
      </x:c>
      <x:c r="O69" s="12" t="str">
        <x:v>FTRL44G004</x:v>
      </x:c>
      <x:c r="P69" s="12" t="str">
        <x:v>STRL44G156</x:v>
      </x:c>
      <x:c r="Q69" s="12" t="str"/>
      <x:c r="R69" s="12" t="str"/>
      <x:c r="S69" s="12" t="str"/>
      <x:c r="T69" s="12" t="str">
        <x:v>ABM</x:v>
      </x:c>
      <x:c r="U69" s="12" t="str"/>
      <x:c r="V69" s="12" t="str"/>
      <x:c r="W69" s="12" t="str"/>
      <x:c r="X69" s="12" t="str">
        <x:v>STRL44</x:v>
      </x:c>
      <x:c r="Y69" s="12" t="str">
        <x:v>FANGKI &amp; ACUNG</x:v>
      </x:c>
      <x:c r="Z69" s="12" t="str"/>
      <x:c r="AA69" s="32" t="n">
        <x:f>IFERROR(VLOOKUP(G69,Master_Unit!$A$2:$N$78,7,FALSE),"")</x:f>
        <x:v>20</x:v>
      </x:c>
      <x:c r="AB69" s="32" t="n">
        <x:f>IF(OR(N69="",AA69=""),"",N69-AA69)</x:f>
        <x:v>-5</x:v>
      </x:c>
      <x:c r="AC69" s="20" t="n">
        <x:f>IF(OR(N69="",AA69="",AA69=0),"",AB69/AA69)</x:f>
        <x:v>-0.25</x:v>
      </x:c>
      <x:c r="AD69" t="str">
        <x:f>IF(AA69="","NO STANDARD",IF(AC69&lt;=Config_Status!$B$2,"EFFICIENT",IF(AC69&lt;=Config_Status!$B$3,"NORMAL",IF(AC69&lt;=Config_Status!$B$4,"WARNING","OVER CONSUMPTION"))))</x:f>
        <x:v>EFFICIENT</x:v>
      </x:c>
      <x:c r="AE69" t="str">
        <x:f>IFERROR(VLOOKUP(G69,Master_Unit!$A$2:$N$78,13,FALSE),"UNIT NOT FOUND")</x:f>
        <x:v>Matched</x:v>
      </x:c>
    </x:row>
    <x:row r="70">
      <x:c r="A70" s="12" t="str">
        <x:v>FU-20260601-00069</x:v>
      </x:c>
      <x:c r="B70" s="12" t="n">
        <x:v>199</x:v>
      </x:c>
      <x:c r="C70" s="14" t="n">
        <x:v>46174</x:v>
      </x:c>
      <x:c r="D70" s="12" t="str">
        <x:v>Senin</x:v>
      </x:c>
      <x:c r="E70" s="12" t="str">
        <x:v>20:19:00</x:v>
      </x:c>
      <x:c r="F70" s="12" t="str">
        <x:v>All Shift Night</x:v>
      </x:c>
      <x:c r="G70" s="12" t="str">
        <x:v>STRL44G157</x:v>
      </x:c>
      <x:c r="H70" s="12" t="str">
        <x:v>Dump Truck</x:v>
      </x:c>
      <x:c r="I70" s="12" t="str">
        <x:v>DUMP TRUCK RENAULT KRANGE440-P6X4 A/T</x:v>
      </x:c>
      <x:c r="J70" s="16" t="n">
        <x:v>123</x:v>
      </x:c>
      <x:c r="K70" s="16" t="n">
        <x:v>3962</x:v>
      </x:c>
      <x:c r="L70" s="16" t="n">
        <x:v>3969</x:v>
      </x:c>
      <x:c r="M70" s="16" t="n">
        <x:v>7</x:v>
      </x:c>
      <x:c r="N70" s="16" t="n">
        <x:v>17.571428571428573</x:v>
      </x:c>
      <x:c r="O70" s="12" t="str">
        <x:v>FTRL44G004</x:v>
      </x:c>
      <x:c r="P70" s="12" t="str">
        <x:v>STRL44G157</x:v>
      </x:c>
      <x:c r="Q70" s="12" t="str"/>
      <x:c r="R70" s="12" t="str"/>
      <x:c r="S70" s="12" t="str"/>
      <x:c r="T70" s="12" t="str">
        <x:v>ABM</x:v>
      </x:c>
      <x:c r="U70" s="12" t="str"/>
      <x:c r="V70" s="12" t="str"/>
      <x:c r="W70" s="12" t="str"/>
      <x:c r="X70" s="12" t="str">
        <x:v>STRL44</x:v>
      </x:c>
      <x:c r="Y70" s="12" t="str">
        <x:v>FANGKI &amp; ACUNG</x:v>
      </x:c>
      <x:c r="Z70" s="12" t="str"/>
      <x:c r="AA70" s="32" t="n">
        <x:f>IFERROR(VLOOKUP(G70,Master_Unit!$A$2:$N$78,7,FALSE),"")</x:f>
        <x:v>20</x:v>
      </x:c>
      <x:c r="AB70" s="32" t="n">
        <x:f>IF(OR(N70="",AA70=""),"",N70-AA70)</x:f>
        <x:v>-2.428571428571427</x:v>
      </x:c>
      <x:c r="AC70" s="20" t="n">
        <x:f>IF(OR(N70="",AA70="",AA70=0),"",AB70/AA70)</x:f>
        <x:v>-0.12142857142857136</x:v>
      </x:c>
      <x:c r="AD70" t="str">
        <x:f>IF(AA70="","NO STANDARD",IF(AC70&lt;=Config_Status!$B$2,"EFFICIENT",IF(AC70&lt;=Config_Status!$B$3,"NORMAL",IF(AC70&lt;=Config_Status!$B$4,"WARNING","OVER CONSUMPTION"))))</x:f>
        <x:v>EFFICIENT</x:v>
      </x:c>
      <x:c r="AE70" t="str">
        <x:f>IFERROR(VLOOKUP(G70,Master_Unit!$A$2:$N$78,13,FALSE),"UNIT NOT FOUND")</x:f>
        <x:v>Matched</x:v>
      </x:c>
    </x:row>
    <x:row r="71">
      <x:c r="A71" s="12" t="str">
        <x:v>FU-20260601-00070</x:v>
      </x:c>
      <x:c r="B71" s="12" t="n">
        <x:v>200</x:v>
      </x:c>
      <x:c r="C71" s="14" t="n">
        <x:v>46174</x:v>
      </x:c>
      <x:c r="D71" s="12" t="str">
        <x:v>Senin</x:v>
      </x:c>
      <x:c r="E71" s="12" t="str">
        <x:v>20:24:00</x:v>
      </x:c>
      <x:c r="F71" s="12" t="str">
        <x:v>All Shift Night</x:v>
      </x:c>
      <x:c r="G71" s="12" t="str">
        <x:v>STRL44G154</x:v>
      </x:c>
      <x:c r="H71" s="12" t="str">
        <x:v>Dump Truck</x:v>
      </x:c>
      <x:c r="I71" s="12" t="str">
        <x:v>DUMP TRUCK RENAULT KRANGE440-P6X4 A/T</x:v>
      </x:c>
      <x:c r="J71" s="16" t="n">
        <x:v>130</x:v>
      </x:c>
      <x:c r="K71" s="16" t="n">
        <x:v>3986</x:v>
      </x:c>
      <x:c r="L71" s="16" t="n">
        <x:v>3994</x:v>
      </x:c>
      <x:c r="M71" s="16" t="n">
        <x:v>8</x:v>
      </x:c>
      <x:c r="N71" s="16" t="n">
        <x:v>16.25</x:v>
      </x:c>
      <x:c r="O71" s="12" t="str">
        <x:v>FTRL44G004</x:v>
      </x:c>
      <x:c r="P71" s="12" t="str">
        <x:v>STRL44G154</x:v>
      </x:c>
      <x:c r="Q71" s="12" t="str"/>
      <x:c r="R71" s="12" t="str"/>
      <x:c r="S71" s="12" t="str"/>
      <x:c r="T71" s="12" t="str">
        <x:v>ABM</x:v>
      </x:c>
      <x:c r="U71" s="12" t="str"/>
      <x:c r="V71" s="12" t="str"/>
      <x:c r="W71" s="12" t="str"/>
      <x:c r="X71" s="12" t="str">
        <x:v>STRL44</x:v>
      </x:c>
      <x:c r="Y71" s="12" t="str">
        <x:v>FANGKI &amp; ACUNG</x:v>
      </x:c>
      <x:c r="Z71" s="12" t="str"/>
      <x:c r="AA71" s="32" t="n">
        <x:f>IFERROR(VLOOKUP(G71,Master_Unit!$A$2:$N$78,7,FALSE),"")</x:f>
        <x:v>20</x:v>
      </x:c>
      <x:c r="AB71" s="32" t="n">
        <x:f>IF(OR(N71="",AA71=""),"",N71-AA71)</x:f>
        <x:v>-3.75</x:v>
      </x:c>
      <x:c r="AC71" s="20" t="n">
        <x:f>IF(OR(N71="",AA71="",AA71=0),"",AB71/AA71)</x:f>
        <x:v>-0.1875</x:v>
      </x:c>
      <x:c r="AD71" t="str">
        <x:f>IF(AA71="","NO STANDARD",IF(AC71&lt;=Config_Status!$B$2,"EFFICIENT",IF(AC71&lt;=Config_Status!$B$3,"NORMAL",IF(AC71&lt;=Config_Status!$B$4,"WARNING","OVER CONSUMPTION"))))</x:f>
        <x:v>EFFICIENT</x:v>
      </x:c>
      <x:c r="AE71" t="str">
        <x:f>IFERROR(VLOOKUP(G71,Master_Unit!$A$2:$N$78,13,FALSE),"UNIT NOT FOUND")</x:f>
        <x:v>Matched</x:v>
      </x:c>
    </x:row>
    <x:row r="72">
      <x:c r="A72" s="12" t="str">
        <x:v>FU-20260601-00071</x:v>
      </x:c>
      <x:c r="B72" s="12" t="n">
        <x:v>201</x:v>
      </x:c>
      <x:c r="C72" s="14" t="n">
        <x:v>46174</x:v>
      </x:c>
      <x:c r="D72" s="12" t="str">
        <x:v>Senin</x:v>
      </x:c>
      <x:c r="E72" s="12" t="str">
        <x:v>20:26:00</x:v>
      </x:c>
      <x:c r="F72" s="12" t="str">
        <x:v>All Shift Night</x:v>
      </x:c>
      <x:c r="G72" s="12" t="str">
        <x:v>STRL44G146</x:v>
      </x:c>
      <x:c r="H72" s="12" t="str">
        <x:v>Dump Truck</x:v>
      </x:c>
      <x:c r="I72" s="12" t="str">
        <x:v>DUMP TRUCK RENAULT KRANGE440-P6X4 A/T</x:v>
      </x:c>
      <x:c r="J72" s="16" t="n">
        <x:v>100</x:v>
      </x:c>
      <x:c r="K72" s="16" t="n">
        <x:v>4847</x:v>
      </x:c>
      <x:c r="L72" s="16" t="n">
        <x:v>4853</x:v>
      </x:c>
      <x:c r="M72" s="16" t="n">
        <x:v>6</x:v>
      </x:c>
      <x:c r="N72" s="16" t="n">
        <x:v>16.666666666666668</x:v>
      </x:c>
      <x:c r="O72" s="12" t="str">
        <x:v>FTRL44G004</x:v>
      </x:c>
      <x:c r="P72" s="12" t="str">
        <x:v>STRL44G146</x:v>
      </x:c>
      <x:c r="Q72" s="12" t="str"/>
      <x:c r="R72" s="12" t="str"/>
      <x:c r="S72" s="12" t="str"/>
      <x:c r="T72" s="12" t="str">
        <x:v>ABM</x:v>
      </x:c>
      <x:c r="U72" s="12" t="str"/>
      <x:c r="V72" s="12" t="str"/>
      <x:c r="W72" s="12" t="str"/>
      <x:c r="X72" s="12" t="str">
        <x:v>STRL44</x:v>
      </x:c>
      <x:c r="Y72" s="12" t="str">
        <x:v>FANGKI &amp; ACUNG</x:v>
      </x:c>
      <x:c r="Z72" s="12" t="str"/>
      <x:c r="AA72" s="32" t="n">
        <x:f>IFERROR(VLOOKUP(G72,Master_Unit!$A$2:$N$78,7,FALSE),"")</x:f>
        <x:v>20</x:v>
      </x:c>
      <x:c r="AB72" s="32" t="n">
        <x:f>IF(OR(N72="",AA72=""),"",N72-AA72)</x:f>
        <x:v>-3.333333333333332</x:v>
      </x:c>
      <x:c r="AC72" s="20" t="n">
        <x:f>IF(OR(N72="",AA72="",AA72=0),"",AB72/AA72)</x:f>
        <x:v>-0.1666666666666666</x:v>
      </x:c>
      <x:c r="AD72" t="str">
        <x:f>IF(AA72="","NO STANDARD",IF(AC72&lt;=Config_Status!$B$2,"EFFICIENT",IF(AC72&lt;=Config_Status!$B$3,"NORMAL",IF(AC72&lt;=Config_Status!$B$4,"WARNING","OVER CONSUMPTION"))))</x:f>
        <x:v>EFFICIENT</x:v>
      </x:c>
      <x:c r="AE72" t="str">
        <x:f>IFERROR(VLOOKUP(G72,Master_Unit!$A$2:$N$78,13,FALSE),"UNIT NOT FOUND")</x:f>
        <x:v>Matched</x:v>
      </x:c>
    </x:row>
    <x:row r="73">
      <x:c r="A73" s="12" t="str">
        <x:v>FU-20260601-00072</x:v>
      </x:c>
      <x:c r="B73" s="12" t="n">
        <x:v>202</x:v>
      </x:c>
      <x:c r="C73" s="14" t="n">
        <x:v>46174</x:v>
      </x:c>
      <x:c r="D73" s="12" t="str">
        <x:v>Senin</x:v>
      </x:c>
      <x:c r="E73" s="12" t="str">
        <x:v>20:34:00</x:v>
      </x:c>
      <x:c r="F73" s="12" t="str">
        <x:v>All Shift Night</x:v>
      </x:c>
      <x:c r="G73" s="12" t="str">
        <x:v>STRL44G139</x:v>
      </x:c>
      <x:c r="H73" s="12" t="str">
        <x:v>Dump Truck</x:v>
      </x:c>
      <x:c r="I73" s="12" t="str">
        <x:v>DUMP TRUCK RENAULT KRANGE440-P6X4 A/T</x:v>
      </x:c>
      <x:c r="J73" s="16" t="n">
        <x:v>176</x:v>
      </x:c>
      <x:c r="K73" s="16" t="n">
        <x:v>4860</x:v>
      </x:c>
      <x:c r="L73" s="16" t="n">
        <x:v>4877</x:v>
      </x:c>
      <x:c r="M73" s="16" t="n">
        <x:v>17</x:v>
      </x:c>
      <x:c r="N73" s="16" t="n">
        <x:v>10.352941176470589</x:v>
      </x:c>
      <x:c r="O73" s="12" t="str">
        <x:v>FTRL44G004</x:v>
      </x:c>
      <x:c r="P73" s="12" t="str">
        <x:v>STRL44G139</x:v>
      </x:c>
      <x:c r="Q73" s="12" t="str"/>
      <x:c r="R73" s="12" t="str"/>
      <x:c r="S73" s="12" t="str"/>
      <x:c r="T73" s="12" t="str">
        <x:v>ABM</x:v>
      </x:c>
      <x:c r="U73" s="12" t="str"/>
      <x:c r="V73" s="12" t="str"/>
      <x:c r="W73" s="12" t="str"/>
      <x:c r="X73" s="12" t="str">
        <x:v>STRL44</x:v>
      </x:c>
      <x:c r="Y73" s="12" t="str">
        <x:v>FANGKI &amp; ACUNG</x:v>
      </x:c>
      <x:c r="Z73" s="12" t="str"/>
      <x:c r="AA73" s="32" t="n">
        <x:f>IFERROR(VLOOKUP(G73,Master_Unit!$A$2:$N$78,7,FALSE),"")</x:f>
        <x:v>20</x:v>
      </x:c>
      <x:c r="AB73" s="32" t="n">
        <x:f>IF(OR(N73="",AA73=""),"",N73-AA73)</x:f>
        <x:v>-9.647058823529411</x:v>
      </x:c>
      <x:c r="AC73" s="20" t="n">
        <x:f>IF(OR(N73="",AA73="",AA73=0),"",AB73/AA73)</x:f>
        <x:v>-0.48235294117647054</x:v>
      </x:c>
      <x:c r="AD73" t="str">
        <x:f>IF(AA73="","NO STANDARD",IF(AC73&lt;=Config_Status!$B$2,"EFFICIENT",IF(AC73&lt;=Config_Status!$B$3,"NORMAL",IF(AC73&lt;=Config_Status!$B$4,"WARNING","OVER CONSUMPTION"))))</x:f>
        <x:v>EFFICIENT</x:v>
      </x:c>
      <x:c r="AE73" t="str">
        <x:f>IFERROR(VLOOKUP(G73,Master_Unit!$A$2:$N$78,13,FALSE),"UNIT NOT FOUND")</x:f>
        <x:v>Matched</x:v>
      </x:c>
    </x:row>
    <x:row r="74">
      <x:c r="A74" s="12" t="str">
        <x:v>FU-20260601-00073</x:v>
      </x:c>
      <x:c r="B74" s="12" t="n">
        <x:v>203</x:v>
      </x:c>
      <x:c r="C74" s="14" t="n">
        <x:v>46174</x:v>
      </x:c>
      <x:c r="D74" s="12" t="str">
        <x:v>Senin</x:v>
      </x:c>
      <x:c r="E74" s="12" t="str">
        <x:v>20:38:00</x:v>
      </x:c>
      <x:c r="F74" s="12" t="str">
        <x:v>All Shift Night</x:v>
      </x:c>
      <x:c r="G74" s="12" t="str">
        <x:v>STRL44G144</x:v>
      </x:c>
      <x:c r="H74" s="12" t="str">
        <x:v>Dump Truck</x:v>
      </x:c>
      <x:c r="I74" s="12" t="str">
        <x:v>DUMP TRUCK RENAULT KRANGE440-P6X4 A/T</x:v>
      </x:c>
      <x:c r="J74" s="16" t="n">
        <x:v>170</x:v>
      </x:c>
      <x:c r="K74" s="16" t="n">
        <x:v>1434</x:v>
      </x:c>
      <x:c r="L74" s="16" t="n">
        <x:v>1441</x:v>
      </x:c>
      <x:c r="M74" s="16" t="n">
        <x:v>7</x:v>
      </x:c>
      <x:c r="N74" s="16" t="n">
        <x:v>24.285714285714285</x:v>
      </x:c>
      <x:c r="O74" s="12" t="str">
        <x:v>FTRL44G004</x:v>
      </x:c>
      <x:c r="P74" s="12" t="str">
        <x:v>STRL44G144</x:v>
      </x:c>
      <x:c r="Q74" s="12" t="str"/>
      <x:c r="R74" s="12" t="str"/>
      <x:c r="S74" s="12" t="str"/>
      <x:c r="T74" s="12" t="str">
        <x:v>ABM</x:v>
      </x:c>
      <x:c r="U74" s="12" t="str"/>
      <x:c r="V74" s="12" t="str"/>
      <x:c r="W74" s="12" t="str"/>
      <x:c r="X74" s="12" t="str">
        <x:v>STRL44</x:v>
      </x:c>
      <x:c r="Y74" s="12" t="str">
        <x:v>FANGKI &amp; ACUNG</x:v>
      </x:c>
      <x:c r="Z74" s="12" t="str"/>
      <x:c r="AA74" s="32" t="n">
        <x:f>IFERROR(VLOOKUP(G74,Master_Unit!$A$2:$N$78,7,FALSE),"")</x:f>
        <x:v>20</x:v>
      </x:c>
      <x:c r="AB74" s="32" t="n">
        <x:f>IF(OR(N74="",AA74=""),"",N74-AA74)</x:f>
        <x:v>4.285714285714285</x:v>
      </x:c>
      <x:c r="AC74" s="20" t="n">
        <x:f>IF(OR(N74="",AA74="",AA74=0),"",AB74/AA74)</x:f>
        <x:v>0.21428571428571425</x:v>
      </x:c>
      <x:c r="AD74" t="str">
        <x:f>IF(AA74="","NO STANDARD",IF(AC74&lt;=Config_Status!$B$2,"EFFICIENT",IF(AC74&lt;=Config_Status!$B$3,"NORMAL",IF(AC74&lt;=Config_Status!$B$4,"WARNING","OVER CONSUMPTION"))))</x:f>
        <x:v>OVER CONSUMPTION</x:v>
      </x:c>
      <x:c r="AE74" t="str">
        <x:f>IFERROR(VLOOKUP(G74,Master_Unit!$A$2:$N$78,13,FALSE),"UNIT NOT FOUND")</x:f>
        <x:v>Matched</x:v>
      </x:c>
    </x:row>
    <x:row r="75">
      <x:c r="A75" s="12" t="str">
        <x:v>FU-20260601-00074</x:v>
      </x:c>
      <x:c r="B75" s="12" t="n">
        <x:v>204</x:v>
      </x:c>
      <x:c r="C75" s="14" t="n">
        <x:v>46174</x:v>
      </x:c>
      <x:c r="D75" s="12" t="str">
        <x:v>Senin</x:v>
      </x:c>
      <x:c r="E75" s="12" t="str">
        <x:v>20:46:00</x:v>
      </x:c>
      <x:c r="F75" s="12" t="str">
        <x:v>All Shift Night</x:v>
      </x:c>
      <x:c r="G75" s="12" t="str">
        <x:v>STRL44G140</x:v>
      </x:c>
      <x:c r="H75" s="12" t="str">
        <x:v>Dump Truck</x:v>
      </x:c>
      <x:c r="I75" s="12" t="str">
        <x:v>DUMP TRUCK RENAULT KRANGE440-P6X4 A/T</x:v>
      </x:c>
      <x:c r="J75" s="16" t="n">
        <x:v>148</x:v>
      </x:c>
      <x:c r="K75" s="16" t="n">
        <x:v>5000</x:v>
      </x:c>
      <x:c r="L75" s="16" t="n">
        <x:v>5008</x:v>
      </x:c>
      <x:c r="M75" s="16" t="n">
        <x:v>8</x:v>
      </x:c>
      <x:c r="N75" s="16" t="n">
        <x:v>18.5</x:v>
      </x:c>
      <x:c r="O75" s="12" t="str">
        <x:v>FTRL44G004</x:v>
      </x:c>
      <x:c r="P75" s="12" t="str">
        <x:v>STRL44G140</x:v>
      </x:c>
      <x:c r="Q75" s="12" t="str"/>
      <x:c r="R75" s="12" t="str"/>
      <x:c r="S75" s="12" t="str"/>
      <x:c r="T75" s="12" t="str">
        <x:v>ABM</x:v>
      </x:c>
      <x:c r="U75" s="12" t="str"/>
      <x:c r="V75" s="12" t="str"/>
      <x:c r="W75" s="12" t="str"/>
      <x:c r="X75" s="12" t="str">
        <x:v>STRL44</x:v>
      </x:c>
      <x:c r="Y75" s="12" t="str">
        <x:v>FANGKI &amp; ACUNG</x:v>
      </x:c>
      <x:c r="Z75" s="12" t="str"/>
      <x:c r="AA75" s="32" t="n">
        <x:f>IFERROR(VLOOKUP(G75,Master_Unit!$A$2:$N$78,7,FALSE),"")</x:f>
        <x:v>20</x:v>
      </x:c>
      <x:c r="AB75" s="32" t="n">
        <x:f>IF(OR(N75="",AA75=""),"",N75-AA75)</x:f>
        <x:v>-1.5</x:v>
      </x:c>
      <x:c r="AC75" s="20" t="n">
        <x:f>IF(OR(N75="",AA75="",AA75=0),"",AB75/AA75)</x:f>
        <x:v>-0.075</x:v>
      </x:c>
      <x:c r="AD75" t="str">
        <x:f>IF(AA75="","NO STANDARD",IF(AC75&lt;=Config_Status!$B$2,"EFFICIENT",IF(AC75&lt;=Config_Status!$B$3,"NORMAL",IF(AC75&lt;=Config_Status!$B$4,"WARNING","OVER CONSUMPTION"))))</x:f>
        <x:v>NORMAL</x:v>
      </x:c>
      <x:c r="AE75" t="str">
        <x:f>IFERROR(VLOOKUP(G75,Master_Unit!$A$2:$N$78,13,FALSE),"UNIT NOT FOUND")</x:f>
        <x:v>Matched</x:v>
      </x:c>
    </x:row>
    <x:row r="76">
      <x:c r="A76" s="12" t="str">
        <x:v>FU-20260601-00075</x:v>
      </x:c>
      <x:c r="B76" s="12" t="n">
        <x:v>205</x:v>
      </x:c>
      <x:c r="C76" s="14" t="n">
        <x:v>46174</x:v>
      </x:c>
      <x:c r="D76" s="12" t="str">
        <x:v>Senin</x:v>
      </x:c>
      <x:c r="E76" s="12" t="str">
        <x:v>20:51:00</x:v>
      </x:c>
      <x:c r="F76" s="12" t="str">
        <x:v>All Shift Night</x:v>
      </x:c>
      <x:c r="G76" s="12" t="str">
        <x:v>STRL44G138</x:v>
      </x:c>
      <x:c r="H76" s="12" t="str">
        <x:v>Dump Truck</x:v>
      </x:c>
      <x:c r="I76" s="12" t="str">
        <x:v>DUMP TRUCK RENAULT KRANGE440-P6X4 A/T</x:v>
      </x:c>
      <x:c r="J76" s="16" t="n">
        <x:v>117</x:v>
      </x:c>
      <x:c r="K76" s="16" t="n">
        <x:v>5201</x:v>
      </x:c>
      <x:c r="L76" s="16" t="n">
        <x:v>5209</x:v>
      </x:c>
      <x:c r="M76" s="16" t="n">
        <x:v>8</x:v>
      </x:c>
      <x:c r="N76" s="16" t="n">
        <x:v>14.625</x:v>
      </x:c>
      <x:c r="O76" s="12" t="str">
        <x:v>FTRL44G004</x:v>
      </x:c>
      <x:c r="P76" s="12" t="str">
        <x:v>STRL44G138</x:v>
      </x:c>
      <x:c r="Q76" s="12" t="str"/>
      <x:c r="R76" s="12" t="str"/>
      <x:c r="S76" s="12" t="str"/>
      <x:c r="T76" s="12" t="str">
        <x:v>ABM</x:v>
      </x:c>
      <x:c r="U76" s="12" t="str"/>
      <x:c r="V76" s="12" t="str"/>
      <x:c r="W76" s="12" t="str"/>
      <x:c r="X76" s="12" t="str">
        <x:v>STRL44</x:v>
      </x:c>
      <x:c r="Y76" s="12" t="str">
        <x:v>FANGKI &amp; ACUNG</x:v>
      </x:c>
      <x:c r="Z76" s="12" t="str"/>
      <x:c r="AA76" s="32" t="n">
        <x:f>IFERROR(VLOOKUP(G76,Master_Unit!$A$2:$N$78,7,FALSE),"")</x:f>
        <x:v>20</x:v>
      </x:c>
      <x:c r="AB76" s="32" t="n">
        <x:f>IF(OR(N76="",AA76=""),"",N76-AA76)</x:f>
        <x:v>-5.375</x:v>
      </x:c>
      <x:c r="AC76" s="20" t="n">
        <x:f>IF(OR(N76="",AA76="",AA76=0),"",AB76/AA76)</x:f>
        <x:v>-0.26875</x:v>
      </x:c>
      <x:c r="AD76" t="str">
        <x:f>IF(AA76="","NO STANDARD",IF(AC76&lt;=Config_Status!$B$2,"EFFICIENT",IF(AC76&lt;=Config_Status!$B$3,"NORMAL",IF(AC76&lt;=Config_Status!$B$4,"WARNING","OVER CONSUMPTION"))))</x:f>
        <x:v>EFFICIENT</x:v>
      </x:c>
      <x:c r="AE76" t="str">
        <x:f>IFERROR(VLOOKUP(G76,Master_Unit!$A$2:$N$78,13,FALSE),"UNIT NOT FOUND")</x:f>
        <x:v>Matched</x:v>
      </x:c>
    </x:row>
    <x:row r="77">
      <x:c r="A77" s="12" t="str">
        <x:v>FU-20260601-00076</x:v>
      </x:c>
      <x:c r="B77" s="12" t="n">
        <x:v>206</x:v>
      </x:c>
      <x:c r="C77" s="14" t="n">
        <x:v>46174</x:v>
      </x:c>
      <x:c r="D77" s="12" t="str">
        <x:v>Senin</x:v>
      </x:c>
      <x:c r="E77" s="12" t="str">
        <x:v>20:57:00</x:v>
      </x:c>
      <x:c r="F77" s="12" t="str">
        <x:v>All Shift Night</x:v>
      </x:c>
      <x:c r="G77" s="12" t="str">
        <x:v>STRL44G145</x:v>
      </x:c>
      <x:c r="H77" s="12" t="str">
        <x:v>Dump Truck</x:v>
      </x:c>
      <x:c r="I77" s="12" t="str">
        <x:v>DUMP TRUCK RENAULT KRANGE440-P6X4 A/T</x:v>
      </x:c>
      <x:c r="J77" s="16" t="n">
        <x:v>176</x:v>
      </x:c>
      <x:c r="K77" s="16" t="n">
        <x:v>4840</x:v>
      </x:c>
      <x:c r="L77" s="16" t="n">
        <x:v>4848</x:v>
      </x:c>
      <x:c r="M77" s="16" t="n">
        <x:v>8</x:v>
      </x:c>
      <x:c r="N77" s="16" t="n">
        <x:v>22</x:v>
      </x:c>
      <x:c r="O77" s="12" t="str">
        <x:v>FTRL44G004</x:v>
      </x:c>
      <x:c r="P77" s="12" t="str">
        <x:v>STRL44G145</x:v>
      </x:c>
      <x:c r="Q77" s="12" t="str"/>
      <x:c r="R77" s="12" t="str"/>
      <x:c r="S77" s="12" t="str"/>
      <x:c r="T77" s="12" t="str">
        <x:v>ABM</x:v>
      </x:c>
      <x:c r="U77" s="12" t="str"/>
      <x:c r="V77" s="12" t="str"/>
      <x:c r="W77" s="12" t="str"/>
      <x:c r="X77" s="12" t="str">
        <x:v>STRL44</x:v>
      </x:c>
      <x:c r="Y77" s="12" t="str">
        <x:v>FANGKI &amp; ACUNG</x:v>
      </x:c>
      <x:c r="Z77" s="12" t="str"/>
      <x:c r="AA77" s="32" t="n">
        <x:f>IFERROR(VLOOKUP(G77,Master_Unit!$A$2:$N$78,7,FALSE),"")</x:f>
        <x:v>20</x:v>
      </x:c>
      <x:c r="AB77" s="32" t="n">
        <x:f>IF(OR(N77="",AA77=""),"",N77-AA77)</x:f>
        <x:v>2</x:v>
      </x:c>
      <x:c r="AC77" s="20" t="n">
        <x:f>IF(OR(N77="",AA77="",AA77=0),"",AB77/AA77)</x:f>
        <x:v>0.1</x:v>
      </x:c>
      <x:c r="AD77" t="str">
        <x:f>IF(AA77="","NO STANDARD",IF(AC77&lt;=Config_Status!$B$2,"EFFICIENT",IF(AC77&lt;=Config_Status!$B$3,"NORMAL",IF(AC77&lt;=Config_Status!$B$4,"WARNING","OVER CONSUMPTION"))))</x:f>
        <x:v>NORMAL</x:v>
      </x:c>
      <x:c r="AE77" t="str">
        <x:f>IFERROR(VLOOKUP(G77,Master_Unit!$A$2:$N$78,13,FALSE),"UNIT NOT FOUND")</x:f>
        <x:v>Matched</x:v>
      </x:c>
    </x:row>
    <x:row r="78">
      <x:c r="A78" s="12" t="str">
        <x:v>FU-20260601-00077</x:v>
      </x:c>
      <x:c r="B78" s="12" t="n">
        <x:v>207</x:v>
      </x:c>
      <x:c r="C78" s="14" t="n">
        <x:v>46174</x:v>
      </x:c>
      <x:c r="D78" s="12" t="str">
        <x:v>Senin</x:v>
      </x:c>
      <x:c r="E78" s="12" t="str">
        <x:v>21:03:00</x:v>
      </x:c>
      <x:c r="F78" s="12" t="str">
        <x:v>All Shift Night</x:v>
      </x:c>
      <x:c r="G78" s="12" t="str">
        <x:v>STRL44G142</x:v>
      </x:c>
      <x:c r="H78" s="12" t="str">
        <x:v>Dump Truck</x:v>
      </x:c>
      <x:c r="I78" s="12" t="str">
        <x:v>DUMP TRUCK RENAULT KRANGE440-P6X4 A/T</x:v>
      </x:c>
      <x:c r="J78" s="16" t="n">
        <x:v>125</x:v>
      </x:c>
      <x:c r="K78" s="16" t="n">
        <x:v>3235</x:v>
      </x:c>
      <x:c r="L78" s="16" t="n">
        <x:v>3242</x:v>
      </x:c>
      <x:c r="M78" s="16" t="n">
        <x:v>7</x:v>
      </x:c>
      <x:c r="N78" s="16" t="n">
        <x:v>17.857142857142858</x:v>
      </x:c>
      <x:c r="O78" s="12" t="str">
        <x:v>FTRL44G004</x:v>
      </x:c>
      <x:c r="P78" s="12" t="str">
        <x:v>STRL44G142</x:v>
      </x:c>
      <x:c r="Q78" s="12" t="str"/>
      <x:c r="R78" s="12" t="str"/>
      <x:c r="S78" s="12" t="str"/>
      <x:c r="T78" s="12" t="str">
        <x:v>ABM</x:v>
      </x:c>
      <x:c r="U78" s="12" t="str"/>
      <x:c r="V78" s="12" t="str"/>
      <x:c r="W78" s="12" t="str"/>
      <x:c r="X78" s="12" t="str">
        <x:v>STRL44</x:v>
      </x:c>
      <x:c r="Y78" s="12" t="str">
        <x:v>FANGKI &amp; ACUNG</x:v>
      </x:c>
      <x:c r="Z78" s="12" t="str"/>
      <x:c r="AA78" s="32" t="n">
        <x:f>IFERROR(VLOOKUP(G78,Master_Unit!$A$2:$N$78,7,FALSE),"")</x:f>
        <x:v>20</x:v>
      </x:c>
      <x:c r="AB78" s="32" t="n">
        <x:f>IF(OR(N78="",AA78=""),"",N78-AA78)</x:f>
        <x:v>-2.1428571428571423</x:v>
      </x:c>
      <x:c r="AC78" s="20" t="n">
        <x:f>IF(OR(N78="",AA78="",AA78=0),"",AB78/AA78)</x:f>
        <x:v>-0.10714285714285712</x:v>
      </x:c>
      <x:c r="AD78" t="str">
        <x:f>IF(AA78="","NO STANDARD",IF(AC78&lt;=Config_Status!$B$2,"EFFICIENT",IF(AC78&lt;=Config_Status!$B$3,"NORMAL",IF(AC78&lt;=Config_Status!$B$4,"WARNING","OVER CONSUMPTION"))))</x:f>
        <x:v>EFFICIENT</x:v>
      </x:c>
      <x:c r="AE78" t="str">
        <x:f>IFERROR(VLOOKUP(G78,Master_Unit!$A$2:$N$78,13,FALSE),"UNIT NOT FOUND")</x:f>
        <x:v>Matched</x:v>
      </x:c>
    </x:row>
    <x:row r="79">
      <x:c r="A79" s="12" t="str">
        <x:v>FU-20260601-00078</x:v>
      </x:c>
      <x:c r="B79" s="12" t="n">
        <x:v>208</x:v>
      </x:c>
      <x:c r="C79" s="14" t="n">
        <x:v>46174</x:v>
      </x:c>
      <x:c r="D79" s="12" t="str">
        <x:v>Senin</x:v>
      </x:c>
      <x:c r="E79" s="12" t="str">
        <x:v>21:13:00</x:v>
      </x:c>
      <x:c r="F79" s="12" t="str">
        <x:v>All Shift Night</x:v>
      </x:c>
      <x:c r="G79" s="12" t="str">
        <x:v>STRL44G143</x:v>
      </x:c>
      <x:c r="H79" s="12" t="str">
        <x:v>Dump Truck</x:v>
      </x:c>
      <x:c r="I79" s="12" t="str">
        <x:v>DUMP TRUCK RENAULT KRANGE440-P6X4 A/T</x:v>
      </x:c>
      <x:c r="J79" s="16" t="n">
        <x:v>176</x:v>
      </x:c>
      <x:c r="K79" s="16" t="n">
        <x:v>5128</x:v>
      </x:c>
      <x:c r="L79" s="16" t="n">
        <x:v>5137</x:v>
      </x:c>
      <x:c r="M79" s="16" t="n">
        <x:v>9</x:v>
      </x:c>
      <x:c r="N79" s="16" t="n">
        <x:v>19.555555555555557</x:v>
      </x:c>
      <x:c r="O79" s="12" t="str">
        <x:v>FTRL44G004</x:v>
      </x:c>
      <x:c r="P79" s="12" t="str">
        <x:v>STRL44G143</x:v>
      </x:c>
      <x:c r="Q79" s="12" t="str"/>
      <x:c r="R79" s="12" t="str"/>
      <x:c r="S79" s="12" t="str"/>
      <x:c r="T79" s="12" t="str">
        <x:v>ABM</x:v>
      </x:c>
      <x:c r="U79" s="12" t="str"/>
      <x:c r="V79" s="12" t="str"/>
      <x:c r="W79" s="12" t="str"/>
      <x:c r="X79" s="12" t="str">
        <x:v>STRL44</x:v>
      </x:c>
      <x:c r="Y79" s="12" t="str">
        <x:v>FANGKI &amp; ACUNG</x:v>
      </x:c>
      <x:c r="Z79" s="12" t="str"/>
      <x:c r="AA79" s="32" t="n">
        <x:f>IFERROR(VLOOKUP(G79,Master_Unit!$A$2:$N$78,7,FALSE),"")</x:f>
        <x:v>20</x:v>
      </x:c>
      <x:c r="AB79" s="32" t="n">
        <x:f>IF(OR(N79="",AA79=""),"",N79-AA79)</x:f>
        <x:v>-0.44444444444444287</x:v>
      </x:c>
      <x:c r="AC79" s="20" t="n">
        <x:f>IF(OR(N79="",AA79="",AA79=0),"",AB79/AA79)</x:f>
        <x:v>-0.022222222222222143</x:v>
      </x:c>
      <x:c r="AD79" t="str">
        <x:f>IF(AA79="","NO STANDARD",IF(AC79&lt;=Config_Status!$B$2,"EFFICIENT",IF(AC79&lt;=Config_Status!$B$3,"NORMAL",IF(AC79&lt;=Config_Status!$B$4,"WARNING","OVER CONSUMPTION"))))</x:f>
        <x:v>NORMAL</x:v>
      </x:c>
      <x:c r="AE79" t="str">
        <x:f>IFERROR(VLOOKUP(G79,Master_Unit!$A$2:$N$78,13,FALSE),"UNIT NOT FOUND")</x:f>
        <x:v>Matched</x:v>
      </x:c>
    </x:row>
    <x:row r="80">
      <x:c r="A80" s="12" t="str">
        <x:v>FU-20260601-00079</x:v>
      </x:c>
      <x:c r="B80" s="12" t="n">
        <x:v>209</x:v>
      </x:c>
      <x:c r="C80" s="14" t="n">
        <x:v>46174</x:v>
      </x:c>
      <x:c r="D80" s="12" t="str">
        <x:v>Senin</x:v>
      </x:c>
      <x:c r="E80" s="12" t="str">
        <x:v>21:17:00</x:v>
      </x:c>
      <x:c r="F80" s="12" t="str">
        <x:v>All Shift Night</x:v>
      </x:c>
      <x:c r="G80" s="12" t="str">
        <x:v>STRL44G147</x:v>
      </x:c>
      <x:c r="H80" s="12" t="str">
        <x:v>Dump Truck</x:v>
      </x:c>
      <x:c r="I80" s="12" t="str">
        <x:v>DUMP TRUCK RENAULT KRANGE440-P6X4 A/T</x:v>
      </x:c>
      <x:c r="J80" s="16" t="n">
        <x:v>123</x:v>
      </x:c>
      <x:c r="K80" s="16" t="n">
        <x:v>4914</x:v>
      </x:c>
      <x:c r="L80" s="16" t="n">
        <x:v>4921</x:v>
      </x:c>
      <x:c r="M80" s="16" t="n">
        <x:v>7</x:v>
      </x:c>
      <x:c r="N80" s="16" t="n">
        <x:v>17.571428571428573</x:v>
      </x:c>
      <x:c r="O80" s="12" t="str">
        <x:v>FTRL44G004</x:v>
      </x:c>
      <x:c r="P80" s="12" t="str">
        <x:v>STRL44G147</x:v>
      </x:c>
      <x:c r="Q80" s="12" t="str"/>
      <x:c r="R80" s="12" t="str"/>
      <x:c r="S80" s="12" t="str"/>
      <x:c r="T80" s="12" t="str">
        <x:v>ABM</x:v>
      </x:c>
      <x:c r="U80" s="12" t="str"/>
      <x:c r="V80" s="12" t="str"/>
      <x:c r="W80" s="12" t="str"/>
      <x:c r="X80" s="12" t="str">
        <x:v>STRL44</x:v>
      </x:c>
      <x:c r="Y80" s="12" t="str">
        <x:v>FANGKI &amp; ACUNG</x:v>
      </x:c>
      <x:c r="Z80" s="12" t="str"/>
      <x:c r="AA80" s="32" t="n">
        <x:f>IFERROR(VLOOKUP(G80,Master_Unit!$A$2:$N$78,7,FALSE),"")</x:f>
        <x:v>20</x:v>
      </x:c>
      <x:c r="AB80" s="32" t="n">
        <x:f>IF(OR(N80="",AA80=""),"",N80-AA80)</x:f>
        <x:v>-2.428571428571427</x:v>
      </x:c>
      <x:c r="AC80" s="20" t="n">
        <x:f>IF(OR(N80="",AA80="",AA80=0),"",AB80/AA80)</x:f>
        <x:v>-0.12142857142857136</x:v>
      </x:c>
      <x:c r="AD80" t="str">
        <x:f>IF(AA80="","NO STANDARD",IF(AC80&lt;=Config_Status!$B$2,"EFFICIENT",IF(AC80&lt;=Config_Status!$B$3,"NORMAL",IF(AC80&lt;=Config_Status!$B$4,"WARNING","OVER CONSUMPTION"))))</x:f>
        <x:v>EFFICIENT</x:v>
      </x:c>
      <x:c r="AE80" t="str">
        <x:f>IFERROR(VLOOKUP(G80,Master_Unit!$A$2:$N$78,13,FALSE),"UNIT NOT FOUND")</x:f>
        <x:v>Matched</x:v>
      </x:c>
    </x:row>
    <x:row r="81">
      <x:c r="A81" s="12" t="str">
        <x:v>FU-20260601-00080</x:v>
      </x:c>
      <x:c r="B81" s="12" t="n">
        <x:v>210</x:v>
      </x:c>
      <x:c r="C81" s="14" t="n">
        <x:v>46174</x:v>
      </x:c>
      <x:c r="D81" s="12" t="str">
        <x:v>Senin</x:v>
      </x:c>
      <x:c r="E81" s="12" t="str">
        <x:v>00:01:00</x:v>
      </x:c>
      <x:c r="F81" s="12" t="str">
        <x:v>All Shift Night</x:v>
      </x:c>
      <x:c r="G81" s="12" t="str">
        <x:v>EXVV35G006</x:v>
      </x:c>
      <x:c r="H81" s="12" t="str">
        <x:v>Excavator</x:v>
      </x:c>
      <x:c r="I81" s="12" t="str">
        <x:v>EXCAVATOR VOLVO EC350D</x:v>
      </x:c>
      <x:c r="J81" s="16" t="n">
        <x:v>220</x:v>
      </x:c>
      <x:c r="K81" s="16" t="n">
        <x:v>3051</x:v>
      </x:c>
      <x:c r="L81" s="16" t="n">
        <x:v>3063.4</x:v>
      </x:c>
      <x:c r="M81" s="16" t="n">
        <x:v>12.400000000000091</x:v>
      </x:c>
      <x:c r="N81" s="16" t="n">
        <x:v>17.741935483870837</x:v>
      </x:c>
      <x:c r="O81" s="12" t="str">
        <x:v>FTRL44G004</x:v>
      </x:c>
      <x:c r="P81" s="12" t="str">
        <x:v>EXVV35G006</x:v>
      </x:c>
      <x:c r="Q81" s="12" t="str"/>
      <x:c r="R81" s="12" t="str"/>
      <x:c r="S81" s="12" t="str"/>
      <x:c r="T81" s="12" t="str">
        <x:v>ABM</x:v>
      </x:c>
      <x:c r="U81" s="12" t="str"/>
      <x:c r="V81" s="12" t="str"/>
      <x:c r="W81" s="12" t="str"/>
      <x:c r="X81" s="12" t="str">
        <x:v>EXVV35</x:v>
      </x:c>
      <x:c r="Y81" s="12" t="str">
        <x:v>FANGKI &amp; ACUNG</x:v>
      </x:c>
      <x:c r="Z81" s="12" t="str"/>
      <x:c r="AA81" s="32" t="n">
        <x:f>IFERROR(VLOOKUP(G81,Master_Unit!$A$2:$N$78,7,FALSE),"")</x:f>
        <x:v>25</x:v>
      </x:c>
      <x:c r="AB81" s="32" t="n">
        <x:f>IF(OR(N81="",AA81=""),"",N81-AA81)</x:f>
        <x:v>-7.2580645161291635</x:v>
      </x:c>
      <x:c r="AC81" s="20" t="n">
        <x:f>IF(OR(N81="",AA81="",AA81=0),"",AB81/AA81)</x:f>
        <x:v>-0.29032258064516653</x:v>
      </x:c>
      <x:c r="AD81" t="str">
        <x:f>IF(AA81="","NO STANDARD",IF(AC81&lt;=Config_Status!$B$2,"EFFICIENT",IF(AC81&lt;=Config_Status!$B$3,"NORMAL",IF(AC81&lt;=Config_Status!$B$4,"WARNING","OVER CONSUMPTION"))))</x:f>
        <x:v>EFFICIENT</x:v>
      </x:c>
      <x:c r="AE81" t="str">
        <x:f>IFERROR(VLOOKUP(G81,Master_Unit!$A$2:$N$78,13,FALSE),"UNIT NOT FOUND")</x:f>
        <x:v>Matched</x:v>
      </x:c>
    </x:row>
    <x:row r="82">
      <x:c r="A82" s="12" t="str">
        <x:v>FU-20260601-00081</x:v>
      </x:c>
      <x:c r="B82" s="12" t="n">
        <x:v>211</x:v>
      </x:c>
      <x:c r="C82" s="14" t="n">
        <x:v>46174</x:v>
      </x:c>
      <x:c r="D82" s="12" t="str">
        <x:v>Senin</x:v>
      </x:c>
      <x:c r="E82" s="12" t="str">
        <x:v>00:12:00</x:v>
      </x:c>
      <x:c r="F82" s="12" t="str">
        <x:v>All Shift Night</x:v>
      </x:c>
      <x:c r="G82" s="12" t="str">
        <x:v>EXVV35G002</x:v>
      </x:c>
      <x:c r="H82" s="12" t="str">
        <x:v>Excavator</x:v>
      </x:c>
      <x:c r="I82" s="12" t="str">
        <x:v>EXCAVATOR VOLVO EC350D</x:v>
      </x:c>
      <x:c r="J82" s="16" t="n">
        <x:v>221</x:v>
      </x:c>
      <x:c r="K82" s="16" t="n">
        <x:v>4901.8</x:v>
      </x:c>
      <x:c r="L82" s="16" t="n">
        <x:v>4915</x:v>
      </x:c>
      <x:c r="M82" s="16" t="n">
        <x:v>13.199999999999818</x:v>
      </x:c>
      <x:c r="N82" s="16" t="n">
        <x:v>16.742424242424473</x:v>
      </x:c>
      <x:c r="O82" s="12" t="str">
        <x:v>FTRL44G004</x:v>
      </x:c>
      <x:c r="P82" s="12" t="str">
        <x:v>EXVV35G002</x:v>
      </x:c>
      <x:c r="Q82" s="12" t="str"/>
      <x:c r="R82" s="12" t="str"/>
      <x:c r="S82" s="12" t="str"/>
      <x:c r="T82" s="12" t="str">
        <x:v>ABM</x:v>
      </x:c>
      <x:c r="U82" s="12" t="str"/>
      <x:c r="V82" s="12" t="str"/>
      <x:c r="W82" s="12" t="str"/>
      <x:c r="X82" s="12" t="str">
        <x:v>EXVV35</x:v>
      </x:c>
      <x:c r="Y82" s="12" t="str">
        <x:v>FANGKI &amp; ACUNG</x:v>
      </x:c>
      <x:c r="Z82" s="12" t="str"/>
      <x:c r="AA82" s="32" t="n">
        <x:f>IFERROR(VLOOKUP(G82,Master_Unit!$A$2:$N$78,7,FALSE),"")</x:f>
        <x:v>25</x:v>
      </x:c>
      <x:c r="AB82" s="32" t="n">
        <x:f>IF(OR(N82="",AA82=""),"",N82-AA82)</x:f>
        <x:v>-8.257575757575527</x:v>
      </x:c>
      <x:c r="AC82" s="20" t="n">
        <x:f>IF(OR(N82="",AA82="",AA82=0),"",AB82/AA82)</x:f>
        <x:v>-0.33030303030302105</x:v>
      </x:c>
      <x:c r="AD82" t="str">
        <x:f>IF(AA82="","NO STANDARD",IF(AC82&lt;=Config_Status!$B$2,"EFFICIENT",IF(AC82&lt;=Config_Status!$B$3,"NORMAL",IF(AC82&lt;=Config_Status!$B$4,"WARNING","OVER CONSUMPTION"))))</x:f>
        <x:v>EFFICIENT</x:v>
      </x:c>
      <x:c r="AE82" t="str">
        <x:f>IFERROR(VLOOKUP(G82,Master_Unit!$A$2:$N$78,13,FALSE),"UNIT NOT FOUND")</x:f>
        <x:v>Matched</x:v>
      </x:c>
    </x:row>
    <x:row r="83">
      <x:c r="A83" s="12" t="str">
        <x:v>FU-20260602-00082</x:v>
      </x:c>
      <x:c r="B83" s="12" t="n">
        <x:v>212</x:v>
      </x:c>
      <x:c r="C83" s="14" t="n">
        <x:v>46175</x:v>
      </x:c>
      <x:c r="D83" s="12" t="str">
        <x:v>Selasa</x:v>
      </x:c>
      <x:c r="E83" s="12" t="str">
        <x:v>06:19:00</x:v>
      </x:c>
      <x:c r="F83" s="12" t="str">
        <x:v>All Shift Day</x:v>
      </x:c>
      <x:c r="G83" s="12" t="str">
        <x:v>GSHT40G002</x:v>
      </x:c>
      <x:c r="H83" s="12" t="str">
        <x:v>Genset</x:v>
      </x:c>
      <x:c r="I83" s="12" t="str">
        <x:v>GENSET HARTECH HT-400-V</x:v>
      </x:c>
      <x:c r="J83" s="16" t="n">
        <x:v>639</x:v>
      </x:c>
      <x:c r="K83" s="16" t="n">
        <x:v>14508.32</x:v>
      </x:c>
      <x:c r="L83" s="16" t="n">
        <x:v>14531.3</x:v>
      </x:c>
      <x:c r="M83" s="16" t="n">
        <x:v>22.979999999999563</x:v>
      </x:c>
      <x:c r="N83" s="16" t="n">
        <x:v>27.806788511749875</x:v>
      </x:c>
      <x:c r="O83" s="12" t="str">
        <x:v>FTRL44G004</x:v>
      </x:c>
      <x:c r="P83" s="12" t="str">
        <x:v>GSHT40G002</x:v>
      </x:c>
      <x:c r="Q83" s="12" t="str"/>
      <x:c r="R83" s="12" t="str"/>
      <x:c r="S83" s="12" t="str"/>
      <x:c r="T83" s="12" t="str">
        <x:v>ABM</x:v>
      </x:c>
      <x:c r="U83" s="12" t="str"/>
      <x:c r="V83" s="12" t="str"/>
      <x:c r="W83" s="12" t="str"/>
      <x:c r="X83" s="12" t="str">
        <x:v>GSHT40</x:v>
      </x:c>
      <x:c r="Y83" s="12" t="str">
        <x:v>WAYAN &amp; YOGI</x:v>
      </x:c>
      <x:c r="Z83" s="12" t="str"/>
      <x:c r="AA83" s="32" t="n">
        <x:f>IFERROR(VLOOKUP(G83,Master_Unit!$A$2:$N$78,7,FALSE),"")</x:f>
        <x:v>25</x:v>
      </x:c>
      <x:c r="AB83" s="32" t="n">
        <x:f>IF(OR(N83="",AA83=""),"",N83-AA83)</x:f>
        <x:v>2.8067885117498754</x:v>
      </x:c>
      <x:c r="AC83" s="20" t="n">
        <x:f>IF(OR(N83="",AA83="",AA83=0),"",AB83/AA83)</x:f>
        <x:v>0.11227154046999502</x:v>
      </x:c>
      <x:c r="AD83" t="str">
        <x:f>IF(AA83="","NO STANDARD",IF(AC83&lt;=Config_Status!$B$2,"EFFICIENT",IF(AC83&lt;=Config_Status!$B$3,"NORMAL",IF(AC83&lt;=Config_Status!$B$4,"WARNING","OVER CONSUMPTION"))))</x:f>
        <x:v>WARNING</x:v>
      </x:c>
      <x:c r="AE83" t="str">
        <x:f>IFERROR(VLOOKUP(G83,Master_Unit!$A$2:$N$78,13,FALSE),"UNIT NOT FOUND")</x:f>
        <x:v>Matched</x:v>
      </x:c>
    </x:row>
    <x:row r="84">
      <x:c r="A84" s="12" t="str">
        <x:v>FU-20260602-00083</x:v>
      </x:c>
      <x:c r="B84" s="12" t="n">
        <x:v>213</x:v>
      </x:c>
      <x:c r="C84" s="14" t="n">
        <x:v>46175</x:v>
      </x:c>
      <x:c r="D84" s="12" t="str">
        <x:v>Selasa</x:v>
      </x:c>
      <x:c r="E84" s="12" t="str">
        <x:v>12:15:00</x:v>
      </x:c>
      <x:c r="F84" s="12" t="str">
        <x:v>All Shift Day</x:v>
      </x:c>
      <x:c r="G84" s="12" t="str">
        <x:v>EXVV21G040</x:v>
      </x:c>
      <x:c r="H84" s="12" t="str">
        <x:v>Excavator</x:v>
      </x:c>
      <x:c r="I84" s="12" t="str">
        <x:v>EXCAVATOR VOLVO EC210D</x:v>
      </x:c>
      <x:c r="J84" s="16" t="n">
        <x:v>126</x:v>
      </x:c>
      <x:c r="K84" s="16" t="n">
        <x:v>6482.4</x:v>
      </x:c>
      <x:c r="L84" s="16" t="n">
        <x:v>6488.8</x:v>
      </x:c>
      <x:c r="M84" s="16" t="n">
        <x:v>6.400000000000546</x:v>
      </x:c>
      <x:c r="N84" s="16" t="n">
        <x:v>19.687499999998323</x:v>
      </x:c>
      <x:c r="O84" s="12" t="str">
        <x:v>FTRL44G005</x:v>
      </x:c>
      <x:c r="P84" s="12" t="str">
        <x:v>EXVV21G040</x:v>
      </x:c>
      <x:c r="Q84" s="12" t="str"/>
      <x:c r="R84" s="12" t="str"/>
      <x:c r="S84" s="12" t="str"/>
      <x:c r="T84" s="12" t="str">
        <x:v>ABM</x:v>
      </x:c>
      <x:c r="U84" s="12" t="str"/>
      <x:c r="V84" s="12" t="str"/>
      <x:c r="W84" s="12" t="str"/>
      <x:c r="X84" s="12" t="str">
        <x:v>EXVV21</x:v>
      </x:c>
      <x:c r="Y84" s="12" t="str">
        <x:v>WAYAN &amp; YOGI</x:v>
      </x:c>
      <x:c r="Z84" s="12" t="str"/>
      <x:c r="AA84" s="32" t="n">
        <x:f>IFERROR(VLOOKUP(G84,Master_Unit!$A$2:$N$78,7,FALSE),"")</x:f>
        <x:v>20</x:v>
      </x:c>
      <x:c r="AB84" s="32" t="n">
        <x:f>IF(OR(N84="",AA84=""),"",N84-AA84)</x:f>
        <x:v>-0.3125000000016769</x:v>
      </x:c>
      <x:c r="AC84" s="20" t="n">
        <x:f>IF(OR(N84="",AA84="",AA84=0),"",AB84/AA84)</x:f>
        <x:v>-0.015625000000083843</x:v>
      </x:c>
      <x:c r="AD84" t="str">
        <x:f>IF(AA84="","NO STANDARD",IF(AC84&lt;=Config_Status!$B$2,"EFFICIENT",IF(AC84&lt;=Config_Status!$B$3,"NORMAL",IF(AC84&lt;=Config_Status!$B$4,"WARNING","OVER CONSUMPTION"))))</x:f>
        <x:v>NORMAL</x:v>
      </x:c>
      <x:c r="AE84" t="str">
        <x:f>IFERROR(VLOOKUP(G84,Master_Unit!$A$2:$N$78,13,FALSE),"UNIT NOT FOUND")</x:f>
        <x:v>Matched</x:v>
      </x:c>
    </x:row>
    <x:row r="85">
      <x:c r="A85" s="12" t="str">
        <x:v>FU-20260602-00084</x:v>
      </x:c>
      <x:c r="B85" s="12" t="n">
        <x:v>214</x:v>
      </x:c>
      <x:c r="C85" s="14" t="n">
        <x:v>46175</x:v>
      </x:c>
      <x:c r="D85" s="12" t="str">
        <x:v>Selasa</x:v>
      </x:c>
      <x:c r="E85" s="12" t="str">
        <x:v>12:19:00</x:v>
      </x:c>
      <x:c r="F85" s="12" t="str">
        <x:v>All Shift Day</x:v>
      </x:c>
      <x:c r="G85" s="12" t="str">
        <x:v>GSHT10G002</x:v>
      </x:c>
      <x:c r="H85" s="12" t="str">
        <x:v>Genset</x:v>
      </x:c>
      <x:c r="I85" s="12" t="str">
        <x:v>GENSET HARTECH HT-10</x:v>
      </x:c>
      <x:c r="J85" s="16" t="n">
        <x:v>18</x:v>
      </x:c>
      <x:c r="K85" s="16" t="n">
        <x:v>8400.13</x:v>
      </x:c>
      <x:c r="L85" s="16" t="n">
        <x:v>8414.52</x:v>
      </x:c>
      <x:c r="M85" s="16" t="n">
        <x:v>14.390000000001237</x:v>
      </x:c>
      <x:c r="N85" s="16" t="n">
        <x:v>1.2508686587907194</x:v>
      </x:c>
      <x:c r="O85" s="12" t="str">
        <x:v>FTRL44G005</x:v>
      </x:c>
      <x:c r="P85" s="12" t="str">
        <x:v>GSHT10G002</x:v>
      </x:c>
      <x:c r="Q85" s="12" t="str"/>
      <x:c r="R85" s="12" t="str"/>
      <x:c r="S85" s="12" t="str"/>
      <x:c r="T85" s="12" t="str">
        <x:v>ABM</x:v>
      </x:c>
      <x:c r="U85" s="12" t="str"/>
      <x:c r="V85" s="12" t="str"/>
      <x:c r="W85" s="12" t="str"/>
      <x:c r="X85" s="12" t="str">
        <x:v>GSHT10</x:v>
      </x:c>
      <x:c r="Y85" s="12" t="str">
        <x:v>WAYAN &amp; YOGI</x:v>
      </x:c>
      <x:c r="Z85" s="12" t="str"/>
      <x:c r="AA85" s="32" t="n">
        <x:f>IFERROR(VLOOKUP(G85,Master_Unit!$A$2:$N$78,7,FALSE),"")</x:f>
        <x:v>3</x:v>
      </x:c>
      <x:c r="AB85" s="32" t="n">
        <x:f>IF(OR(N85="",AA85=""),"",N85-AA85)</x:f>
        <x:v>-1.7491313412092806</x:v>
      </x:c>
      <x:c r="AC85" s="20" t="n">
        <x:f>IF(OR(N85="",AA85="",AA85=0),"",AB85/AA85)</x:f>
        <x:v>-0.5830437804030936</x:v>
      </x:c>
      <x:c r="AD85" t="str">
        <x:f>IF(AA85="","NO STANDARD",IF(AC85&lt;=Config_Status!$B$2,"EFFICIENT",IF(AC85&lt;=Config_Status!$B$3,"NORMAL",IF(AC85&lt;=Config_Status!$B$4,"WARNING","OVER CONSUMPTION"))))</x:f>
        <x:v>EFFICIENT</x:v>
      </x:c>
      <x:c r="AE85" t="str">
        <x:f>IFERROR(VLOOKUP(G85,Master_Unit!$A$2:$N$78,13,FALSE),"UNIT NOT FOUND")</x:f>
        <x:v>Matched</x:v>
      </x:c>
    </x:row>
    <x:row r="86">
      <x:c r="A86" s="12" t="str">
        <x:v>FU-20260602-00085</x:v>
      </x:c>
      <x:c r="B86" s="12" t="n">
        <x:v>215</x:v>
      </x:c>
      <x:c r="C86" s="14" t="n">
        <x:v>46175</x:v>
      </x:c>
      <x:c r="D86" s="12" t="str">
        <x:v>Selasa</x:v>
      </x:c>
      <x:c r="E86" s="12" t="str">
        <x:v>12:24:00</x:v>
      </x:c>
      <x:c r="F86" s="12" t="str">
        <x:v>All Shift Day</x:v>
      </x:c>
      <x:c r="G86" s="12" t="str">
        <x:v>EXVV21G032</x:v>
      </x:c>
      <x:c r="H86" s="12" t="str">
        <x:v>Excavator</x:v>
      </x:c>
      <x:c r="I86" s="12" t="str">
        <x:v>EXCAVATOR VOLVO EC210D</x:v>
      </x:c>
      <x:c r="J86" s="16" t="n">
        <x:v>158</x:v>
      </x:c>
      <x:c r="K86" s="16" t="n">
        <x:v>7401.2</x:v>
      </x:c>
      <x:c r="L86" s="16" t="n">
        <x:v>7412.2</x:v>
      </x:c>
      <x:c r="M86" s="16" t="n">
        <x:v>11</x:v>
      </x:c>
      <x:c r="N86" s="16" t="n">
        <x:v>14.363636363636363</x:v>
      </x:c>
      <x:c r="O86" s="12" t="str">
        <x:v>FTRL44G005</x:v>
      </x:c>
      <x:c r="P86" s="12" t="str">
        <x:v>EXVV21G032</x:v>
      </x:c>
      <x:c r="Q86" s="12" t="str"/>
      <x:c r="R86" s="12" t="str"/>
      <x:c r="S86" s="12" t="str"/>
      <x:c r="T86" s="12" t="str">
        <x:v>ABM</x:v>
      </x:c>
      <x:c r="U86" s="12" t="str"/>
      <x:c r="V86" s="12" t="str"/>
      <x:c r="W86" s="12" t="str"/>
      <x:c r="X86" s="12" t="str">
        <x:v>EXVV21</x:v>
      </x:c>
      <x:c r="Y86" s="12" t="str">
        <x:v>BADRI &amp; KAMRAN</x:v>
      </x:c>
      <x:c r="Z86" s="12" t="str"/>
      <x:c r="AA86" s="32" t="n">
        <x:f>IFERROR(VLOOKUP(G86,Master_Unit!$A$2:$N$78,7,FALSE),"")</x:f>
        <x:v>20</x:v>
      </x:c>
      <x:c r="AB86" s="32" t="n">
        <x:f>IF(OR(N86="",AA86=""),"",N86-AA86)</x:f>
        <x:v>-5.636363636363637</x:v>
      </x:c>
      <x:c r="AC86" s="20" t="n">
        <x:f>IF(OR(N86="",AA86="",AA86=0),"",AB86/AA86)</x:f>
        <x:v>-0.28181818181818186</x:v>
      </x:c>
      <x:c r="AD86" t="str">
        <x:f>IF(AA86="","NO STANDARD",IF(AC86&lt;=Config_Status!$B$2,"EFFICIENT",IF(AC86&lt;=Config_Status!$B$3,"NORMAL",IF(AC86&lt;=Config_Status!$B$4,"WARNING","OVER CONSUMPTION"))))</x:f>
        <x:v>EFFICIENT</x:v>
      </x:c>
      <x:c r="AE86" t="str">
        <x:f>IFERROR(VLOOKUP(G86,Master_Unit!$A$2:$N$78,13,FALSE),"UNIT NOT FOUND")</x:f>
        <x:v>Matched</x:v>
      </x:c>
    </x:row>
    <x:row r="87">
      <x:c r="A87" s="12" t="str">
        <x:v>FU-20260602-00086</x:v>
      </x:c>
      <x:c r="B87" s="12" t="n">
        <x:v>216</x:v>
      </x:c>
      <x:c r="C87" s="14" t="n">
        <x:v>46175</x:v>
      </x:c>
      <x:c r="D87" s="12" t="str">
        <x:v>Selasa</x:v>
      </x:c>
      <x:c r="E87" s="12" t="str">
        <x:v>06:34:00</x:v>
      </x:c>
      <x:c r="F87" s="12" t="str">
        <x:v>All Shift Day</x:v>
      </x:c>
      <x:c r="G87" s="12" t="str">
        <x:v>EXVV21G039</x:v>
      </x:c>
      <x:c r="H87" s="12" t="str">
        <x:v>Excavator</x:v>
      </x:c>
      <x:c r="I87" s="12" t="str">
        <x:v>EXCAVATOR VOLVO EC210D</x:v>
      </x:c>
      <x:c r="J87" s="16" t="n">
        <x:v>158</x:v>
      </x:c>
      <x:c r="K87" s="16" t="n">
        <x:v>6158.6</x:v>
      </x:c>
      <x:c r="L87" s="16" t="n">
        <x:v>6173.1</x:v>
      </x:c>
      <x:c r="M87" s="16" t="n">
        <x:v>14.5</x:v>
      </x:c>
      <x:c r="N87" s="16" t="n">
        <x:v>10.89655172413793</x:v>
      </x:c>
      <x:c r="O87" s="12" t="str">
        <x:v>FTRL44G004</x:v>
      </x:c>
      <x:c r="P87" s="12" t="str">
        <x:v>EXVV21G039</x:v>
      </x:c>
      <x:c r="Q87" s="12" t="str"/>
      <x:c r="R87" s="12" t="str"/>
      <x:c r="S87" s="12" t="str"/>
      <x:c r="T87" s="12" t="str">
        <x:v>ABM</x:v>
      </x:c>
      <x:c r="U87" s="12" t="str"/>
      <x:c r="V87" s="12" t="str"/>
      <x:c r="W87" s="12" t="str"/>
      <x:c r="X87" s="12" t="str">
        <x:v>EXVV21</x:v>
      </x:c>
      <x:c r="Y87" s="12" t="str">
        <x:v>BADRI &amp; KAMRAN</x:v>
      </x:c>
      <x:c r="Z87" s="12" t="str"/>
      <x:c r="AA87" s="32" t="n">
        <x:f>IFERROR(VLOOKUP(G87,Master_Unit!$A$2:$N$78,7,FALSE),"")</x:f>
        <x:v>20</x:v>
      </x:c>
      <x:c r="AB87" s="32" t="n">
        <x:f>IF(OR(N87="",AA87=""),"",N87-AA87)</x:f>
        <x:v>-9.10344827586207</x:v>
      </x:c>
      <x:c r="AC87" s="20" t="n">
        <x:f>IF(OR(N87="",AA87="",AA87=0),"",AB87/AA87)</x:f>
        <x:v>-0.45517241379310347</x:v>
      </x:c>
      <x:c r="AD87" t="str">
        <x:f>IF(AA87="","NO STANDARD",IF(AC87&lt;=Config_Status!$B$2,"EFFICIENT",IF(AC87&lt;=Config_Status!$B$3,"NORMAL",IF(AC87&lt;=Config_Status!$B$4,"WARNING","OVER CONSUMPTION"))))</x:f>
        <x:v>EFFICIENT</x:v>
      </x:c>
      <x:c r="AE87" t="str">
        <x:f>IFERROR(VLOOKUP(G87,Master_Unit!$A$2:$N$78,13,FALSE),"UNIT NOT FOUND")</x:f>
        <x:v>Matched</x:v>
      </x:c>
    </x:row>
    <x:row r="88">
      <x:c r="A88" s="12" t="str">
        <x:v>FU-20260602-00087</x:v>
      </x:c>
      <x:c r="B88" s="12" t="n">
        <x:v>217</x:v>
      </x:c>
      <x:c r="C88" s="14" t="n">
        <x:v>46175</x:v>
      </x:c>
      <x:c r="D88" s="12" t="str">
        <x:v>Selasa</x:v>
      </x:c>
      <x:c r="E88" s="12" t="str">
        <x:v>06:37:00</x:v>
      </x:c>
      <x:c r="F88" s="12" t="str">
        <x:v>All Shift Day</x:v>
      </x:c>
      <x:c r="G88" s="12" t="str">
        <x:v>EXVV21G035</x:v>
      </x:c>
      <x:c r="H88" s="12" t="str">
        <x:v>Excavator</x:v>
      </x:c>
      <x:c r="I88" s="12" t="str">
        <x:v>EXCAVATOR VOLVO EC210D</x:v>
      </x:c>
      <x:c r="J88" s="16" t="n">
        <x:v>158</x:v>
      </x:c>
      <x:c r="K88" s="16" t="n">
        <x:v>8266.6</x:v>
      </x:c>
      <x:c r="L88" s="16" t="n">
        <x:v>8282.4</x:v>
      </x:c>
      <x:c r="M88" s="16" t="n">
        <x:v>15.799999999999272</x:v>
      </x:c>
      <x:c r="N88" s="16" t="n">
        <x:v>10.00000000000046</x:v>
      </x:c>
      <x:c r="O88" s="12" t="str">
        <x:v>FTRL44G004</x:v>
      </x:c>
      <x:c r="P88" s="12" t="str">
        <x:v>EXVV21G035</x:v>
      </x:c>
      <x:c r="Q88" s="12" t="str"/>
      <x:c r="R88" s="12" t="str"/>
      <x:c r="S88" s="12" t="str"/>
      <x:c r="T88" s="12" t="str">
        <x:v>ABM</x:v>
      </x:c>
      <x:c r="U88" s="12" t="str"/>
      <x:c r="V88" s="12" t="str"/>
      <x:c r="W88" s="12" t="str"/>
      <x:c r="X88" s="12" t="str">
        <x:v>EXVV21</x:v>
      </x:c>
      <x:c r="Y88" s="12" t="str">
        <x:v>BADRI &amp; KAMRAN</x:v>
      </x:c>
      <x:c r="Z88" s="12" t="str"/>
      <x:c r="AA88" s="32" t="n">
        <x:f>IFERROR(VLOOKUP(G88,Master_Unit!$A$2:$N$78,7,FALSE),"")</x:f>
        <x:v>20</x:v>
      </x:c>
      <x:c r="AB88" s="32" t="n">
        <x:f>IF(OR(N88="",AA88=""),"",N88-AA88)</x:f>
        <x:v>-9.99999999999954</x:v>
      </x:c>
      <x:c r="AC88" s="20" t="n">
        <x:f>IF(OR(N88="",AA88="",AA88=0),"",AB88/AA88)</x:f>
        <x:v>-0.499999999999977</x:v>
      </x:c>
      <x:c r="AD88" t="str">
        <x:f>IF(AA88="","NO STANDARD",IF(AC88&lt;=Config_Status!$B$2,"EFFICIENT",IF(AC88&lt;=Config_Status!$B$3,"NORMAL",IF(AC88&lt;=Config_Status!$B$4,"WARNING","OVER CONSUMPTION"))))</x:f>
        <x:v>EFFICIENT</x:v>
      </x:c>
      <x:c r="AE88" t="str">
        <x:f>IFERROR(VLOOKUP(G88,Master_Unit!$A$2:$N$78,13,FALSE),"UNIT NOT FOUND")</x:f>
        <x:v>Matched</x:v>
      </x:c>
    </x:row>
    <x:row r="89">
      <x:c r="A89" s="12" t="str">
        <x:v>FU-20260602-00088</x:v>
      </x:c>
      <x:c r="B89" s="12" t="n">
        <x:v>218</x:v>
      </x:c>
      <x:c r="C89" s="14" t="n">
        <x:v>46175</x:v>
      </x:c>
      <x:c r="D89" s="12" t="str">
        <x:v>Selasa</x:v>
      </x:c>
      <x:c r="E89" s="12" t="str">
        <x:v>06:40:00</x:v>
      </x:c>
      <x:c r="F89" s="12" t="str">
        <x:v>All Shift Day</x:v>
      </x:c>
      <x:c r="G89" s="12" t="str">
        <x:v>EXVV21G042</x:v>
      </x:c>
      <x:c r="H89" s="12" t="str">
        <x:v>Excavator</x:v>
      </x:c>
      <x:c r="I89" s="12" t="str">
        <x:v>EXCAVATOR VOLVO EC210D</x:v>
      </x:c>
      <x:c r="J89" s="16" t="n">
        <x:v>158</x:v>
      </x:c>
      <x:c r="K89" s="16" t="n">
        <x:v>7593.6</x:v>
      </x:c>
      <x:c r="L89" s="16" t="n">
        <x:v>7608.3</x:v>
      </x:c>
      <x:c r="M89" s="16" t="n">
        <x:v>14.699999999999818</x:v>
      </x:c>
      <x:c r="N89" s="16" t="n">
        <x:v>10.748299319728025</x:v>
      </x:c>
      <x:c r="O89" s="12" t="str">
        <x:v>FTRL44G004</x:v>
      </x:c>
      <x:c r="P89" s="12" t="str">
        <x:v>EXVV21G042</x:v>
      </x:c>
      <x:c r="Q89" s="12" t="str"/>
      <x:c r="R89" s="12" t="str"/>
      <x:c r="S89" s="12" t="str"/>
      <x:c r="T89" s="12" t="str">
        <x:v>ABM</x:v>
      </x:c>
      <x:c r="U89" s="12" t="str"/>
      <x:c r="V89" s="12" t="str"/>
      <x:c r="W89" s="12" t="str"/>
      <x:c r="X89" s="12" t="str">
        <x:v>EXVV21</x:v>
      </x:c>
      <x:c r="Y89" s="12" t="str">
        <x:v>BADRI &amp; KAMRAN</x:v>
      </x:c>
      <x:c r="Z89" s="12" t="str"/>
      <x:c r="AA89" s="32" t="n">
        <x:f>IFERROR(VLOOKUP(G89,Master_Unit!$A$2:$N$78,7,FALSE),"")</x:f>
        <x:v>20</x:v>
      </x:c>
      <x:c r="AB89" s="32" t="n">
        <x:f>IF(OR(N89="",AA89=""),"",N89-AA89)</x:f>
        <x:v>-9.251700680271975</x:v>
      </x:c>
      <x:c r="AC89" s="20" t="n">
        <x:f>IF(OR(N89="",AA89="",AA89=0),"",AB89/AA89)</x:f>
        <x:v>-0.46258503401359874</x:v>
      </x:c>
      <x:c r="AD89" t="str">
        <x:f>IF(AA89="","NO STANDARD",IF(AC89&lt;=Config_Status!$B$2,"EFFICIENT",IF(AC89&lt;=Config_Status!$B$3,"NORMAL",IF(AC89&lt;=Config_Status!$B$4,"WARNING","OVER CONSUMPTION"))))</x:f>
        <x:v>EFFICIENT</x:v>
      </x:c>
      <x:c r="AE89" t="str">
        <x:f>IFERROR(VLOOKUP(G89,Master_Unit!$A$2:$N$78,13,FALSE),"UNIT NOT FOUND")</x:f>
        <x:v>Matched</x:v>
      </x:c>
    </x:row>
    <x:row r="90">
      <x:c r="A90" s="12" t="str">
        <x:v>FU-20260602-00089</x:v>
      </x:c>
      <x:c r="B90" s="12" t="n">
        <x:v>219</x:v>
      </x:c>
      <x:c r="C90" s="14" t="n">
        <x:v>46175</x:v>
      </x:c>
      <x:c r="D90" s="12" t="str">
        <x:v>Selasa</x:v>
      </x:c>
      <x:c r="E90" s="12" t="str">
        <x:v>06:57:00</x:v>
      </x:c>
      <x:c r="F90" s="12" t="str">
        <x:v>All Shift Day</x:v>
      </x:c>
      <x:c r="G90" s="12" t="str">
        <x:v>EXVV21G036</x:v>
      </x:c>
      <x:c r="H90" s="12" t="str">
        <x:v>Excavator</x:v>
      </x:c>
      <x:c r="I90" s="12" t="str">
        <x:v>EXCAVATOR VOLVO EC210D</x:v>
      </x:c>
      <x:c r="J90" s="16" t="n">
        <x:v>166</x:v>
      </x:c>
      <x:c r="K90" s="16" t="n">
        <x:v>7443.6</x:v>
      </x:c>
      <x:c r="L90" s="16" t="n">
        <x:v>7456.6</x:v>
      </x:c>
      <x:c r="M90" s="16" t="n">
        <x:v>13</x:v>
      </x:c>
      <x:c r="N90" s="16" t="n">
        <x:v>12.76923076923077</x:v>
      </x:c>
      <x:c r="O90" s="12" t="str">
        <x:v>FTRL44G004</x:v>
      </x:c>
      <x:c r="P90" s="12" t="str">
        <x:v>EXVV21G036</x:v>
      </x:c>
      <x:c r="Q90" s="12" t="str"/>
      <x:c r="R90" s="12" t="str"/>
      <x:c r="S90" s="12" t="str"/>
      <x:c r="T90" s="12" t="str">
        <x:v>ABM</x:v>
      </x:c>
      <x:c r="U90" s="12" t="str"/>
      <x:c r="V90" s="12" t="str"/>
      <x:c r="W90" s="12" t="str"/>
      <x:c r="X90" s="12" t="str">
        <x:v>EXVV21</x:v>
      </x:c>
      <x:c r="Y90" s="12" t="str">
        <x:v>BADRI &amp; KAMRAN</x:v>
      </x:c>
      <x:c r="Z90" s="12" t="str"/>
      <x:c r="AA90" s="32" t="n">
        <x:f>IFERROR(VLOOKUP(G90,Master_Unit!$A$2:$N$78,7,FALSE),"")</x:f>
        <x:v>20</x:v>
      </x:c>
      <x:c r="AB90" s="32" t="n">
        <x:f>IF(OR(N90="",AA90=""),"",N90-AA90)</x:f>
        <x:v>-7.23076923076923</x:v>
      </x:c>
      <x:c r="AC90" s="20" t="n">
        <x:f>IF(OR(N90="",AA90="",AA90=0),"",AB90/AA90)</x:f>
        <x:v>-0.3615384615384615</x:v>
      </x:c>
      <x:c r="AD90" t="str">
        <x:f>IF(AA90="","NO STANDARD",IF(AC90&lt;=Config_Status!$B$2,"EFFICIENT",IF(AC90&lt;=Config_Status!$B$3,"NORMAL",IF(AC90&lt;=Config_Status!$B$4,"WARNING","OVER CONSUMPTION"))))</x:f>
        <x:v>EFFICIENT</x:v>
      </x:c>
      <x:c r="AE90" t="str">
        <x:f>IFERROR(VLOOKUP(G90,Master_Unit!$A$2:$N$78,13,FALSE),"UNIT NOT FOUND")</x:f>
        <x:v>Matched</x:v>
      </x:c>
    </x:row>
    <x:row r="91">
      <x:c r="A91" s="12" t="str">
        <x:v>FU-20260602-00090</x:v>
      </x:c>
      <x:c r="B91" s="12" t="n">
        <x:v>220</x:v>
      </x:c>
      <x:c r="C91" s="14" t="n">
        <x:v>46175</x:v>
      </x:c>
      <x:c r="D91" s="12" t="str">
        <x:v>Selasa</x:v>
      </x:c>
      <x:c r="E91" s="12" t="str">
        <x:v>07:06:00</x:v>
      </x:c>
      <x:c r="F91" s="12" t="str">
        <x:v>All Shift Day</x:v>
      </x:c>
      <x:c r="G91" s="12" t="str">
        <x:v>EXVV35G006</x:v>
      </x:c>
      <x:c r="H91" s="12" t="str">
        <x:v>Excavator</x:v>
      </x:c>
      <x:c r="I91" s="12" t="str">
        <x:v>EXCAVATOR VOLVO EC350D</x:v>
      </x:c>
      <x:c r="J91" s="16" t="n">
        <x:v>213</x:v>
      </x:c>
      <x:c r="K91" s="16" t="n">
        <x:v>3063.4</x:v>
      </x:c>
      <x:c r="L91" s="16" t="n">
        <x:v>3067.7</x:v>
      </x:c>
      <x:c r="M91" s="16" t="n">
        <x:v>4.299999999999727</x:v>
      </x:c>
      <x:c r="N91" s="16" t="n">
        <x:v>49.53488372093337</x:v>
      </x:c>
      <x:c r="O91" s="12" t="str">
        <x:v>FTRL44G004</x:v>
      </x:c>
      <x:c r="P91" s="12" t="str">
        <x:v>EXVV35G006</x:v>
      </x:c>
      <x:c r="Q91" s="12" t="str"/>
      <x:c r="R91" s="12" t="str"/>
      <x:c r="S91" s="12" t="str"/>
      <x:c r="T91" s="12" t="str">
        <x:v>ABM</x:v>
      </x:c>
      <x:c r="U91" s="12" t="str"/>
      <x:c r="V91" s="12" t="str"/>
      <x:c r="W91" s="12" t="str"/>
      <x:c r="X91" s="12" t="str">
        <x:v>EXVV35</x:v>
      </x:c>
      <x:c r="Y91" s="12" t="str">
        <x:v>BADRI &amp; KAMRAN</x:v>
      </x:c>
      <x:c r="Z91" s="12" t="str"/>
      <x:c r="AA91" s="32" t="n">
        <x:f>IFERROR(VLOOKUP(G91,Master_Unit!$A$2:$N$78,7,FALSE),"")</x:f>
        <x:v>25</x:v>
      </x:c>
      <x:c r="AB91" s="32" t="n">
        <x:f>IF(OR(N91="",AA91=""),"",N91-AA91)</x:f>
        <x:v>24.534883720933372</x:v>
      </x:c>
      <x:c r="AC91" s="20" t="n">
        <x:f>IF(OR(N91="",AA91="",AA91=0),"",AB91/AA91)</x:f>
        <x:v>0.9813953488373349</x:v>
      </x:c>
      <x:c r="AD91" t="str">
        <x:f>IF(AA91="","NO STANDARD",IF(AC91&lt;=Config_Status!$B$2,"EFFICIENT",IF(AC91&lt;=Config_Status!$B$3,"NORMAL",IF(AC91&lt;=Config_Status!$B$4,"WARNING","OVER CONSUMPTION"))))</x:f>
        <x:v>OVER CONSUMPTION</x:v>
      </x:c>
      <x:c r="AE91" t="str">
        <x:f>IFERROR(VLOOKUP(G91,Master_Unit!$A$2:$N$78,13,FALSE),"UNIT NOT FOUND")</x:f>
        <x:v>Matched</x:v>
      </x:c>
    </x:row>
    <x:row r="92">
      <x:c r="A92" s="12" t="str">
        <x:v>FU-20260602-00091</x:v>
      </x:c>
      <x:c r="B92" s="12" t="n">
        <x:v>221</x:v>
      </x:c>
      <x:c r="C92" s="14" t="n">
        <x:v>46175</x:v>
      </x:c>
      <x:c r="D92" s="12" t="str">
        <x:v>Selasa</x:v>
      </x:c>
      <x:c r="E92" s="12" t="str">
        <x:v>07:18:00</x:v>
      </x:c>
      <x:c r="F92" s="12" t="str">
        <x:v>All Shift Day</x:v>
      </x:c>
      <x:c r="G92" s="12" t="str">
        <x:v>EXVV35G002</x:v>
      </x:c>
      <x:c r="H92" s="12" t="str">
        <x:v>Excavator</x:v>
      </x:c>
      <x:c r="I92" s="12" t="str">
        <x:v>EXCAVATOR VOLVO EC350D</x:v>
      </x:c>
      <x:c r="J92" s="16" t="n">
        <x:v>213</x:v>
      </x:c>
      <x:c r="K92" s="16" t="n">
        <x:v>4915</x:v>
      </x:c>
      <x:c r="L92" s="16" t="n">
        <x:v>4919.5</x:v>
      </x:c>
      <x:c r="M92" s="16" t="n">
        <x:v>4.5</x:v>
      </x:c>
      <x:c r="N92" s="16" t="n">
        <x:v>47.333333333333336</x:v>
      </x:c>
      <x:c r="O92" s="12" t="str">
        <x:v>FTRL44G004</x:v>
      </x:c>
      <x:c r="P92" s="12" t="str">
        <x:v>EXVV35G002</x:v>
      </x:c>
      <x:c r="Q92" s="12" t="str"/>
      <x:c r="R92" s="12" t="str"/>
      <x:c r="S92" s="12" t="str"/>
      <x:c r="T92" s="12" t="str">
        <x:v>ABM</x:v>
      </x:c>
      <x:c r="U92" s="12" t="str"/>
      <x:c r="V92" s="12" t="str"/>
      <x:c r="W92" s="12" t="str"/>
      <x:c r="X92" s="12" t="str">
        <x:v>EXVV35</x:v>
      </x:c>
      <x:c r="Y92" s="12" t="str">
        <x:v>BADRI &amp; KAMRAN</x:v>
      </x:c>
      <x:c r="Z92" s="12" t="str"/>
      <x:c r="AA92" s="32" t="n">
        <x:f>IFERROR(VLOOKUP(G92,Master_Unit!$A$2:$N$78,7,FALSE),"")</x:f>
        <x:v>25</x:v>
      </x:c>
      <x:c r="AB92" s="32" t="n">
        <x:f>IF(OR(N92="",AA92=""),"",N92-AA92)</x:f>
        <x:v>22.333333333333336</x:v>
      </x:c>
      <x:c r="AC92" s="20" t="n">
        <x:f>IF(OR(N92="",AA92="",AA92=0),"",AB92/AA92)</x:f>
        <x:v>0.8933333333333334</x:v>
      </x:c>
      <x:c r="AD92" t="str">
        <x:f>IF(AA92="","NO STANDARD",IF(AC92&lt;=Config_Status!$B$2,"EFFICIENT",IF(AC92&lt;=Config_Status!$B$3,"NORMAL",IF(AC92&lt;=Config_Status!$B$4,"WARNING","OVER CONSUMPTION"))))</x:f>
        <x:v>OVER CONSUMPTION</x:v>
      </x:c>
      <x:c r="AE92" t="str">
        <x:f>IFERROR(VLOOKUP(G92,Master_Unit!$A$2:$N$78,13,FALSE),"UNIT NOT FOUND")</x:f>
        <x:v>Matched</x:v>
      </x:c>
    </x:row>
    <x:row r="93">
      <x:c r="A93" s="12" t="str">
        <x:v>FU-20260602-00092</x:v>
      </x:c>
      <x:c r="B93" s="12" t="n">
        <x:v>222</x:v>
      </x:c>
      <x:c r="C93" s="14" t="n">
        <x:v>46175</x:v>
      </x:c>
      <x:c r="D93" s="12" t="str">
        <x:v>Selasa</x:v>
      </x:c>
      <x:c r="E93" s="12" t="str">
        <x:v>07:28:00</x:v>
      </x:c>
      <x:c r="F93" s="12" t="str">
        <x:v>All Shift Day</x:v>
      </x:c>
      <x:c r="G93" s="12" t="str">
        <x:v>BDKM85G040</x:v>
      </x:c>
      <x:c r="H93" s="12" t="str">
        <x:v>Dozer</x:v>
      </x:c>
      <x:c r="I93" s="12" t="str">
        <x:v>BULDOZER KOMATSU D85ESS-2</x:v>
      </x:c>
      <x:c r="J93" s="16" t="n">
        <x:v>227</x:v>
      </x:c>
      <x:c r="K93" s="16" t="n">
        <x:v>6187.2</x:v>
      </x:c>
      <x:c r="L93" s="16" t="n">
        <x:v>6194.6</x:v>
      </x:c>
      <x:c r="M93" s="16" t="n">
        <x:v>7.400000000000546</x:v>
      </x:c>
      <x:c r="N93" s="16" t="n">
        <x:v>30.675675675673414</x:v>
      </x:c>
      <x:c r="O93" s="12" t="str">
        <x:v>FTRL44G004</x:v>
      </x:c>
      <x:c r="P93" s="12" t="str">
        <x:v>BDKM85G040</x:v>
      </x:c>
      <x:c r="Q93" s="12" t="str"/>
      <x:c r="R93" s="12" t="str"/>
      <x:c r="S93" s="12" t="str"/>
      <x:c r="T93" s="12" t="str">
        <x:v>ABM</x:v>
      </x:c>
      <x:c r="U93" s="12" t="str"/>
      <x:c r="V93" s="12" t="str"/>
      <x:c r="W93" s="12" t="str"/>
      <x:c r="X93" s="12" t="str">
        <x:v>BDKM85</x:v>
      </x:c>
      <x:c r="Y93" s="12" t="str">
        <x:v>BADRI &amp; KAMRAN</x:v>
      </x:c>
      <x:c r="Z93" s="12" t="str"/>
      <x:c r="AA93" s="32" t="n">
        <x:f>IFERROR(VLOOKUP(G93,Master_Unit!$A$2:$N$78,7,FALSE),"")</x:f>
        <x:v>30</x:v>
      </x:c>
      <x:c r="AB93" s="32" t="n">
        <x:f>IF(OR(N93="",AA93=""),"",N93-AA93)</x:f>
        <x:v>0.6756756756734141</x:v>
      </x:c>
      <x:c r="AC93" s="20" t="n">
        <x:f>IF(OR(N93="",AA93="",AA93=0),"",AB93/AA93)</x:f>
        <x:v>0.022522522522447137</x:v>
      </x:c>
      <x:c r="AD93" t="str">
        <x:f>IF(AA93="","NO STANDARD",IF(AC93&lt;=Config_Status!$B$2,"EFFICIENT",IF(AC93&lt;=Config_Status!$B$3,"NORMAL",IF(AC93&lt;=Config_Status!$B$4,"WARNING","OVER CONSUMPTION"))))</x:f>
        <x:v>NORMAL</x:v>
      </x:c>
      <x:c r="AE93" t="str">
        <x:f>IFERROR(VLOOKUP(G93,Master_Unit!$A$2:$N$78,13,FALSE),"UNIT NOT FOUND")</x:f>
        <x:v>Matched</x:v>
      </x:c>
    </x:row>
    <x:row r="94">
      <x:c r="A94" s="12" t="str">
        <x:v>FU-20260602-00093</x:v>
      </x:c>
      <x:c r="B94" s="12" t="n">
        <x:v>223</x:v>
      </x:c>
      <x:c r="C94" s="14" t="n">
        <x:v>46175</x:v>
      </x:c>
      <x:c r="D94" s="12" t="str">
        <x:v>Selasa</x:v>
      </x:c>
      <x:c r="E94" s="12" t="str">
        <x:v>07:32:00</x:v>
      </x:c>
      <x:c r="F94" s="12" t="str">
        <x:v>All Shift Day</x:v>
      </x:c>
      <x:c r="G94" s="12" t="str">
        <x:v>MHHN13G006</x:v>
      </x:c>
      <x:c r="H94" s="12" t="str">
        <x:v>Other</x:v>
      </x:c>
      <x:c r="I94" s="12" t="str">
        <x:v>MAIN HAUL HINO 136-HDL</x:v>
      </x:c>
      <x:c r="J94" s="16" t="n">
        <x:v>32</x:v>
      </x:c>
      <x:c r="K94" s="16" t="n">
        <x:v>10236</x:v>
      </x:c>
      <x:c r="L94" s="16" t="n">
        <x:v>10385</x:v>
      </x:c>
      <x:c r="M94" s="16" t="n">
        <x:v>149</x:v>
      </x:c>
      <x:c r="N94" s="16" t="n">
        <x:v>0.21476510067114093</x:v>
      </x:c>
      <x:c r="O94" s="12" t="str">
        <x:v>FTRL44G004</x:v>
      </x:c>
      <x:c r="P94" s="12" t="str">
        <x:v>MHHN13G006</x:v>
      </x:c>
      <x:c r="Q94" s="12" t="str"/>
      <x:c r="R94" s="12" t="str"/>
      <x:c r="S94" s="12" t="str"/>
      <x:c r="T94" s="12" t="str">
        <x:v>ABM</x:v>
      </x:c>
      <x:c r="U94" s="12" t="str"/>
      <x:c r="V94" s="12" t="str"/>
      <x:c r="W94" s="12" t="str"/>
      <x:c r="X94" s="12" t="str">
        <x:v>MHHN13</x:v>
      </x:c>
      <x:c r="Y94" s="12" t="str">
        <x:v>BADRI &amp; KAMRAN</x:v>
      </x:c>
      <x:c r="Z94" s="12" t="str"/>
      <x:c r="AA94" s="32" t="n">
        <x:f>IFERROR(VLOOKUP(G94,Master_Unit!$A$2:$N$78,7,FALSE),"")</x:f>
        <x:v>0.5</x:v>
      </x:c>
      <x:c r="AB94" s="32" t="n">
        <x:f>IF(OR(N94="",AA94=""),"",N94-AA94)</x:f>
        <x:v>-0.28523489932885904</x:v>
      </x:c>
      <x:c r="AC94" s="20" t="n">
        <x:f>IF(OR(N94="",AA94="",AA94=0),"",AB94/AA94)</x:f>
        <x:v>-0.5704697986577181</x:v>
      </x:c>
      <x:c r="AD94" t="str">
        <x:f>IF(AA94="","NO STANDARD",IF(AC94&lt;=Config_Status!$B$2,"EFFICIENT",IF(AC94&lt;=Config_Status!$B$3,"NORMAL",IF(AC94&lt;=Config_Status!$B$4,"WARNING","OVER CONSUMPTION"))))</x:f>
        <x:v>EFFICIENT</x:v>
      </x:c>
      <x:c r="AE94" t="str">
        <x:f>IFERROR(VLOOKUP(G94,Master_Unit!$A$2:$N$78,13,FALSE),"UNIT NOT FOUND")</x:f>
        <x:v>Matched</x:v>
      </x:c>
    </x:row>
    <x:row r="95">
      <x:c r="A95" s="12" t="str">
        <x:v>FU-20260602-00094</x:v>
      </x:c>
      <x:c r="B95" s="12" t="n">
        <x:v>224</x:v>
      </x:c>
      <x:c r="C95" s="14" t="n">
        <x:v>46175</x:v>
      </x:c>
      <x:c r="D95" s="12" t="str">
        <x:v>Selasa</x:v>
      </x:c>
      <x:c r="E95" s="12" t="str">
        <x:v>07:35:00</x:v>
      </x:c>
      <x:c r="F95" s="12" t="str">
        <x:v>All Shift Day</x:v>
      </x:c>
      <x:c r="G95" s="12" t="str">
        <x:v>MGSD20G007</x:v>
      </x:c>
      <x:c r="H95" s="12" t="str">
        <x:v>Other</x:v>
      </x:c>
      <x:c r="I95" s="12" t="str">
        <x:v>MOTOR GRADER SDLG GD9220F</x:v>
      </x:c>
      <x:c r="J95" s="16" t="n">
        <x:v>78</x:v>
      </x:c>
      <x:c r="K95" s="16" t="n">
        <x:v>3677.4</x:v>
      </x:c>
      <x:c r="L95" s="16" t="n">
        <x:v>3683.4</x:v>
      </x:c>
      <x:c r="M95" s="16" t="n">
        <x:v>6</x:v>
      </x:c>
      <x:c r="N95" s="16" t="n">
        <x:v>13</x:v>
      </x:c>
      <x:c r="O95" s="12" t="str">
        <x:v>FTRL44G004</x:v>
      </x:c>
      <x:c r="P95" s="12" t="str">
        <x:v>MGSD20G007</x:v>
      </x:c>
      <x:c r="Q95" s="12" t="str"/>
      <x:c r="R95" s="12" t="str"/>
      <x:c r="S95" s="12" t="str"/>
      <x:c r="T95" s="12" t="str">
        <x:v>ABM</x:v>
      </x:c>
      <x:c r="U95" s="12" t="str"/>
      <x:c r="V95" s="12" t="str"/>
      <x:c r="W95" s="12" t="str"/>
      <x:c r="X95" s="12" t="str">
        <x:v>MGSD20</x:v>
      </x:c>
      <x:c r="Y95" s="12" t="str">
        <x:v>BADRI &amp; KAMRAN</x:v>
      </x:c>
      <x:c r="Z95" s="12" t="str"/>
      <x:c r="AA95" s="32" t="n">
        <x:f>IFERROR(VLOOKUP(G95,Master_Unit!$A$2:$N$78,7,FALSE),"")</x:f>
        <x:v>20</x:v>
      </x:c>
      <x:c r="AB95" s="32" t="n">
        <x:f>IF(OR(N95="",AA95=""),"",N95-AA95)</x:f>
        <x:v>-7</x:v>
      </x:c>
      <x:c r="AC95" s="20" t="n">
        <x:f>IF(OR(N95="",AA95="",AA95=0),"",AB95/AA95)</x:f>
        <x:v>-0.35</x:v>
      </x:c>
      <x:c r="AD95" t="str">
        <x:f>IF(AA95="","NO STANDARD",IF(AC95&lt;=Config_Status!$B$2,"EFFICIENT",IF(AC95&lt;=Config_Status!$B$3,"NORMAL",IF(AC95&lt;=Config_Status!$B$4,"WARNING","OVER CONSUMPTION"))))</x:f>
        <x:v>EFFICIENT</x:v>
      </x:c>
      <x:c r="AE95" t="str">
        <x:f>IFERROR(VLOOKUP(G95,Master_Unit!$A$2:$N$78,13,FALSE),"UNIT NOT FOUND")</x:f>
        <x:v>Matched</x:v>
      </x:c>
    </x:row>
    <x:row r="96">
      <x:c r="A96" s="12" t="str">
        <x:v>FU-20260602-00095</x:v>
      </x:c>
      <x:c r="B96" s="12" t="n">
        <x:v>225</x:v>
      </x:c>
      <x:c r="C96" s="14" t="n">
        <x:v>46175</x:v>
      </x:c>
      <x:c r="D96" s="12" t="str">
        <x:v>Selasa</x:v>
      </x:c>
      <x:c r="E96" s="12" t="str">
        <x:v>07:37:00</x:v>
      </x:c>
      <x:c r="F96" s="12" t="str">
        <x:v>All Shift Day</x:v>
      </x:c>
      <x:c r="G96" s="12" t="str">
        <x:v>STRL44G141</x:v>
      </x:c>
      <x:c r="H96" s="12" t="str">
        <x:v>Dump Truck</x:v>
      </x:c>
      <x:c r="I96" s="12" t="str">
        <x:v>DUMP TRUCK RENAULT KRANGE440-P6X4 A/T</x:v>
      </x:c>
      <x:c r="J96" s="16" t="n">
        <x:v>111</x:v>
      </x:c>
      <x:c r="K96" s="16" t="n">
        <x:v>3091</x:v>
      </x:c>
      <x:c r="L96" s="16" t="n">
        <x:v>3100</x:v>
      </x:c>
      <x:c r="M96" s="16" t="n">
        <x:v>9</x:v>
      </x:c>
      <x:c r="N96" s="16" t="n">
        <x:v>12.333333333333334</x:v>
      </x:c>
      <x:c r="O96" s="12" t="str">
        <x:v>FTRL44G004</x:v>
      </x:c>
      <x:c r="P96" s="12" t="str">
        <x:v>STRL44G141</x:v>
      </x:c>
      <x:c r="Q96" s="12" t="str"/>
      <x:c r="R96" s="12" t="str"/>
      <x:c r="S96" s="12" t="str"/>
      <x:c r="T96" s="12" t="str">
        <x:v>ABM</x:v>
      </x:c>
      <x:c r="U96" s="12" t="str"/>
      <x:c r="V96" s="12" t="str"/>
      <x:c r="W96" s="12" t="str"/>
      <x:c r="X96" s="12" t="str">
        <x:v>STRL44</x:v>
      </x:c>
      <x:c r="Y96" s="12" t="str">
        <x:v>BADRI &amp; KAMRAN</x:v>
      </x:c>
      <x:c r="Z96" s="12" t="str"/>
      <x:c r="AA96" s="32" t="n">
        <x:f>IFERROR(VLOOKUP(G96,Master_Unit!$A$2:$N$78,7,FALSE),"")</x:f>
        <x:v>20</x:v>
      </x:c>
      <x:c r="AB96" s="32" t="n">
        <x:f>IF(OR(N96="",AA96=""),"",N96-AA96)</x:f>
        <x:v>-7.666666666666666</x:v>
      </x:c>
      <x:c r="AC96" s="20" t="n">
        <x:f>IF(OR(N96="",AA96="",AA96=0),"",AB96/AA96)</x:f>
        <x:v>-0.3833333333333333</x:v>
      </x:c>
      <x:c r="AD96" t="str">
        <x:f>IF(AA96="","NO STANDARD",IF(AC96&lt;=Config_Status!$B$2,"EFFICIENT",IF(AC96&lt;=Config_Status!$B$3,"NORMAL",IF(AC96&lt;=Config_Status!$B$4,"WARNING","OVER CONSUMPTION"))))</x:f>
        <x:v>EFFICIENT</x:v>
      </x:c>
      <x:c r="AE96" t="str">
        <x:f>IFERROR(VLOOKUP(G96,Master_Unit!$A$2:$N$78,13,FALSE),"UNIT NOT FOUND")</x:f>
        <x:v>Matched</x:v>
      </x:c>
    </x:row>
    <x:row r="97">
      <x:c r="A97" s="12" t="str">
        <x:v>FU-20260602-00096</x:v>
      </x:c>
      <x:c r="B97" s="12" t="n">
        <x:v>226</x:v>
      </x:c>
      <x:c r="C97" s="14" t="n">
        <x:v>46175</x:v>
      </x:c>
      <x:c r="D97" s="12" t="str">
        <x:v>Selasa</x:v>
      </x:c>
      <x:c r="E97" s="12" t="str">
        <x:v>07:40:00</x:v>
      </x:c>
      <x:c r="F97" s="12" t="str">
        <x:v>All Shift Day</x:v>
      </x:c>
      <x:c r="G97" s="12" t="str">
        <x:v>LVTH24R024</x:v>
      </x:c>
      <x:c r="H97" s="12" t="str">
        <x:v>Light Vehicle</x:v>
      </x:c>
      <x:c r="I97" s="12" t="str">
        <x:v>LIGHT VEHICLE TOYOTA HILUX</x:v>
      </x:c>
      <x:c r="J97" s="16" t="n">
        <x:v>20</x:v>
      </x:c>
      <x:c r="K97" s="16" t="n">
        <x:v>45657</x:v>
      </x:c>
      <x:c r="L97" s="16" t="n">
        <x:v>45736</x:v>
      </x:c>
      <x:c r="M97" s="16" t="n">
        <x:v>79</x:v>
      </x:c>
      <x:c r="N97" s="16" t="n">
        <x:v>0.25316455696202533</x:v>
      </x:c>
      <x:c r="O97" s="12" t="str">
        <x:v>FTRL44G004</x:v>
      </x:c>
      <x:c r="P97" s="12" t="str">
        <x:v>LVTH24R024</x:v>
      </x:c>
      <x:c r="Q97" s="12" t="str"/>
      <x:c r="R97" s="12" t="str"/>
      <x:c r="S97" s="12" t="str"/>
      <x:c r="T97" s="12" t="str">
        <x:v>ABM</x:v>
      </x:c>
      <x:c r="U97" s="12" t="str"/>
      <x:c r="V97" s="12" t="str"/>
      <x:c r="W97" s="12" t="str"/>
      <x:c r="X97" s="12" t="str">
        <x:v>LVTH24</x:v>
      </x:c>
      <x:c r="Y97" s="12" t="str">
        <x:v>BADRI &amp; KAMRAN</x:v>
      </x:c>
      <x:c r="Z97" s="12" t="str"/>
      <x:c r="AA97" s="32" t="n">
        <x:f>IFERROR(VLOOKUP(G97,Master_Unit!$A$2:$N$78,7,FALSE),"")</x:f>
        <x:v>0.2</x:v>
      </x:c>
      <x:c r="AB97" s="32" t="n">
        <x:f>IF(OR(N97="",AA97=""),"",N97-AA97)</x:f>
        <x:v>0.05316455696202532</x:v>
      </x:c>
      <x:c r="AC97" s="20" t="n">
        <x:f>IF(OR(N97="",AA97="",AA97=0),"",AB97/AA97)</x:f>
        <x:v>0.2658227848101266</x:v>
      </x:c>
      <x:c r="AD97" t="str">
        <x:f>IF(AA97="","NO STANDARD",IF(AC97&lt;=Config_Status!$B$2,"EFFICIENT",IF(AC97&lt;=Config_Status!$B$3,"NORMAL",IF(AC97&lt;=Config_Status!$B$4,"WARNING","OVER CONSUMPTION"))))</x:f>
        <x:v>OVER CONSUMPTION</x:v>
      </x:c>
      <x:c r="AE97" t="str">
        <x:f>IFERROR(VLOOKUP(G97,Master_Unit!$A$2:$N$78,13,FALSE),"UNIT NOT FOUND")</x:f>
        <x:v>Matched</x:v>
      </x:c>
    </x:row>
    <x:row r="98">
      <x:c r="A98" s="12" t="str">
        <x:v>FU-20260602-00097</x:v>
      </x:c>
      <x:c r="B98" s="12" t="n">
        <x:v>227</x:v>
      </x:c>
      <x:c r="C98" s="14" t="n">
        <x:v>46175</x:v>
      </x:c>
      <x:c r="D98" s="12" t="str">
        <x:v>Selasa</x:v>
      </x:c>
      <x:c r="E98" s="12" t="str">
        <x:v>07:41:00</x:v>
      </x:c>
      <x:c r="F98" s="12" t="str">
        <x:v>All Shift Day</x:v>
      </x:c>
      <x:c r="G98" s="12" t="str">
        <x:v>STRL44G136</x:v>
      </x:c>
      <x:c r="H98" s="12" t="str">
        <x:v>Dump Truck</x:v>
      </x:c>
      <x:c r="I98" s="12" t="str">
        <x:v>DUMP TRUCK RENAULT KRANGE440-P6X4 A/T</x:v>
      </x:c>
      <x:c r="J98" s="16" t="n">
        <x:v>123</x:v>
      </x:c>
      <x:c r="K98" s="16" t="n">
        <x:v>5752</x:v>
      </x:c>
      <x:c r="L98" s="16" t="n">
        <x:v>5762</x:v>
      </x:c>
      <x:c r="M98" s="16" t="n">
        <x:v>10</x:v>
      </x:c>
      <x:c r="N98" s="16" t="n">
        <x:v>12.3</x:v>
      </x:c>
      <x:c r="O98" s="12" t="str">
        <x:v>FTRL44G004</x:v>
      </x:c>
      <x:c r="P98" s="12" t="str">
        <x:v>STRL44G136</x:v>
      </x:c>
      <x:c r="Q98" s="12" t="str"/>
      <x:c r="R98" s="12" t="str"/>
      <x:c r="S98" s="12" t="str"/>
      <x:c r="T98" s="12" t="str">
        <x:v>ABM</x:v>
      </x:c>
      <x:c r="U98" s="12" t="str"/>
      <x:c r="V98" s="12" t="str"/>
      <x:c r="W98" s="12" t="str"/>
      <x:c r="X98" s="12" t="str">
        <x:v>STRL44</x:v>
      </x:c>
      <x:c r="Y98" s="12" t="str">
        <x:v>BADRI &amp; KAMRAN</x:v>
      </x:c>
      <x:c r="Z98" s="12" t="str"/>
      <x:c r="AA98" s="32" t="n">
        <x:f>IFERROR(VLOOKUP(G98,Master_Unit!$A$2:$N$78,7,FALSE),"")</x:f>
        <x:v>20</x:v>
      </x:c>
      <x:c r="AB98" s="32" t="n">
        <x:f>IF(OR(N98="",AA98=""),"",N98-AA98)</x:f>
        <x:v>-7.699999999999999</x:v>
      </x:c>
      <x:c r="AC98" s="20" t="n">
        <x:f>IF(OR(N98="",AA98="",AA98=0),"",AB98/AA98)</x:f>
        <x:v>-0.38499999999999995</x:v>
      </x:c>
      <x:c r="AD98" t="str">
        <x:f>IF(AA98="","NO STANDARD",IF(AC98&lt;=Config_Status!$B$2,"EFFICIENT",IF(AC98&lt;=Config_Status!$B$3,"NORMAL",IF(AC98&lt;=Config_Status!$B$4,"WARNING","OVER CONSUMPTION"))))</x:f>
        <x:v>EFFICIENT</x:v>
      </x:c>
      <x:c r="AE98" t="str">
        <x:f>IFERROR(VLOOKUP(G98,Master_Unit!$A$2:$N$78,13,FALSE),"UNIT NOT FOUND")</x:f>
        <x:v>Matched</x:v>
      </x:c>
    </x:row>
    <x:row r="99">
      <x:c r="A99" s="12" t="str">
        <x:v>FU-20260602-00098</x:v>
      </x:c>
      <x:c r="B99" s="12" t="n">
        <x:v>228</x:v>
      </x:c>
      <x:c r="C99" s="14" t="n">
        <x:v>46175</x:v>
      </x:c>
      <x:c r="D99" s="12" t="str">
        <x:v>Selasa</x:v>
      </x:c>
      <x:c r="E99" s="12" t="str">
        <x:v>07:46:00</x:v>
      </x:c>
      <x:c r="F99" s="12" t="str">
        <x:v>All Shift Day</x:v>
      </x:c>
      <x:c r="G99" s="12" t="str">
        <x:v>LTRL44G002</x:v>
      </x:c>
      <x:c r="H99" s="12" t="str">
        <x:v>Lube Truck</x:v>
      </x:c>
      <x:c r="I99" s="12" t="str">
        <x:v>LUBE TRUCK RENAULT KRANGE440-P6X4 A/T</x:v>
      </x:c>
      <x:c r="J99" s="16" t="n">
        <x:v>70</x:v>
      </x:c>
      <x:c r="K99" s="16" t="n">
        <x:v>2042</x:v>
      </x:c>
      <x:c r="L99" s="16" t="n">
        <x:v>2047</x:v>
      </x:c>
      <x:c r="M99" s="16" t="n">
        <x:v>5</x:v>
      </x:c>
      <x:c r="N99" s="16" t="n">
        <x:v>14</x:v>
      </x:c>
      <x:c r="O99" s="12" t="str">
        <x:v>FTRL44G004</x:v>
      </x:c>
      <x:c r="P99" s="12" t="str">
        <x:v>LTRL44G002</x:v>
      </x:c>
      <x:c r="Q99" s="12" t="str"/>
      <x:c r="R99" s="12" t="str"/>
      <x:c r="S99" s="12" t="str"/>
      <x:c r="T99" s="12" t="str">
        <x:v>ABM</x:v>
      </x:c>
      <x:c r="U99" s="12" t="str"/>
      <x:c r="V99" s="12" t="str"/>
      <x:c r="W99" s="12" t="str"/>
      <x:c r="X99" s="12" t="str">
        <x:v>LTRL44</x:v>
      </x:c>
      <x:c r="Y99" s="12" t="str">
        <x:v>BADRI &amp; KAMRAN</x:v>
      </x:c>
      <x:c r="Z99" s="12" t="str"/>
      <x:c r="AA99" s="32" t="n">
        <x:f>IFERROR(VLOOKUP(G99,Master_Unit!$A$2:$N$78,7,FALSE),"")</x:f>
        <x:v>20</x:v>
      </x:c>
      <x:c r="AB99" s="32" t="n">
        <x:f>IF(OR(N99="",AA99=""),"",N99-AA99)</x:f>
        <x:v>-6</x:v>
      </x:c>
      <x:c r="AC99" s="20" t="n">
        <x:f>IF(OR(N99="",AA99="",AA99=0),"",AB99/AA99)</x:f>
        <x:v>-0.3</x:v>
      </x:c>
      <x:c r="AD99" t="str">
        <x:f>IF(AA99="","NO STANDARD",IF(AC99&lt;=Config_Status!$B$2,"EFFICIENT",IF(AC99&lt;=Config_Status!$B$3,"NORMAL",IF(AC99&lt;=Config_Status!$B$4,"WARNING","OVER CONSUMPTION"))))</x:f>
        <x:v>EFFICIENT</x:v>
      </x:c>
      <x:c r="AE99" t="str">
        <x:f>IFERROR(VLOOKUP(G99,Master_Unit!$A$2:$N$78,13,FALSE),"UNIT NOT FOUND")</x:f>
        <x:v>Matched</x:v>
      </x:c>
    </x:row>
    <x:row r="100">
      <x:c r="A100" s="12" t="str">
        <x:v>FU-20260602-00099</x:v>
      </x:c>
      <x:c r="B100" s="12" t="n">
        <x:v>229</x:v>
      </x:c>
      <x:c r="C100" s="14" t="n">
        <x:v>46175</x:v>
      </x:c>
      <x:c r="D100" s="12" t="str">
        <x:v>Selasa</x:v>
      </x:c>
      <x:c r="E100" s="12" t="str">
        <x:v>07:49:00</x:v>
      </x:c>
      <x:c r="F100" s="12" t="str">
        <x:v>All Shift Day</x:v>
      </x:c>
      <x:c r="G100" s="12" t="str">
        <x:v>STRL44G137</x:v>
      </x:c>
      <x:c r="H100" s="12" t="str">
        <x:v>Dump Truck</x:v>
      </x:c>
      <x:c r="I100" s="12" t="str">
        <x:v>DUMP TRUCK RENAULT KRANGE440-P6X4 A/T</x:v>
      </x:c>
      <x:c r="J100" s="16" t="n">
        <x:v>100</x:v>
      </x:c>
      <x:c r="K100" s="16" t="n">
        <x:v>6331</x:v>
      </x:c>
      <x:c r="L100" s="16" t="n">
        <x:v>6341</x:v>
      </x:c>
      <x:c r="M100" s="16" t="n">
        <x:v>10</x:v>
      </x:c>
      <x:c r="N100" s="16" t="n">
        <x:v>10</x:v>
      </x:c>
      <x:c r="O100" s="12" t="str">
        <x:v>FTRL44G004</x:v>
      </x:c>
      <x:c r="P100" s="12" t="str">
        <x:v>STRL44G137</x:v>
      </x:c>
      <x:c r="Q100" s="12" t="str"/>
      <x:c r="R100" s="12" t="str"/>
      <x:c r="S100" s="12" t="str"/>
      <x:c r="T100" s="12" t="str">
        <x:v>ABM</x:v>
      </x:c>
      <x:c r="U100" s="12" t="str"/>
      <x:c r="V100" s="12" t="str"/>
      <x:c r="W100" s="12" t="str"/>
      <x:c r="X100" s="12" t="str">
        <x:v>STRL44</x:v>
      </x:c>
      <x:c r="Y100" s="12" t="str">
        <x:v>BADRI &amp; KAMRAN</x:v>
      </x:c>
      <x:c r="Z100" s="12" t="str"/>
      <x:c r="AA100" s="32" t="n">
        <x:f>IFERROR(VLOOKUP(G100,Master_Unit!$A$2:$N$78,7,FALSE),"")</x:f>
        <x:v>20</x:v>
      </x:c>
      <x:c r="AB100" s="32" t="n">
        <x:f>IF(OR(N100="",AA100=""),"",N100-AA100)</x:f>
        <x:v>-10</x:v>
      </x:c>
      <x:c r="AC100" s="20" t="n">
        <x:f>IF(OR(N100="",AA100="",AA100=0),"",AB100/AA100)</x:f>
        <x:v>-0.5</x:v>
      </x:c>
      <x:c r="AD100" t="str">
        <x:f>IF(AA100="","NO STANDARD",IF(AC100&lt;=Config_Status!$B$2,"EFFICIENT",IF(AC100&lt;=Config_Status!$B$3,"NORMAL",IF(AC100&lt;=Config_Status!$B$4,"WARNING","OVER CONSUMPTION"))))</x:f>
        <x:v>EFFICIENT</x:v>
      </x:c>
      <x:c r="AE100" t="str">
        <x:f>IFERROR(VLOOKUP(G100,Master_Unit!$A$2:$N$78,13,FALSE),"UNIT NOT FOUND")</x:f>
        <x:v>Matched</x:v>
      </x:c>
    </x:row>
    <x:row r="101">
      <x:c r="A101" s="12" t="str">
        <x:v>FU-20260602-00100</x:v>
      </x:c>
      <x:c r="B101" s="12" t="n">
        <x:v>230</x:v>
      </x:c>
      <x:c r="C101" s="14" t="n">
        <x:v>46175</x:v>
      </x:c>
      <x:c r="D101" s="12" t="str">
        <x:v>Selasa</x:v>
      </x:c>
      <x:c r="E101" s="12" t="str">
        <x:v>07:53:00</x:v>
      </x:c>
      <x:c r="F101" s="12" t="str">
        <x:v>All Shift Day</x:v>
      </x:c>
      <x:c r="G101" s="12" t="str">
        <x:v>MHHN13G004</x:v>
      </x:c>
      <x:c r="H101" s="12" t="str">
        <x:v>Other</x:v>
      </x:c>
      <x:c r="I101" s="12" t="str">
        <x:v>MAIN HAUL HINO 136-HDL</x:v>
      </x:c>
      <x:c r="J101" s="16" t="n">
        <x:v>32</x:v>
      </x:c>
      <x:c r="K101" s="16" t="n">
        <x:v>13606</x:v>
      </x:c>
      <x:c r="L101" s="16" t="n">
        <x:v>13626</x:v>
      </x:c>
      <x:c r="M101" s="16" t="n">
        <x:v>20</x:v>
      </x:c>
      <x:c r="N101" s="16" t="n">
        <x:v>1.6</x:v>
      </x:c>
      <x:c r="O101" s="12" t="str">
        <x:v>FTRL44G004</x:v>
      </x:c>
      <x:c r="P101" s="12" t="str">
        <x:v>MHHN13G004</x:v>
      </x:c>
      <x:c r="Q101" s="12" t="str"/>
      <x:c r="R101" s="12" t="str"/>
      <x:c r="S101" s="12" t="str"/>
      <x:c r="T101" s="12" t="str">
        <x:v>ABM</x:v>
      </x:c>
      <x:c r="U101" s="12" t="str"/>
      <x:c r="V101" s="12" t="str"/>
      <x:c r="W101" s="12" t="str"/>
      <x:c r="X101" s="12" t="str">
        <x:v>MHHN13</x:v>
      </x:c>
      <x:c r="Y101" s="12" t="str">
        <x:v>BADRI &amp; KAMRAN</x:v>
      </x:c>
      <x:c r="Z101" s="12" t="str"/>
      <x:c r="AA101" s="32" t="n">
        <x:f>IFERROR(VLOOKUP(G101,Master_Unit!$A$2:$N$78,7,FALSE),"")</x:f>
        <x:v>0.5</x:v>
      </x:c>
      <x:c r="AB101" s="32" t="n">
        <x:f>IF(OR(N101="",AA101=""),"",N101-AA101)</x:f>
        <x:v>1.1</x:v>
      </x:c>
      <x:c r="AC101" s="20" t="n">
        <x:f>IF(OR(N101="",AA101="",AA101=0),"",AB101/AA101)</x:f>
        <x:v>2.2</x:v>
      </x:c>
      <x:c r="AD101" t="str">
        <x:f>IF(AA101="","NO STANDARD",IF(AC101&lt;=Config_Status!$B$2,"EFFICIENT",IF(AC101&lt;=Config_Status!$B$3,"NORMAL",IF(AC101&lt;=Config_Status!$B$4,"WARNING","OVER CONSUMPTION"))))</x:f>
        <x:v>OVER CONSUMPTION</x:v>
      </x:c>
      <x:c r="AE101" t="str">
        <x:f>IFERROR(VLOOKUP(G101,Master_Unit!$A$2:$N$78,13,FALSE),"UNIT NOT FOUND")</x:f>
        <x:v>Matched</x:v>
      </x:c>
    </x:row>
    <x:row r="102">
      <x:c r="A102" s="12" t="str">
        <x:v>FU-20260602-00101</x:v>
      </x:c>
      <x:c r="B102" s="12" t="n">
        <x:v>231</x:v>
      </x:c>
      <x:c r="C102" s="14" t="n">
        <x:v>46175</x:v>
      </x:c>
      <x:c r="D102" s="12" t="str">
        <x:v>Selasa</x:v>
      </x:c>
      <x:c r="E102" s="12" t="str">
        <x:v>08:00:00</x:v>
      </x:c>
      <x:c r="F102" s="12" t="str">
        <x:v>All Shift Day</x:v>
      </x:c>
      <x:c r="G102" s="12" t="str">
        <x:v>LVTH24R026</x:v>
      </x:c>
      <x:c r="H102" s="12" t="str">
        <x:v>Light Vehicle</x:v>
      </x:c>
      <x:c r="I102" s="12" t="str">
        <x:v>LIGHT VEHICLE TOYOTA HILUX</x:v>
      </x:c>
      <x:c r="J102" s="16" t="n">
        <x:v>20</x:v>
      </x:c>
      <x:c r="K102" s="16" t="n">
        <x:v>58403</x:v>
      </x:c>
      <x:c r="L102" s="16" t="n">
        <x:v>58503</x:v>
      </x:c>
      <x:c r="M102" s="16" t="n">
        <x:v>100</x:v>
      </x:c>
      <x:c r="N102" s="16" t="n">
        <x:v>0.2</x:v>
      </x:c>
      <x:c r="O102" s="12" t="str">
        <x:v>FTRL44G004</x:v>
      </x:c>
      <x:c r="P102" s="12" t="str">
        <x:v>LVTH24R026</x:v>
      </x:c>
      <x:c r="Q102" s="12" t="str"/>
      <x:c r="R102" s="12" t="str"/>
      <x:c r="S102" s="12" t="str"/>
      <x:c r="T102" s="12" t="str">
        <x:v>ABM</x:v>
      </x:c>
      <x:c r="U102" s="12" t="str"/>
      <x:c r="V102" s="12" t="str"/>
      <x:c r="W102" s="12" t="str"/>
      <x:c r="X102" s="12" t="str">
        <x:v>LVTH24</x:v>
      </x:c>
      <x:c r="Y102" s="12" t="str">
        <x:v>BADRI &amp; KAMRAN</x:v>
      </x:c>
      <x:c r="Z102" s="12" t="str"/>
      <x:c r="AA102" s="32" t="n">
        <x:f>IFERROR(VLOOKUP(G102,Master_Unit!$A$2:$N$78,7,FALSE),"")</x:f>
        <x:v>0.2</x:v>
      </x:c>
      <x:c r="AB102" s="32" t="n">
        <x:f>IF(OR(N102="",AA102=""),"",N102-AA102)</x:f>
        <x:v>0</x:v>
      </x:c>
      <x:c r="AC102" s="20" t="n">
        <x:f>IF(OR(N102="",AA102="",AA102=0),"",AB102/AA102)</x:f>
        <x:v>0</x:v>
      </x:c>
      <x:c r="AD102" t="str">
        <x:f>IF(AA102="","NO STANDARD",IF(AC102&lt;=Config_Status!$B$2,"EFFICIENT",IF(AC102&lt;=Config_Status!$B$3,"NORMAL",IF(AC102&lt;=Config_Status!$B$4,"WARNING","OVER CONSUMPTION"))))</x:f>
        <x:v>NORMAL</x:v>
      </x:c>
      <x:c r="AE102" t="str">
        <x:f>IFERROR(VLOOKUP(G102,Master_Unit!$A$2:$N$78,13,FALSE),"UNIT NOT FOUND")</x:f>
        <x:v>Matched</x:v>
      </x:c>
    </x:row>
    <x:row r="103">
      <x:c r="A103" s="12" t="str">
        <x:v>FU-20260602-00102</x:v>
      </x:c>
      <x:c r="B103" s="12" t="n">
        <x:v>232</x:v>
      </x:c>
      <x:c r="C103" s="14" t="n">
        <x:v>46175</x:v>
      </x:c>
      <x:c r="D103" s="12" t="str">
        <x:v>Selasa</x:v>
      </x:c>
      <x:c r="E103" s="12" t="str">
        <x:v>08:04:00</x:v>
      </x:c>
      <x:c r="F103" s="12" t="str">
        <x:v>All Shift Day</x:v>
      </x:c>
      <x:c r="G103" s="12" t="str">
        <x:v>FTRL44G004</x:v>
      </x:c>
      <x:c r="H103" s="12" t="str">
        <x:v>Fuel Truck</x:v>
      </x:c>
      <x:c r="I103" s="12" t="str">
        <x:v>FUEL TRUCK RENAULT KRANGE440-P6X4 A/T</x:v>
      </x:c>
      <x:c r="J103" s="16" t="n">
        <x:v>80</x:v>
      </x:c>
      <x:c r="K103" s="16" t="n">
        <x:v>3810</x:v>
      </x:c>
      <x:c r="L103" s="16" t="n">
        <x:v>3820</x:v>
      </x:c>
      <x:c r="M103" s="16" t="n">
        <x:v>10</x:v>
      </x:c>
      <x:c r="N103" s="16" t="n">
        <x:v>8</x:v>
      </x:c>
      <x:c r="O103" s="12" t="str">
        <x:v>FTRL44G004</x:v>
      </x:c>
      <x:c r="P103" s="12" t="str">
        <x:v>FTRL44G004</x:v>
      </x:c>
      <x:c r="Q103" s="12" t="str"/>
      <x:c r="R103" s="12" t="str"/>
      <x:c r="S103" s="12" t="str"/>
      <x:c r="T103" s="12" t="str">
        <x:v>ABM</x:v>
      </x:c>
      <x:c r="U103" s="12" t="str"/>
      <x:c r="V103" s="12" t="str"/>
      <x:c r="W103" s="12" t="str"/>
      <x:c r="X103" s="12" t="str">
        <x:v>FTRL44</x:v>
      </x:c>
      <x:c r="Y103" s="12" t="str">
        <x:v>BADRI &amp; KAMRAN</x:v>
      </x:c>
      <x:c r="Z103" s="12" t="str"/>
      <x:c r="AA103" s="32" t="n">
        <x:f>IFERROR(VLOOKUP(G103,Master_Unit!$A$2:$N$78,7,FALSE),"")</x:f>
        <x:v>13</x:v>
      </x:c>
      <x:c r="AB103" s="32" t="n">
        <x:f>IF(OR(N103="",AA103=""),"",N103-AA103)</x:f>
        <x:v>-5</x:v>
      </x:c>
      <x:c r="AC103" s="20" t="n">
        <x:f>IF(OR(N103="",AA103="",AA103=0),"",AB103/AA103)</x:f>
        <x:v>-0.38461538461538464</x:v>
      </x:c>
      <x:c r="AD103" t="str">
        <x:f>IF(AA103="","NO STANDARD",IF(AC103&lt;=Config_Status!$B$2,"EFFICIENT",IF(AC103&lt;=Config_Status!$B$3,"NORMAL",IF(AC103&lt;=Config_Status!$B$4,"WARNING","OVER CONSUMPTION"))))</x:f>
        <x:v>EFFICIENT</x:v>
      </x:c>
      <x:c r="AE103" t="str">
        <x:f>IFERROR(VLOOKUP(G103,Master_Unit!$A$2:$N$78,13,FALSE),"UNIT NOT FOUND")</x:f>
        <x:v>Matched</x:v>
      </x:c>
    </x:row>
    <x:row r="104">
      <x:c r="A104" s="12" t="str">
        <x:v>FU-20260602-00103</x:v>
      </x:c>
      <x:c r="B104" s="12" t="n">
        <x:v>233</x:v>
      </x:c>
      <x:c r="C104" s="14" t="n">
        <x:v>46175</x:v>
      </x:c>
      <x:c r="D104" s="12" t="str">
        <x:v>Selasa</x:v>
      </x:c>
      <x:c r="E104" s="12" t="str">
        <x:v>08:07:00</x:v>
      </x:c>
      <x:c r="F104" s="12" t="str">
        <x:v>All Shift Day</x:v>
      </x:c>
      <x:c r="G104" s="12" t="str">
        <x:v>MHHN13G005</x:v>
      </x:c>
      <x:c r="H104" s="12" t="str">
        <x:v>Other</x:v>
      </x:c>
      <x:c r="I104" s="12" t="str">
        <x:v>MAIN HAUL HINO 136-HDL</x:v>
      </x:c>
      <x:c r="J104" s="16" t="n">
        <x:v>32</x:v>
      </x:c>
      <x:c r="K104" s="16" t="n">
        <x:v>14046</x:v>
      </x:c>
      <x:c r="L104" s="16" t="n">
        <x:v>14066</x:v>
      </x:c>
      <x:c r="M104" s="16" t="n">
        <x:v>20</x:v>
      </x:c>
      <x:c r="N104" s="16" t="n">
        <x:v>1.6</x:v>
      </x:c>
      <x:c r="O104" s="12" t="str">
        <x:v>FTRL44G004</x:v>
      </x:c>
      <x:c r="P104" s="12" t="str">
        <x:v>MHHN13G005</x:v>
      </x:c>
      <x:c r="Q104" s="12" t="str"/>
      <x:c r="R104" s="12" t="str"/>
      <x:c r="S104" s="12" t="str"/>
      <x:c r="T104" s="12" t="str">
        <x:v>ABM</x:v>
      </x:c>
      <x:c r="U104" s="12" t="str"/>
      <x:c r="V104" s="12" t="str"/>
      <x:c r="W104" s="12" t="str"/>
      <x:c r="X104" s="12" t="str">
        <x:v>MHHN13</x:v>
      </x:c>
      <x:c r="Y104" s="12" t="str">
        <x:v>BADRI &amp; KAMRAN</x:v>
      </x:c>
      <x:c r="Z104" s="12" t="str"/>
      <x:c r="AA104" s="32" t="n">
        <x:f>IFERROR(VLOOKUP(G104,Master_Unit!$A$2:$N$78,7,FALSE),"")</x:f>
        <x:v>0.5</x:v>
      </x:c>
      <x:c r="AB104" s="32" t="n">
        <x:f>IF(OR(N104="",AA104=""),"",N104-AA104)</x:f>
        <x:v>1.1</x:v>
      </x:c>
      <x:c r="AC104" s="20" t="n">
        <x:f>IF(OR(N104="",AA104="",AA104=0),"",AB104/AA104)</x:f>
        <x:v>2.2</x:v>
      </x:c>
      <x:c r="AD104" t="str">
        <x:f>IF(AA104="","NO STANDARD",IF(AC104&lt;=Config_Status!$B$2,"EFFICIENT",IF(AC104&lt;=Config_Status!$B$3,"NORMAL",IF(AC104&lt;=Config_Status!$B$4,"WARNING","OVER CONSUMPTION"))))</x:f>
        <x:v>OVER CONSUMPTION</x:v>
      </x:c>
      <x:c r="AE104" t="str">
        <x:f>IFERROR(VLOOKUP(G104,Master_Unit!$A$2:$N$78,13,FALSE),"UNIT NOT FOUND")</x:f>
        <x:v>Matched</x:v>
      </x:c>
    </x:row>
    <x:row r="105">
      <x:c r="A105" s="12" t="str">
        <x:v>FU-20260602-00104</x:v>
      </x:c>
      <x:c r="B105" s="12" t="n">
        <x:v>234</x:v>
      </x:c>
      <x:c r="C105" s="14" t="n">
        <x:v>46175</x:v>
      </x:c>
      <x:c r="D105" s="12" t="str">
        <x:v>Selasa</x:v>
      </x:c>
      <x:c r="E105" s="12" t="str">
        <x:v>08:09:00</x:v>
      </x:c>
      <x:c r="F105" s="12" t="str">
        <x:v>All Shift Day</x:v>
      </x:c>
      <x:c r="G105" s="12" t="str">
        <x:v>LVTH24R036</x:v>
      </x:c>
      <x:c r="H105" s="12" t="str">
        <x:v>Light Vehicle</x:v>
      </x:c>
      <x:c r="I105" s="12" t="str">
        <x:v>LIGHT VEHICLE TOYOTA HILUX</x:v>
      </x:c>
      <x:c r="J105" s="16" t="n">
        <x:v>20</x:v>
      </x:c>
      <x:c r="K105" s="16" t="n">
        <x:v>62601</x:v>
      </x:c>
      <x:c r="L105" s="16" t="n">
        <x:v>62751</x:v>
      </x:c>
      <x:c r="M105" s="16" t="n">
        <x:v>150</x:v>
      </x:c>
      <x:c r="N105" s="16" t="n">
        <x:v>0.13333333333333333</x:v>
      </x:c>
      <x:c r="O105" s="12" t="str">
        <x:v>FTRL44G004</x:v>
      </x:c>
      <x:c r="P105" s="12" t="str">
        <x:v>LVTH24R036</x:v>
      </x:c>
      <x:c r="Q105" s="12" t="str"/>
      <x:c r="R105" s="12" t="str"/>
      <x:c r="S105" s="12" t="str"/>
      <x:c r="T105" s="12" t="str">
        <x:v>ABM</x:v>
      </x:c>
      <x:c r="U105" s="12" t="str"/>
      <x:c r="V105" s="12" t="str"/>
      <x:c r="W105" s="12" t="str"/>
      <x:c r="X105" s="12" t="str">
        <x:v>LVTH24</x:v>
      </x:c>
      <x:c r="Y105" s="12" t="str">
        <x:v>BADRI &amp; KAMRAN</x:v>
      </x:c>
      <x:c r="Z105" s="12" t="str"/>
      <x:c r="AA105" s="32" t="n">
        <x:f>IFERROR(VLOOKUP(G105,Master_Unit!$A$2:$N$78,7,FALSE),"")</x:f>
        <x:v>0.2</x:v>
      </x:c>
      <x:c r="AB105" s="32" t="n">
        <x:f>IF(OR(N105="",AA105=""),"",N105-AA105)</x:f>
        <x:v>-0.06666666666666668</x:v>
      </x:c>
      <x:c r="AC105" s="20" t="n">
        <x:f>IF(OR(N105="",AA105="",AA105=0),"",AB105/AA105)</x:f>
        <x:v>-0.33333333333333337</x:v>
      </x:c>
      <x:c r="AD105" t="str">
        <x:f>IF(AA105="","NO STANDARD",IF(AC105&lt;=Config_Status!$B$2,"EFFICIENT",IF(AC105&lt;=Config_Status!$B$3,"NORMAL",IF(AC105&lt;=Config_Status!$B$4,"WARNING","OVER CONSUMPTION"))))</x:f>
        <x:v>EFFICIENT</x:v>
      </x:c>
      <x:c r="AE105" t="str">
        <x:f>IFERROR(VLOOKUP(G105,Master_Unit!$A$2:$N$78,13,FALSE),"UNIT NOT FOUND")</x:f>
        <x:v>Matched</x:v>
      </x:c>
    </x:row>
    <x:row r="106">
      <x:c r="A106" s="12" t="str">
        <x:v>FU-20260602-00105</x:v>
      </x:c>
      <x:c r="B106" s="12" t="n">
        <x:v>235</x:v>
      </x:c>
      <x:c r="C106" s="14" t="n">
        <x:v>46175</x:v>
      </x:c>
      <x:c r="D106" s="12" t="str">
        <x:v>Selasa</x:v>
      </x:c>
      <x:c r="E106" s="12" t="str">
        <x:v>08:11:00</x:v>
      </x:c>
      <x:c r="F106" s="12" t="str">
        <x:v>All Shift Day</x:v>
      </x:c>
      <x:c r="G106" s="12" t="str">
        <x:v>LVTH24R023</x:v>
      </x:c>
      <x:c r="H106" s="12" t="str">
        <x:v>Light Vehicle</x:v>
      </x:c>
      <x:c r="I106" s="12" t="str">
        <x:v>LIGHT VEHICLE TOYOTA HILUX</x:v>
      </x:c>
      <x:c r="J106" s="16" t="n">
        <x:v>20</x:v>
      </x:c>
      <x:c r="K106" s="16" t="n">
        <x:v>48833</x:v>
      </x:c>
      <x:c r="L106" s="16" t="n">
        <x:v>48861</x:v>
      </x:c>
      <x:c r="M106" s="16" t="n">
        <x:v>28</x:v>
      </x:c>
      <x:c r="N106" s="16" t="n">
        <x:v>0.7142857142857143</x:v>
      </x:c>
      <x:c r="O106" s="12" t="str">
        <x:v>FTRL44G004</x:v>
      </x:c>
      <x:c r="P106" s="12" t="str">
        <x:v>LVTH24R023</x:v>
      </x:c>
      <x:c r="Q106" s="12" t="str"/>
      <x:c r="R106" s="12" t="str"/>
      <x:c r="S106" s="12" t="str"/>
      <x:c r="T106" s="12" t="str">
        <x:v>ABM</x:v>
      </x:c>
      <x:c r="U106" s="12" t="str"/>
      <x:c r="V106" s="12" t="str"/>
      <x:c r="W106" s="12" t="str"/>
      <x:c r="X106" s="12" t="str">
        <x:v>LVTH24</x:v>
      </x:c>
      <x:c r="Y106" s="12" t="str">
        <x:v>BADRI &amp; KAMRAN</x:v>
      </x:c>
      <x:c r="Z106" s="12" t="str"/>
      <x:c r="AA106" s="32" t="n">
        <x:f>IFERROR(VLOOKUP(G106,Master_Unit!$A$2:$N$78,7,FALSE),"")</x:f>
        <x:v>0.2</x:v>
      </x:c>
      <x:c r="AB106" s="32" t="n">
        <x:f>IF(OR(N106="",AA106=""),"",N106-AA106)</x:f>
        <x:v>0.5142857142857142</x:v>
      </x:c>
      <x:c r="AC106" s="20" t="n">
        <x:f>IF(OR(N106="",AA106="",AA106=0),"",AB106/AA106)</x:f>
        <x:v>2.571428571428571</x:v>
      </x:c>
      <x:c r="AD106" t="str">
        <x:f>IF(AA106="","NO STANDARD",IF(AC106&lt;=Config_Status!$B$2,"EFFICIENT",IF(AC106&lt;=Config_Status!$B$3,"NORMAL",IF(AC106&lt;=Config_Status!$B$4,"WARNING","OVER CONSUMPTION"))))</x:f>
        <x:v>OVER CONSUMPTION</x:v>
      </x:c>
      <x:c r="AE106" t="str">
        <x:f>IFERROR(VLOOKUP(G106,Master_Unit!$A$2:$N$78,13,FALSE),"UNIT NOT FOUND")</x:f>
        <x:v>Matched</x:v>
      </x:c>
    </x:row>
    <x:row r="107">
      <x:c r="A107" s="12" t="str">
        <x:v>FU-20260602-00106</x:v>
      </x:c>
      <x:c r="B107" s="12" t="n">
        <x:v>236</x:v>
      </x:c>
      <x:c r="C107" s="14" t="n">
        <x:v>46175</x:v>
      </x:c>
      <x:c r="D107" s="12" t="str">
        <x:v>Selasa</x:v>
      </x:c>
      <x:c r="E107" s="12" t="str">
        <x:v>08:48:00</x:v>
      </x:c>
      <x:c r="F107" s="12" t="str">
        <x:v>All Shift Day</x:v>
      </x:c>
      <x:c r="G107" s="12" t="str">
        <x:v>EXVV21G038</x:v>
      </x:c>
      <x:c r="H107" s="12" t="str">
        <x:v>Excavator</x:v>
      </x:c>
      <x:c r="I107" s="12" t="str">
        <x:v>EXCAVATOR VOLVO EC210D</x:v>
      </x:c>
      <x:c r="J107" s="16" t="n">
        <x:v>149</x:v>
      </x:c>
      <x:c r="K107" s="16" t="n">
        <x:v>4090.6</x:v>
      </x:c>
      <x:c r="L107" s="16" t="n">
        <x:v>4100.9</x:v>
      </x:c>
      <x:c r="M107" s="16" t="n">
        <x:v>10.299999999999727</x:v>
      </x:c>
      <x:c r="N107" s="16" t="n">
        <x:v>14.466019417476112</x:v>
      </x:c>
      <x:c r="O107" s="12" t="str">
        <x:v>FTRL44G004</x:v>
      </x:c>
      <x:c r="P107" s="12" t="str">
        <x:v>EXVV21G038</x:v>
      </x:c>
      <x:c r="Q107" s="12" t="str"/>
      <x:c r="R107" s="12" t="str"/>
      <x:c r="S107" s="12" t="str"/>
      <x:c r="T107" s="12" t="str">
        <x:v>ABM</x:v>
      </x:c>
      <x:c r="U107" s="12" t="str"/>
      <x:c r="V107" s="12" t="str"/>
      <x:c r="W107" s="12" t="str"/>
      <x:c r="X107" s="12" t="str">
        <x:v>EXVV21</x:v>
      </x:c>
      <x:c r="Y107" s="12" t="str">
        <x:v>BADRI &amp; KAMRAN</x:v>
      </x:c>
      <x:c r="Z107" s="12" t="str"/>
      <x:c r="AA107" s="32" t="n">
        <x:f>IFERROR(VLOOKUP(G107,Master_Unit!$A$2:$N$78,7,FALSE),"")</x:f>
        <x:v>20</x:v>
      </x:c>
      <x:c r="AB107" s="32" t="n">
        <x:f>IF(OR(N107="",AA107=""),"",N107-AA107)</x:f>
        <x:v>-5.533980582523888</x:v>
      </x:c>
      <x:c r="AC107" s="20" t="n">
        <x:f>IF(OR(N107="",AA107="",AA107=0),"",AB107/AA107)</x:f>
        <x:v>-0.27669902912619443</x:v>
      </x:c>
      <x:c r="AD107" t="str">
        <x:f>IF(AA107="","NO STANDARD",IF(AC107&lt;=Config_Status!$B$2,"EFFICIENT",IF(AC107&lt;=Config_Status!$B$3,"NORMAL",IF(AC107&lt;=Config_Status!$B$4,"WARNING","OVER CONSUMPTION"))))</x:f>
        <x:v>EFFICIENT</x:v>
      </x:c>
      <x:c r="AE107" t="str">
        <x:f>IFERROR(VLOOKUP(G107,Master_Unit!$A$2:$N$78,13,FALSE),"UNIT NOT FOUND")</x:f>
        <x:v>Matched</x:v>
      </x:c>
    </x:row>
    <x:row r="108">
      <x:c r="A108" s="12" t="str">
        <x:v>FU-20260602-00107</x:v>
      </x:c>
      <x:c r="B108" s="12" t="n">
        <x:v>237</x:v>
      </x:c>
      <x:c r="C108" s="14" t="n">
        <x:v>46175</x:v>
      </x:c>
      <x:c r="D108" s="12" t="str">
        <x:v>Selasa</x:v>
      </x:c>
      <x:c r="E108" s="12" t="str">
        <x:v>08:54:00</x:v>
      </x:c>
      <x:c r="F108" s="12" t="str">
        <x:v>All Shift Day</x:v>
      </x:c>
      <x:c r="G108" s="12" t="str">
        <x:v>TLYM50G017</x:v>
      </x:c>
      <x:c r="H108" s="12" t="str">
        <x:v>Other</x:v>
      </x:c>
      <x:c r="I108" s="12" t="str">
        <x:v>TOWERLAMP YAMAGEN YDG5001SE-D-TLD4</x:v>
      </x:c>
      <x:c r="J108" s="16" t="n">
        <x:v>9</x:v>
      </x:c>
      <x:c r="K108" s="16" t="n">
        <x:v>3343.05</x:v>
      </x:c>
      <x:c r="L108" s="16" t="n">
        <x:v>3352.78</x:v>
      </x:c>
      <x:c r="M108" s="16" t="n">
        <x:v>9.730000000000018</x:v>
      </x:c>
      <x:c r="N108" s="16" t="n">
        <x:v>0.9249743062692686</x:v>
      </x:c>
      <x:c r="O108" s="12" t="str">
        <x:v>FTRL44G004</x:v>
      </x:c>
      <x:c r="P108" s="12" t="str">
        <x:v>TLYM50G017</x:v>
      </x:c>
      <x:c r="Q108" s="12" t="str"/>
      <x:c r="R108" s="12" t="str"/>
      <x:c r="S108" s="12" t="str"/>
      <x:c r="T108" s="12" t="str">
        <x:v>ABM</x:v>
      </x:c>
      <x:c r="U108" s="12" t="str"/>
      <x:c r="V108" s="12" t="str"/>
      <x:c r="W108" s="12" t="str"/>
      <x:c r="X108" s="12" t="str">
        <x:v>TLYM50</x:v>
      </x:c>
      <x:c r="Y108" s="12" t="str">
        <x:v>BADRI &amp; KAMRAN</x:v>
      </x:c>
      <x:c r="Z108" s="12" t="str"/>
      <x:c r="AA108" s="32" t="n">
        <x:f>IFERROR(VLOOKUP(G108,Master_Unit!$A$2:$N$78,7,FALSE),"")</x:f>
        <x:v>2</x:v>
      </x:c>
      <x:c r="AB108" s="32" t="n">
        <x:f>IF(OR(N108="",AA108=""),"",N108-AA108)</x:f>
        <x:v>-1.0750256937307314</x:v>
      </x:c>
      <x:c r="AC108" s="20" t="n">
        <x:f>IF(OR(N108="",AA108="",AA108=0),"",AB108/AA108)</x:f>
        <x:v>-0.5375128468653657</x:v>
      </x:c>
      <x:c r="AD108" t="str">
        <x:f>IF(AA108="","NO STANDARD",IF(AC108&lt;=Config_Status!$B$2,"EFFICIENT",IF(AC108&lt;=Config_Status!$B$3,"NORMAL",IF(AC108&lt;=Config_Status!$B$4,"WARNING","OVER CONSUMPTION"))))</x:f>
        <x:v>EFFICIENT</x:v>
      </x:c>
      <x:c r="AE108" t="str">
        <x:f>IFERROR(VLOOKUP(G108,Master_Unit!$A$2:$N$78,13,FALSE),"UNIT NOT FOUND")</x:f>
        <x:v>Matched</x:v>
      </x:c>
    </x:row>
    <x:row r="109">
      <x:c r="A109" s="12" t="str">
        <x:v>FU-20260602-00108</x:v>
      </x:c>
      <x:c r="B109" s="12" t="n">
        <x:v>238</x:v>
      </x:c>
      <x:c r="C109" s="14" t="n">
        <x:v>46175</x:v>
      </x:c>
      <x:c r="D109" s="12" t="str">
        <x:v>Selasa</x:v>
      </x:c>
      <x:c r="E109" s="12" t="str">
        <x:v>09:00:00</x:v>
      </x:c>
      <x:c r="F109" s="12" t="str">
        <x:v>All Shift Day</x:v>
      </x:c>
      <x:c r="G109" s="12" t="str">
        <x:v>EXVV21G041</x:v>
      </x:c>
      <x:c r="H109" s="12" t="str">
        <x:v>Excavator</x:v>
      </x:c>
      <x:c r="I109" s="12" t="str">
        <x:v>EXCAVATOR VOLVO EC210D</x:v>
      </x:c>
      <x:c r="J109" s="16" t="n">
        <x:v>149</x:v>
      </x:c>
      <x:c r="K109" s="16" t="n">
        <x:v>4403.7</x:v>
      </x:c>
      <x:c r="L109" s="16" t="n">
        <x:v>4414</x:v>
      </x:c>
      <x:c r="M109" s="16" t="n">
        <x:v>10.300000000000182</x:v>
      </x:c>
      <x:c r="N109" s="16" t="n">
        <x:v>14.466019417475472</x:v>
      </x:c>
      <x:c r="O109" s="12" t="str">
        <x:v>FTRL44G004</x:v>
      </x:c>
      <x:c r="P109" s="12" t="str">
        <x:v>EXVV21G041</x:v>
      </x:c>
      <x:c r="Q109" s="12" t="str"/>
      <x:c r="R109" s="12" t="str"/>
      <x:c r="S109" s="12" t="str"/>
      <x:c r="T109" s="12" t="str">
        <x:v>ABM</x:v>
      </x:c>
      <x:c r="U109" s="12" t="str"/>
      <x:c r="V109" s="12" t="str"/>
      <x:c r="W109" s="12" t="str"/>
      <x:c r="X109" s="12" t="str">
        <x:v>EXVV21</x:v>
      </x:c>
      <x:c r="Y109" s="12" t="str">
        <x:v>BADRI &amp; KAMRAN</x:v>
      </x:c>
      <x:c r="Z109" s="12" t="str"/>
      <x:c r="AA109" s="32" t="n">
        <x:f>IFERROR(VLOOKUP(G109,Master_Unit!$A$2:$N$78,7,FALSE),"")</x:f>
        <x:v>20</x:v>
      </x:c>
      <x:c r="AB109" s="32" t="n">
        <x:f>IF(OR(N109="",AA109=""),"",N109-AA109)</x:f>
        <x:v>-5.533980582524528</x:v>
      </x:c>
      <x:c r="AC109" s="20" t="n">
        <x:f>IF(OR(N109="",AA109="",AA109=0),"",AB109/AA109)</x:f>
        <x:v>-0.2766990291262264</x:v>
      </x:c>
      <x:c r="AD109" t="str">
        <x:f>IF(AA109="","NO STANDARD",IF(AC109&lt;=Config_Status!$B$2,"EFFICIENT",IF(AC109&lt;=Config_Status!$B$3,"NORMAL",IF(AC109&lt;=Config_Status!$B$4,"WARNING","OVER CONSUMPTION"))))</x:f>
        <x:v>EFFICIENT</x:v>
      </x:c>
      <x:c r="AE109" t="str">
        <x:f>IFERROR(VLOOKUP(G109,Master_Unit!$A$2:$N$78,13,FALSE),"UNIT NOT FOUND")</x:f>
        <x:v>Matched</x:v>
      </x:c>
    </x:row>
    <x:row r="110">
      <x:c r="A110" s="12" t="str">
        <x:v>FU-20260602-00109</x:v>
      </x:c>
      <x:c r="B110" s="12" t="n">
        <x:v>239</x:v>
      </x:c>
      <x:c r="C110" s="14" t="n">
        <x:v>46175</x:v>
      </x:c>
      <x:c r="D110" s="12" t="str">
        <x:v>Selasa</x:v>
      </x:c>
      <x:c r="E110" s="12" t="str">
        <x:v>09:18:00</x:v>
      </x:c>
      <x:c r="F110" s="12" t="str">
        <x:v>All Shift Day</x:v>
      </x:c>
      <x:c r="G110" s="12" t="str">
        <x:v>STRL44G140</x:v>
      </x:c>
      <x:c r="H110" s="12" t="str">
        <x:v>Dump Truck</x:v>
      </x:c>
      <x:c r="I110" s="12" t="str">
        <x:v>DUMP TRUCK RENAULT KRANGE440-P6X4 A/T</x:v>
      </x:c>
      <x:c r="J110" s="16" t="n">
        <x:v>153</x:v>
      </x:c>
      <x:c r="K110" s="16" t="n">
        <x:v>5008</x:v>
      </x:c>
      <x:c r="L110" s="16" t="n">
        <x:v>5017</x:v>
      </x:c>
      <x:c r="M110" s="16" t="n">
        <x:v>9</x:v>
      </x:c>
      <x:c r="N110" s="16" t="n">
        <x:v>17</x:v>
      </x:c>
      <x:c r="O110" s="12" t="str">
        <x:v>FTRL44G004</x:v>
      </x:c>
      <x:c r="P110" s="12" t="str">
        <x:v>STRL44G140</x:v>
      </x:c>
      <x:c r="Q110" s="12" t="str"/>
      <x:c r="R110" s="12" t="str"/>
      <x:c r="S110" s="12" t="str"/>
      <x:c r="T110" s="12" t="str">
        <x:v>ABM</x:v>
      </x:c>
      <x:c r="U110" s="12" t="str"/>
      <x:c r="V110" s="12" t="str"/>
      <x:c r="W110" s="12" t="str"/>
      <x:c r="X110" s="12" t="str">
        <x:v>STRL44</x:v>
      </x:c>
      <x:c r="Y110" s="12" t="str">
        <x:v>BADRI &amp; KAMRAN</x:v>
      </x:c>
      <x:c r="Z110" s="12" t="str"/>
      <x:c r="AA110" s="32" t="n">
        <x:f>IFERROR(VLOOKUP(G110,Master_Unit!$A$2:$N$78,7,FALSE),"")</x:f>
        <x:v>20</x:v>
      </x:c>
      <x:c r="AB110" s="32" t="n">
        <x:f>IF(OR(N110="",AA110=""),"",N110-AA110)</x:f>
        <x:v>-3</x:v>
      </x:c>
      <x:c r="AC110" s="20" t="n">
        <x:f>IF(OR(N110="",AA110="",AA110=0),"",AB110/AA110)</x:f>
        <x:v>-0.15</x:v>
      </x:c>
      <x:c r="AD110" t="str">
        <x:f>IF(AA110="","NO STANDARD",IF(AC110&lt;=Config_Status!$B$2,"EFFICIENT",IF(AC110&lt;=Config_Status!$B$3,"NORMAL",IF(AC110&lt;=Config_Status!$B$4,"WARNING","OVER CONSUMPTION"))))</x:f>
        <x:v>EFFICIENT</x:v>
      </x:c>
      <x:c r="AE110" t="str">
        <x:f>IFERROR(VLOOKUP(G110,Master_Unit!$A$2:$N$78,13,FALSE),"UNIT NOT FOUND")</x:f>
        <x:v>Matched</x:v>
      </x:c>
    </x:row>
    <x:row r="111">
      <x:c r="A111" s="12" t="str">
        <x:v>FU-20260602-00110</x:v>
      </x:c>
      <x:c r="B111" s="12" t="n">
        <x:v>240</x:v>
      </x:c>
      <x:c r="C111" s="14" t="n">
        <x:v>46175</x:v>
      </x:c>
      <x:c r="D111" s="12" t="str">
        <x:v>Selasa</x:v>
      </x:c>
      <x:c r="E111" s="12" t="str">
        <x:v>09:24:00</x:v>
      </x:c>
      <x:c r="F111" s="12" t="str">
        <x:v>All Shift Day</x:v>
      </x:c>
      <x:c r="G111" s="12" t="str">
        <x:v>STRL44G145</x:v>
      </x:c>
      <x:c r="H111" s="12" t="str">
        <x:v>Dump Truck</x:v>
      </x:c>
      <x:c r="I111" s="12" t="str">
        <x:v>DUMP TRUCK RENAULT KRANGE440-P6X4 A/T</x:v>
      </x:c>
      <x:c r="J111" s="16" t="n">
        <x:v>153</x:v>
      </x:c>
      <x:c r="K111" s="16" t="n">
        <x:v>4848</x:v>
      </x:c>
      <x:c r="L111" s="16" t="n">
        <x:v>4857</x:v>
      </x:c>
      <x:c r="M111" s="16" t="n">
        <x:v>9</x:v>
      </x:c>
      <x:c r="N111" s="16" t="n">
        <x:v>17</x:v>
      </x:c>
      <x:c r="O111" s="12" t="str">
        <x:v>FTRL44G004</x:v>
      </x:c>
      <x:c r="P111" s="12" t="str">
        <x:v>STRL44G145</x:v>
      </x:c>
      <x:c r="Q111" s="12" t="str"/>
      <x:c r="R111" s="12" t="str"/>
      <x:c r="S111" s="12" t="str"/>
      <x:c r="T111" s="12" t="str">
        <x:v>ABM</x:v>
      </x:c>
      <x:c r="U111" s="12" t="str"/>
      <x:c r="V111" s="12" t="str"/>
      <x:c r="W111" s="12" t="str"/>
      <x:c r="X111" s="12" t="str">
        <x:v>STRL44</x:v>
      </x:c>
      <x:c r="Y111" s="12" t="str">
        <x:v>BADRI &amp; KAMRAN</x:v>
      </x:c>
      <x:c r="Z111" s="12" t="str"/>
      <x:c r="AA111" s="32" t="n">
        <x:f>IFERROR(VLOOKUP(G111,Master_Unit!$A$2:$N$78,7,FALSE),"")</x:f>
        <x:v>20</x:v>
      </x:c>
      <x:c r="AB111" s="32" t="n">
        <x:f>IF(OR(N111="",AA111=""),"",N111-AA111)</x:f>
        <x:v>-3</x:v>
      </x:c>
      <x:c r="AC111" s="20" t="n">
        <x:f>IF(OR(N111="",AA111="",AA111=0),"",AB111/AA111)</x:f>
        <x:v>-0.15</x:v>
      </x:c>
      <x:c r="AD111" t="str">
        <x:f>IF(AA111="","NO STANDARD",IF(AC111&lt;=Config_Status!$B$2,"EFFICIENT",IF(AC111&lt;=Config_Status!$B$3,"NORMAL",IF(AC111&lt;=Config_Status!$B$4,"WARNING","OVER CONSUMPTION"))))</x:f>
        <x:v>EFFICIENT</x:v>
      </x:c>
      <x:c r="AE111" t="str">
        <x:f>IFERROR(VLOOKUP(G111,Master_Unit!$A$2:$N$78,13,FALSE),"UNIT NOT FOUND")</x:f>
        <x:v>Matched</x:v>
      </x:c>
    </x:row>
    <x:row r="112">
      <x:c r="A112" s="12" t="str">
        <x:v>FU-20260602-00111</x:v>
      </x:c>
      <x:c r="B112" s="12" t="n">
        <x:v>241</x:v>
      </x:c>
      <x:c r="C112" s="14" t="n">
        <x:v>46175</x:v>
      </x:c>
      <x:c r="D112" s="12" t="str">
        <x:v>Selasa</x:v>
      </x:c>
      <x:c r="E112" s="12" t="str">
        <x:v>09:28:00</x:v>
      </x:c>
      <x:c r="F112" s="12" t="str">
        <x:v>All Shift Day</x:v>
      </x:c>
      <x:c r="G112" s="12" t="str">
        <x:v>STRL44G155</x:v>
      </x:c>
      <x:c r="H112" s="12" t="str">
        <x:v>Dump Truck</x:v>
      </x:c>
      <x:c r="I112" s="12" t="str">
        <x:v>DUMP TRUCK RENAULT KRANGE440-P6X4 A/T</x:v>
      </x:c>
      <x:c r="J112" s="16" t="n">
        <x:v>153</x:v>
      </x:c>
      <x:c r="K112" s="16" t="n">
        <x:v>3870</x:v>
      </x:c>
      <x:c r="L112" s="16" t="n">
        <x:v>3881</x:v>
      </x:c>
      <x:c r="M112" s="16" t="n">
        <x:v>11</x:v>
      </x:c>
      <x:c r="N112" s="16" t="n">
        <x:v>13.909090909090908</x:v>
      </x:c>
      <x:c r="O112" s="12" t="str">
        <x:v>FTRL44G004</x:v>
      </x:c>
      <x:c r="P112" s="12" t="str">
        <x:v>STRL44G155</x:v>
      </x:c>
      <x:c r="Q112" s="12" t="str"/>
      <x:c r="R112" s="12" t="str"/>
      <x:c r="S112" s="12" t="str"/>
      <x:c r="T112" s="12" t="str">
        <x:v>ABM</x:v>
      </x:c>
      <x:c r="U112" s="12" t="str"/>
      <x:c r="V112" s="12" t="str"/>
      <x:c r="W112" s="12" t="str"/>
      <x:c r="X112" s="12" t="str">
        <x:v>STRL44</x:v>
      </x:c>
      <x:c r="Y112" s="12" t="str">
        <x:v>BADRI &amp; KAMRAN</x:v>
      </x:c>
      <x:c r="Z112" s="12" t="str"/>
      <x:c r="AA112" s="32" t="n">
        <x:f>IFERROR(VLOOKUP(G112,Master_Unit!$A$2:$N$78,7,FALSE),"")</x:f>
        <x:v>20</x:v>
      </x:c>
      <x:c r="AB112" s="32" t="n">
        <x:f>IF(OR(N112="",AA112=""),"",N112-AA112)</x:f>
        <x:v>-6.090909090909092</x:v>
      </x:c>
      <x:c r="AC112" s="20" t="n">
        <x:f>IF(OR(N112="",AA112="",AA112=0),"",AB112/AA112)</x:f>
        <x:v>-0.30454545454545456</x:v>
      </x:c>
      <x:c r="AD112" t="str">
        <x:f>IF(AA112="","NO STANDARD",IF(AC112&lt;=Config_Status!$B$2,"EFFICIENT",IF(AC112&lt;=Config_Status!$B$3,"NORMAL",IF(AC112&lt;=Config_Status!$B$4,"WARNING","OVER CONSUMPTION"))))</x:f>
        <x:v>EFFICIENT</x:v>
      </x:c>
      <x:c r="AE112" t="str">
        <x:f>IFERROR(VLOOKUP(G112,Master_Unit!$A$2:$N$78,13,FALSE),"UNIT NOT FOUND")</x:f>
        <x:v>Matched</x:v>
      </x:c>
    </x:row>
    <x:row r="113">
      <x:c r="A113" s="12" t="str">
        <x:v>FU-20260602-00112</x:v>
      </x:c>
      <x:c r="B113" s="12" t="n">
        <x:v>242</x:v>
      </x:c>
      <x:c r="C113" s="14" t="n">
        <x:v>46175</x:v>
      </x:c>
      <x:c r="D113" s="12" t="str">
        <x:v>Selasa</x:v>
      </x:c>
      <x:c r="E113" s="12" t="str">
        <x:v>09:31:00</x:v>
      </x:c>
      <x:c r="F113" s="12" t="str">
        <x:v>All Shift Day</x:v>
      </x:c>
      <x:c r="G113" s="12" t="str">
        <x:v>STRL44G156</x:v>
      </x:c>
      <x:c r="H113" s="12" t="str">
        <x:v>Dump Truck</x:v>
      </x:c>
      <x:c r="I113" s="12" t="str">
        <x:v>DUMP TRUCK RENAULT KRANGE440-P6X4 A/T</x:v>
      </x:c>
      <x:c r="J113" s="16" t="n">
        <x:v>153</x:v>
      </x:c>
      <x:c r="K113" s="16" t="n">
        <x:v>3673</x:v>
      </x:c>
      <x:c r="L113" s="16" t="n">
        <x:v>3683</x:v>
      </x:c>
      <x:c r="M113" s="16" t="n">
        <x:v>10</x:v>
      </x:c>
      <x:c r="N113" s="16" t="n">
        <x:v>15.3</x:v>
      </x:c>
      <x:c r="O113" s="12" t="str">
        <x:v>FTRL44G004</x:v>
      </x:c>
      <x:c r="P113" s="12" t="str">
        <x:v>STRL44G156</x:v>
      </x:c>
      <x:c r="Q113" s="12" t="str"/>
      <x:c r="R113" s="12" t="str"/>
      <x:c r="S113" s="12" t="str"/>
      <x:c r="T113" s="12" t="str">
        <x:v>ABM</x:v>
      </x:c>
      <x:c r="U113" s="12" t="str"/>
      <x:c r="V113" s="12" t="str"/>
      <x:c r="W113" s="12" t="str"/>
      <x:c r="X113" s="12" t="str">
        <x:v>STRL44</x:v>
      </x:c>
      <x:c r="Y113" s="12" t="str">
        <x:v>BADRI &amp; KAMRAN</x:v>
      </x:c>
      <x:c r="Z113" s="12" t="str"/>
      <x:c r="AA113" s="32" t="n">
        <x:f>IFERROR(VLOOKUP(G113,Master_Unit!$A$2:$N$78,7,FALSE),"")</x:f>
        <x:v>20</x:v>
      </x:c>
      <x:c r="AB113" s="32" t="n">
        <x:f>IF(OR(N113="",AA113=""),"",N113-AA113)</x:f>
        <x:v>-4.699999999999999</x:v>
      </x:c>
      <x:c r="AC113" s="20" t="n">
        <x:f>IF(OR(N113="",AA113="",AA113=0),"",AB113/AA113)</x:f>
        <x:v>-0.23499999999999996</x:v>
      </x:c>
      <x:c r="AD113" t="str">
        <x:f>IF(AA113="","NO STANDARD",IF(AC113&lt;=Config_Status!$B$2,"EFFICIENT",IF(AC113&lt;=Config_Status!$B$3,"NORMAL",IF(AC113&lt;=Config_Status!$B$4,"WARNING","OVER CONSUMPTION"))))</x:f>
        <x:v>EFFICIENT</x:v>
      </x:c>
      <x:c r="AE113" t="str">
        <x:f>IFERROR(VLOOKUP(G113,Master_Unit!$A$2:$N$78,13,FALSE),"UNIT NOT FOUND")</x:f>
        <x:v>Matched</x:v>
      </x:c>
    </x:row>
    <x:row r="114">
      <x:c r="A114" s="12" t="str">
        <x:v>FU-20260602-00113</x:v>
      </x:c>
      <x:c r="B114" s="12" t="n">
        <x:v>243</x:v>
      </x:c>
      <x:c r="C114" s="14" t="n">
        <x:v>46175</x:v>
      </x:c>
      <x:c r="D114" s="12" t="str">
        <x:v>Selasa</x:v>
      </x:c>
      <x:c r="E114" s="12" t="str">
        <x:v>09:33:00</x:v>
      </x:c>
      <x:c r="F114" s="12" t="str">
        <x:v>All Shift Day</x:v>
      </x:c>
      <x:c r="G114" s="12" t="str">
        <x:v>WTRL44G007</x:v>
      </x:c>
      <x:c r="H114" s="12" t="str">
        <x:v>Water Truck</x:v>
      </x:c>
      <x:c r="I114" s="12" t="str">
        <x:v>WATER TRUCK RENAULT KRANGE440-P6X4 A/T</x:v>
      </x:c>
      <x:c r="J114" s="16" t="n">
        <x:v>100</x:v>
      </x:c>
      <x:c r="K114" s="16" t="n">
        <x:v>1571</x:v>
      </x:c>
      <x:c r="L114" s="16" t="n">
        <x:v>1583</x:v>
      </x:c>
      <x:c r="M114" s="16" t="n">
        <x:v>12</x:v>
      </x:c>
      <x:c r="N114" s="16" t="n">
        <x:v>8.333333333333334</x:v>
      </x:c>
      <x:c r="O114" s="12" t="str">
        <x:v>FTRL44G004</x:v>
      </x:c>
      <x:c r="P114" s="12" t="str">
        <x:v>WTRL44G007</x:v>
      </x:c>
      <x:c r="Q114" s="12" t="str"/>
      <x:c r="R114" s="12" t="str"/>
      <x:c r="S114" s="12" t="str"/>
      <x:c r="T114" s="12" t="str">
        <x:v>ABM</x:v>
      </x:c>
      <x:c r="U114" s="12" t="str"/>
      <x:c r="V114" s="12" t="str"/>
      <x:c r="W114" s="12" t="str"/>
      <x:c r="X114" s="12" t="str">
        <x:v>WTRL44</x:v>
      </x:c>
      <x:c r="Y114" s="12" t="str">
        <x:v>BADRI &amp; KAMRAN</x:v>
      </x:c>
      <x:c r="Z114" s="12" t="str"/>
      <x:c r="AA114" s="32" t="n">
        <x:f>IFERROR(VLOOKUP(G114,Master_Unit!$A$2:$N$78,7,FALSE),"")</x:f>
        <x:v>20</x:v>
      </x:c>
      <x:c r="AB114" s="32" t="n">
        <x:f>IF(OR(N114="",AA114=""),"",N114-AA114)</x:f>
        <x:v>-11.666666666666666</x:v>
      </x:c>
      <x:c r="AC114" s="20" t="n">
        <x:f>IF(OR(N114="",AA114="",AA114=0),"",AB114/AA114)</x:f>
        <x:v>-0.5833333333333333</x:v>
      </x:c>
      <x:c r="AD114" t="str">
        <x:f>IF(AA114="","NO STANDARD",IF(AC114&lt;=Config_Status!$B$2,"EFFICIENT",IF(AC114&lt;=Config_Status!$B$3,"NORMAL",IF(AC114&lt;=Config_Status!$B$4,"WARNING","OVER CONSUMPTION"))))</x:f>
        <x:v>EFFICIENT</x:v>
      </x:c>
      <x:c r="AE114" t="str">
        <x:f>IFERROR(VLOOKUP(G114,Master_Unit!$A$2:$N$78,13,FALSE),"UNIT NOT FOUND")</x:f>
        <x:v>Matched</x:v>
      </x:c>
    </x:row>
    <x:row r="115">
      <x:c r="A115" s="12" t="str">
        <x:v>FU-20260602-00114</x:v>
      </x:c>
      <x:c r="B115" s="12" t="n">
        <x:v>244</x:v>
      </x:c>
      <x:c r="C115" s="14" t="n">
        <x:v>46175</x:v>
      </x:c>
      <x:c r="D115" s="12" t="str">
        <x:v>Selasa</x:v>
      </x:c>
      <x:c r="E115" s="12" t="str">
        <x:v>09:38:00</x:v>
      </x:c>
      <x:c r="F115" s="12" t="str">
        <x:v>All Shift Day</x:v>
      </x:c>
      <x:c r="G115" s="12" t="str">
        <x:v>STRL44G139</x:v>
      </x:c>
      <x:c r="H115" s="12" t="str">
        <x:v>Dump Truck</x:v>
      </x:c>
      <x:c r="I115" s="12" t="str">
        <x:v>DUMP TRUCK RENAULT KRANGE440-P6X4 A/T</x:v>
      </x:c>
      <x:c r="J115" s="16" t="n">
        <x:v>111</x:v>
      </x:c>
      <x:c r="K115" s="16" t="n">
        <x:v>4877</x:v>
      </x:c>
      <x:c r="L115" s="16" t="n">
        <x:v>4886</x:v>
      </x:c>
      <x:c r="M115" s="16" t="n">
        <x:v>9</x:v>
      </x:c>
      <x:c r="N115" s="16" t="n">
        <x:v>12.333333333333334</x:v>
      </x:c>
      <x:c r="O115" s="12" t="str">
        <x:v>FTRL44G004</x:v>
      </x:c>
      <x:c r="P115" s="12" t="str">
        <x:v>STRL44G139</x:v>
      </x:c>
      <x:c r="Q115" s="12" t="str"/>
      <x:c r="R115" s="12" t="str"/>
      <x:c r="S115" s="12" t="str"/>
      <x:c r="T115" s="12" t="str">
        <x:v>ABM</x:v>
      </x:c>
      <x:c r="U115" s="12" t="str"/>
      <x:c r="V115" s="12" t="str"/>
      <x:c r="W115" s="12" t="str"/>
      <x:c r="X115" s="12" t="str">
        <x:v>STRL44</x:v>
      </x:c>
      <x:c r="Y115" s="12" t="str">
        <x:v>BADRI &amp; KAMRAN</x:v>
      </x:c>
      <x:c r="Z115" s="12" t="str"/>
      <x:c r="AA115" s="32" t="n">
        <x:f>IFERROR(VLOOKUP(G115,Master_Unit!$A$2:$N$78,7,FALSE),"")</x:f>
        <x:v>20</x:v>
      </x:c>
      <x:c r="AB115" s="32" t="n">
        <x:f>IF(OR(N115="",AA115=""),"",N115-AA115)</x:f>
        <x:v>-7.666666666666666</x:v>
      </x:c>
      <x:c r="AC115" s="20" t="n">
        <x:f>IF(OR(N115="",AA115="",AA115=0),"",AB115/AA115)</x:f>
        <x:v>-0.3833333333333333</x:v>
      </x:c>
      <x:c r="AD115" t="str">
        <x:f>IF(AA115="","NO STANDARD",IF(AC115&lt;=Config_Status!$B$2,"EFFICIENT",IF(AC115&lt;=Config_Status!$B$3,"NORMAL",IF(AC115&lt;=Config_Status!$B$4,"WARNING","OVER CONSUMPTION"))))</x:f>
        <x:v>EFFICIENT</x:v>
      </x:c>
      <x:c r="AE115" t="str">
        <x:f>IFERROR(VLOOKUP(G115,Master_Unit!$A$2:$N$78,13,FALSE),"UNIT NOT FOUND")</x:f>
        <x:v>Matched</x:v>
      </x:c>
    </x:row>
    <x:row r="116">
      <x:c r="A116" s="12" t="str">
        <x:v>FU-20260602-00115</x:v>
      </x:c>
      <x:c r="B116" s="12" t="n">
        <x:v>245</x:v>
      </x:c>
      <x:c r="C116" s="14" t="n">
        <x:v>46175</x:v>
      </x:c>
      <x:c r="D116" s="12" t="str">
        <x:v>Selasa</x:v>
      </x:c>
      <x:c r="E116" s="12" t="str">
        <x:v>09:40:00</x:v>
      </x:c>
      <x:c r="F116" s="12" t="str">
        <x:v>All Shift Day</x:v>
      </x:c>
      <x:c r="G116" s="12" t="str">
        <x:v>STRL44G151</x:v>
      </x:c>
      <x:c r="H116" s="12" t="str">
        <x:v>Dump Truck</x:v>
      </x:c>
      <x:c r="I116" s="12" t="str">
        <x:v>DUMP TRUCK RENAULT KRANGE440-P6X4 A/T</x:v>
      </x:c>
      <x:c r="J116" s="16" t="n">
        <x:v>153</x:v>
      </x:c>
      <x:c r="K116" s="16" t="n">
        <x:v>4298</x:v>
      </x:c>
      <x:c r="L116" s="16" t="n">
        <x:v>4309</x:v>
      </x:c>
      <x:c r="M116" s="16" t="n">
        <x:v>11</x:v>
      </x:c>
      <x:c r="N116" s="16" t="n">
        <x:v>13.909090909090908</x:v>
      </x:c>
      <x:c r="O116" s="12" t="str">
        <x:v>FTRL44G004</x:v>
      </x:c>
      <x:c r="P116" s="12" t="str">
        <x:v>STRL44G151</x:v>
      </x:c>
      <x:c r="Q116" s="12" t="str"/>
      <x:c r="R116" s="12" t="str"/>
      <x:c r="S116" s="12" t="str"/>
      <x:c r="T116" s="12" t="str">
        <x:v>ABM</x:v>
      </x:c>
      <x:c r="U116" s="12" t="str"/>
      <x:c r="V116" s="12" t="str"/>
      <x:c r="W116" s="12" t="str"/>
      <x:c r="X116" s="12" t="str">
        <x:v>STRL44</x:v>
      </x:c>
      <x:c r="Y116" s="12" t="str">
        <x:v>BADRI &amp; KAMRAN</x:v>
      </x:c>
      <x:c r="Z116" s="12" t="str"/>
      <x:c r="AA116" s="32" t="n">
        <x:f>IFERROR(VLOOKUP(G116,Master_Unit!$A$2:$N$78,7,FALSE),"")</x:f>
        <x:v>20</x:v>
      </x:c>
      <x:c r="AB116" s="32" t="n">
        <x:f>IF(OR(N116="",AA116=""),"",N116-AA116)</x:f>
        <x:v>-6.090909090909092</x:v>
      </x:c>
      <x:c r="AC116" s="20" t="n">
        <x:f>IF(OR(N116="",AA116="",AA116=0),"",AB116/AA116)</x:f>
        <x:v>-0.30454545454545456</x:v>
      </x:c>
      <x:c r="AD116" t="str">
        <x:f>IF(AA116="","NO STANDARD",IF(AC116&lt;=Config_Status!$B$2,"EFFICIENT",IF(AC116&lt;=Config_Status!$B$3,"NORMAL",IF(AC116&lt;=Config_Status!$B$4,"WARNING","OVER CONSUMPTION"))))</x:f>
        <x:v>EFFICIENT</x:v>
      </x:c>
      <x:c r="AE116" t="str">
        <x:f>IFERROR(VLOOKUP(G116,Master_Unit!$A$2:$N$78,13,FALSE),"UNIT NOT FOUND")</x:f>
        <x:v>Matched</x:v>
      </x:c>
    </x:row>
    <x:row r="117">
      <x:c r="A117" s="12" t="str">
        <x:v>FU-20260602-00116</x:v>
      </x:c>
      <x:c r="B117" s="12" t="n">
        <x:v>246</x:v>
      </x:c>
      <x:c r="C117" s="14" t="n">
        <x:v>46175</x:v>
      </x:c>
      <x:c r="D117" s="12" t="str">
        <x:v>Selasa</x:v>
      </x:c>
      <x:c r="E117" s="12" t="str">
        <x:v>09:46:00</x:v>
      </x:c>
      <x:c r="F117" s="12" t="str">
        <x:v>All Shift Day</x:v>
      </x:c>
      <x:c r="G117" s="12" t="str">
        <x:v>STRL44G142</x:v>
      </x:c>
      <x:c r="H117" s="12" t="str">
        <x:v>Dump Truck</x:v>
      </x:c>
      <x:c r="I117" s="12" t="str">
        <x:v>DUMP TRUCK RENAULT KRANGE440-P6X4 A/T</x:v>
      </x:c>
      <x:c r="J117" s="16" t="n">
        <x:v>111</x:v>
      </x:c>
      <x:c r="K117" s="16" t="n">
        <x:v>3242</x:v>
      </x:c>
      <x:c r="L117" s="16" t="n">
        <x:v>3252</x:v>
      </x:c>
      <x:c r="M117" s="16" t="n">
        <x:v>10</x:v>
      </x:c>
      <x:c r="N117" s="16" t="n">
        <x:v>11.1</x:v>
      </x:c>
      <x:c r="O117" s="12" t="str">
        <x:v>FTRL44G004</x:v>
      </x:c>
      <x:c r="P117" s="12" t="str">
        <x:v>STRL44G142</x:v>
      </x:c>
      <x:c r="Q117" s="12" t="str"/>
      <x:c r="R117" s="12" t="str"/>
      <x:c r="S117" s="12" t="str"/>
      <x:c r="T117" s="12" t="str">
        <x:v>ABM</x:v>
      </x:c>
      <x:c r="U117" s="12" t="str"/>
      <x:c r="V117" s="12" t="str"/>
      <x:c r="W117" s="12" t="str"/>
      <x:c r="X117" s="12" t="str">
        <x:v>STRL44</x:v>
      </x:c>
      <x:c r="Y117" s="12" t="str">
        <x:v>BADRI &amp; KAMRAN</x:v>
      </x:c>
      <x:c r="Z117" s="12" t="str"/>
      <x:c r="AA117" s="32" t="n">
        <x:f>IFERROR(VLOOKUP(G117,Master_Unit!$A$2:$N$78,7,FALSE),"")</x:f>
        <x:v>20</x:v>
      </x:c>
      <x:c r="AB117" s="32" t="n">
        <x:f>IF(OR(N117="",AA117=""),"",N117-AA117)</x:f>
        <x:v>-8.9</x:v>
      </x:c>
      <x:c r="AC117" s="20" t="n">
        <x:f>IF(OR(N117="",AA117="",AA117=0),"",AB117/AA117)</x:f>
        <x:v>-0.445</x:v>
      </x:c>
      <x:c r="AD117" t="str">
        <x:f>IF(AA117="","NO STANDARD",IF(AC117&lt;=Config_Status!$B$2,"EFFICIENT",IF(AC117&lt;=Config_Status!$B$3,"NORMAL",IF(AC117&lt;=Config_Status!$B$4,"WARNING","OVER CONSUMPTION"))))</x:f>
        <x:v>EFFICIENT</x:v>
      </x:c>
      <x:c r="AE117" t="str">
        <x:f>IFERROR(VLOOKUP(G117,Master_Unit!$A$2:$N$78,13,FALSE),"UNIT NOT FOUND")</x:f>
        <x:v>Matched</x:v>
      </x:c>
    </x:row>
    <x:row r="118">
      <x:c r="A118" s="12" t="str">
        <x:v>FU-20260602-00117</x:v>
      </x:c>
      <x:c r="B118" s="12" t="n">
        <x:v>247</x:v>
      </x:c>
      <x:c r="C118" s="14" t="n">
        <x:v>46175</x:v>
      </x:c>
      <x:c r="D118" s="12" t="str">
        <x:v>Selasa</x:v>
      </x:c>
      <x:c r="E118" s="12" t="str">
        <x:v>09:51:00</x:v>
      </x:c>
      <x:c r="F118" s="12" t="str">
        <x:v>All Shift Day</x:v>
      </x:c>
      <x:c r="G118" s="12" t="str">
        <x:v>STRL44G146</x:v>
      </x:c>
      <x:c r="H118" s="12" t="str">
        <x:v>Dump Truck</x:v>
      </x:c>
      <x:c r="I118" s="12" t="str">
        <x:v>DUMP TRUCK RENAULT KRANGE440-P6X4 A/T</x:v>
      </x:c>
      <x:c r="J118" s="16" t="n">
        <x:v>153</x:v>
      </x:c>
      <x:c r="K118" s="16" t="n">
        <x:v>4853</x:v>
      </x:c>
      <x:c r="L118" s="16" t="n">
        <x:v>4862</x:v>
      </x:c>
      <x:c r="M118" s="16" t="n">
        <x:v>9</x:v>
      </x:c>
      <x:c r="N118" s="16" t="n">
        <x:v>17</x:v>
      </x:c>
      <x:c r="O118" s="12" t="str">
        <x:v>FTRL44G004</x:v>
      </x:c>
      <x:c r="P118" s="12" t="str">
        <x:v>STRL44G146</x:v>
      </x:c>
      <x:c r="Q118" s="12" t="str"/>
      <x:c r="R118" s="12" t="str"/>
      <x:c r="S118" s="12" t="str"/>
      <x:c r="T118" s="12" t="str">
        <x:v>ABM</x:v>
      </x:c>
      <x:c r="U118" s="12" t="str"/>
      <x:c r="V118" s="12" t="str"/>
      <x:c r="W118" s="12" t="str"/>
      <x:c r="X118" s="12" t="str">
        <x:v>STRL44</x:v>
      </x:c>
      <x:c r="Y118" s="12" t="str">
        <x:v>BADRI &amp; KAMRAN</x:v>
      </x:c>
      <x:c r="Z118" s="12" t="str"/>
      <x:c r="AA118" s="32" t="n">
        <x:f>IFERROR(VLOOKUP(G118,Master_Unit!$A$2:$N$78,7,FALSE),"")</x:f>
        <x:v>20</x:v>
      </x:c>
      <x:c r="AB118" s="32" t="n">
        <x:f>IF(OR(N118="",AA118=""),"",N118-AA118)</x:f>
        <x:v>-3</x:v>
      </x:c>
      <x:c r="AC118" s="20" t="n">
        <x:f>IF(OR(N118="",AA118="",AA118=0),"",AB118/AA118)</x:f>
        <x:v>-0.15</x:v>
      </x:c>
      <x:c r="AD118" t="str">
        <x:f>IF(AA118="","NO STANDARD",IF(AC118&lt;=Config_Status!$B$2,"EFFICIENT",IF(AC118&lt;=Config_Status!$B$3,"NORMAL",IF(AC118&lt;=Config_Status!$B$4,"WARNING","OVER CONSUMPTION"))))</x:f>
        <x:v>EFFICIENT</x:v>
      </x:c>
      <x:c r="AE118" t="str">
        <x:f>IFERROR(VLOOKUP(G118,Master_Unit!$A$2:$N$78,13,FALSE),"UNIT NOT FOUND")</x:f>
        <x:v>Matched</x:v>
      </x:c>
    </x:row>
    <x:row r="119">
      <x:c r="A119" s="12" t="str">
        <x:v>FU-20260602-00118</x:v>
      </x:c>
      <x:c r="B119" s="12" t="n">
        <x:v>248</x:v>
      </x:c>
      <x:c r="C119" s="14" t="n">
        <x:v>46175</x:v>
      </x:c>
      <x:c r="D119" s="12" t="str">
        <x:v>Selasa</x:v>
      </x:c>
      <x:c r="E119" s="12" t="str">
        <x:v>09:58:00</x:v>
      </x:c>
      <x:c r="F119" s="12" t="str">
        <x:v>All Shift Day</x:v>
      </x:c>
      <x:c r="G119" s="12" t="str">
        <x:v>STRL44G154</x:v>
      </x:c>
      <x:c r="H119" s="12" t="str">
        <x:v>Dump Truck</x:v>
      </x:c>
      <x:c r="I119" s="12" t="str">
        <x:v>DUMP TRUCK RENAULT KRANGE440-P6X4 A/T</x:v>
      </x:c>
      <x:c r="J119" s="16" t="n">
        <x:v>153</x:v>
      </x:c>
      <x:c r="K119" s="16" t="n">
        <x:v>3994</x:v>
      </x:c>
      <x:c r="L119" s="16" t="n">
        <x:v>4003</x:v>
      </x:c>
      <x:c r="M119" s="16" t="n">
        <x:v>9</x:v>
      </x:c>
      <x:c r="N119" s="16" t="n">
        <x:v>17</x:v>
      </x:c>
      <x:c r="O119" s="12" t="str">
        <x:v>FTRL44G004</x:v>
      </x:c>
      <x:c r="P119" s="12" t="str">
        <x:v>STRL44G154</x:v>
      </x:c>
      <x:c r="Q119" s="12" t="str"/>
      <x:c r="R119" s="12" t="str"/>
      <x:c r="S119" s="12" t="str"/>
      <x:c r="T119" s="12" t="str">
        <x:v>ABM</x:v>
      </x:c>
      <x:c r="U119" s="12" t="str"/>
      <x:c r="V119" s="12" t="str"/>
      <x:c r="W119" s="12" t="str"/>
      <x:c r="X119" s="12" t="str">
        <x:v>STRL44</x:v>
      </x:c>
      <x:c r="Y119" s="12" t="str">
        <x:v>BADRI &amp; KAMRAN</x:v>
      </x:c>
      <x:c r="Z119" s="12" t="str"/>
      <x:c r="AA119" s="32" t="n">
        <x:f>IFERROR(VLOOKUP(G119,Master_Unit!$A$2:$N$78,7,FALSE),"")</x:f>
        <x:v>20</x:v>
      </x:c>
      <x:c r="AB119" s="32" t="n">
        <x:f>IF(OR(N119="",AA119=""),"",N119-AA119)</x:f>
        <x:v>-3</x:v>
      </x:c>
      <x:c r="AC119" s="20" t="n">
        <x:f>IF(OR(N119="",AA119="",AA119=0),"",AB119/AA119)</x:f>
        <x:v>-0.15</x:v>
      </x:c>
      <x:c r="AD119" t="str">
        <x:f>IF(AA119="","NO STANDARD",IF(AC119&lt;=Config_Status!$B$2,"EFFICIENT",IF(AC119&lt;=Config_Status!$B$3,"NORMAL",IF(AC119&lt;=Config_Status!$B$4,"WARNING","OVER CONSUMPTION"))))</x:f>
        <x:v>EFFICIENT</x:v>
      </x:c>
      <x:c r="AE119" t="str">
        <x:f>IFERROR(VLOOKUP(G119,Master_Unit!$A$2:$N$78,13,FALSE),"UNIT NOT FOUND")</x:f>
        <x:v>Matched</x:v>
      </x:c>
    </x:row>
    <x:row r="120">
      <x:c r="A120" s="12" t="str">
        <x:v>FU-20260602-00119</x:v>
      </x:c>
      <x:c r="B120" s="12" t="n">
        <x:v>249</x:v>
      </x:c>
      <x:c r="C120" s="14" t="n">
        <x:v>46175</x:v>
      </x:c>
      <x:c r="D120" s="12" t="str">
        <x:v>Selasa</x:v>
      </x:c>
      <x:c r="E120" s="12" t="str">
        <x:v>10:05:00</x:v>
      </x:c>
      <x:c r="F120" s="12" t="str">
        <x:v>All Shift Day</x:v>
      </x:c>
      <x:c r="G120" s="12" t="str">
        <x:v>STRL44G143</x:v>
      </x:c>
      <x:c r="H120" s="12" t="str">
        <x:v>Dump Truck</x:v>
      </x:c>
      <x:c r="I120" s="12" t="str">
        <x:v>DUMP TRUCK RENAULT KRANGE440-P6X4 A/T</x:v>
      </x:c>
      <x:c r="J120" s="16" t="n">
        <x:v>153</x:v>
      </x:c>
      <x:c r="K120" s="16" t="n">
        <x:v>5137</x:v>
      </x:c>
      <x:c r="L120" s="16" t="n">
        <x:v>5147</x:v>
      </x:c>
      <x:c r="M120" s="16" t="n">
        <x:v>10</x:v>
      </x:c>
      <x:c r="N120" s="16" t="n">
        <x:v>15.3</x:v>
      </x:c>
      <x:c r="O120" s="12" t="str">
        <x:v>FTRL44G004</x:v>
      </x:c>
      <x:c r="P120" s="12" t="str">
        <x:v>STRL44G143</x:v>
      </x:c>
      <x:c r="Q120" s="12" t="str"/>
      <x:c r="R120" s="12" t="str"/>
      <x:c r="S120" s="12" t="str"/>
      <x:c r="T120" s="12" t="str">
        <x:v>ABM</x:v>
      </x:c>
      <x:c r="U120" s="12" t="str"/>
      <x:c r="V120" s="12" t="str"/>
      <x:c r="W120" s="12" t="str"/>
      <x:c r="X120" s="12" t="str">
        <x:v>STRL44</x:v>
      </x:c>
      <x:c r="Y120" s="12" t="str">
        <x:v>BADRI &amp; KAMRAN</x:v>
      </x:c>
      <x:c r="Z120" s="12" t="str"/>
      <x:c r="AA120" s="32" t="n">
        <x:f>IFERROR(VLOOKUP(G120,Master_Unit!$A$2:$N$78,7,FALSE),"")</x:f>
        <x:v>20</x:v>
      </x:c>
      <x:c r="AB120" s="32" t="n">
        <x:f>IF(OR(N120="",AA120=""),"",N120-AA120)</x:f>
        <x:v>-4.699999999999999</x:v>
      </x:c>
      <x:c r="AC120" s="20" t="n">
        <x:f>IF(OR(N120="",AA120="",AA120=0),"",AB120/AA120)</x:f>
        <x:v>-0.23499999999999996</x:v>
      </x:c>
      <x:c r="AD120" t="str">
        <x:f>IF(AA120="","NO STANDARD",IF(AC120&lt;=Config_Status!$B$2,"EFFICIENT",IF(AC120&lt;=Config_Status!$B$3,"NORMAL",IF(AC120&lt;=Config_Status!$B$4,"WARNING","OVER CONSUMPTION"))))</x:f>
        <x:v>EFFICIENT</x:v>
      </x:c>
      <x:c r="AE120" t="str">
        <x:f>IFERROR(VLOOKUP(G120,Master_Unit!$A$2:$N$78,13,FALSE),"UNIT NOT FOUND")</x:f>
        <x:v>Matched</x:v>
      </x:c>
    </x:row>
    <x:row r="121">
      <x:c r="A121" s="12" t="str">
        <x:v>FU-20260602-00120</x:v>
      </x:c>
      <x:c r="B121" s="12" t="n">
        <x:v>250</x:v>
      </x:c>
      <x:c r="C121" s="14" t="n">
        <x:v>46175</x:v>
      </x:c>
      <x:c r="D121" s="12" t="str">
        <x:v>Selasa</x:v>
      </x:c>
      <x:c r="E121" s="12" t="str">
        <x:v>10:09:00</x:v>
      </x:c>
      <x:c r="F121" s="12" t="str">
        <x:v>All Shift Day</x:v>
      </x:c>
      <x:c r="G121" s="12" t="str">
        <x:v>STRL44G152</x:v>
      </x:c>
      <x:c r="H121" s="12" t="str">
        <x:v>Dump Truck</x:v>
      </x:c>
      <x:c r="I121" s="12" t="str">
        <x:v>DUMP TRUCK RENAULT KRANGE440-P6X4 A/T</x:v>
      </x:c>
      <x:c r="J121" s="16" t="n">
        <x:v>154</x:v>
      </x:c>
      <x:c r="K121" s="16" t="n">
        <x:v>3602</x:v>
      </x:c>
      <x:c r="L121" s="16" t="n">
        <x:v>3612</x:v>
      </x:c>
      <x:c r="M121" s="16" t="n">
        <x:v>10</x:v>
      </x:c>
      <x:c r="N121" s="16" t="n">
        <x:v>15.4</x:v>
      </x:c>
      <x:c r="O121" s="12" t="str">
        <x:v>FTRL44G004</x:v>
      </x:c>
      <x:c r="P121" s="12" t="str">
        <x:v>STRL44G152</x:v>
      </x:c>
      <x:c r="Q121" s="12" t="str"/>
      <x:c r="R121" s="12" t="str"/>
      <x:c r="S121" s="12" t="str"/>
      <x:c r="T121" s="12" t="str">
        <x:v>ABM</x:v>
      </x:c>
      <x:c r="U121" s="12" t="str"/>
      <x:c r="V121" s="12" t="str"/>
      <x:c r="W121" s="12" t="str"/>
      <x:c r="X121" s="12" t="str">
        <x:v>STRL44</x:v>
      </x:c>
      <x:c r="Y121" s="12" t="str">
        <x:v>BADRI &amp; KAMRAN</x:v>
      </x:c>
      <x:c r="Z121" s="12" t="str"/>
      <x:c r="AA121" s="32" t="n">
        <x:f>IFERROR(VLOOKUP(G121,Master_Unit!$A$2:$N$78,7,FALSE),"")</x:f>
        <x:v>20</x:v>
      </x:c>
      <x:c r="AB121" s="32" t="n">
        <x:f>IF(OR(N121="",AA121=""),"",N121-AA121)</x:f>
        <x:v>-4.6</x:v>
      </x:c>
      <x:c r="AC121" s="20" t="n">
        <x:f>IF(OR(N121="",AA121="",AA121=0),"",AB121/AA121)</x:f>
        <x:v>-0.22999999999999998</x:v>
      </x:c>
      <x:c r="AD121" t="str">
        <x:f>IF(AA121="","NO STANDARD",IF(AC121&lt;=Config_Status!$B$2,"EFFICIENT",IF(AC121&lt;=Config_Status!$B$3,"NORMAL",IF(AC121&lt;=Config_Status!$B$4,"WARNING","OVER CONSUMPTION"))))</x:f>
        <x:v>EFFICIENT</x:v>
      </x:c>
      <x:c r="AE121" t="str">
        <x:f>IFERROR(VLOOKUP(G121,Master_Unit!$A$2:$N$78,13,FALSE),"UNIT NOT FOUND")</x:f>
        <x:v>Matched</x:v>
      </x:c>
    </x:row>
    <x:row r="122">
      <x:c r="A122" s="12" t="str">
        <x:v>FU-20260602-00121</x:v>
      </x:c>
      <x:c r="B122" s="12" t="n">
        <x:v>251</x:v>
      </x:c>
      <x:c r="C122" s="14" t="n">
        <x:v>46175</x:v>
      </x:c>
      <x:c r="D122" s="12" t="str">
        <x:v>Selasa</x:v>
      </x:c>
      <x:c r="E122" s="12" t="str">
        <x:v>10:13:00</x:v>
      </x:c>
      <x:c r="F122" s="12" t="str">
        <x:v>All Shift Day</x:v>
      </x:c>
      <x:c r="G122" s="12" t="str">
        <x:v>STRL44G138</x:v>
      </x:c>
      <x:c r="H122" s="12" t="str">
        <x:v>Dump Truck</x:v>
      </x:c>
      <x:c r="I122" s="12" t="str">
        <x:v>DUMP TRUCK RENAULT KRANGE440-P6X4 A/T</x:v>
      </x:c>
      <x:c r="J122" s="16" t="n">
        <x:v>146</x:v>
      </x:c>
      <x:c r="K122" s="16" t="n">
        <x:v>5209</x:v>
      </x:c>
      <x:c r="L122" s="16" t="n">
        <x:v>5218</x:v>
      </x:c>
      <x:c r="M122" s="16" t="n">
        <x:v>9</x:v>
      </x:c>
      <x:c r="N122" s="16" t="n">
        <x:v>16.22222222222222</x:v>
      </x:c>
      <x:c r="O122" s="12" t="str">
        <x:v>FTRL44G004</x:v>
      </x:c>
      <x:c r="P122" s="12" t="str">
        <x:v>STRL44G138</x:v>
      </x:c>
      <x:c r="Q122" s="12" t="str"/>
      <x:c r="R122" s="12" t="str"/>
      <x:c r="S122" s="12" t="str"/>
      <x:c r="T122" s="12" t="str">
        <x:v>ABM</x:v>
      </x:c>
      <x:c r="U122" s="12" t="str"/>
      <x:c r="V122" s="12" t="str"/>
      <x:c r="W122" s="12" t="str"/>
      <x:c r="X122" s="12" t="str">
        <x:v>STRL44</x:v>
      </x:c>
      <x:c r="Y122" s="12" t="str">
        <x:v>BADRI &amp; KAMRAN</x:v>
      </x:c>
      <x:c r="Z122" s="12" t="str"/>
      <x:c r="AA122" s="32" t="n">
        <x:f>IFERROR(VLOOKUP(G122,Master_Unit!$A$2:$N$78,7,FALSE),"")</x:f>
        <x:v>20</x:v>
      </x:c>
      <x:c r="AB122" s="32" t="n">
        <x:f>IF(OR(N122="",AA122=""),"",N122-AA122)</x:f>
        <x:v>-3.7777777777777786</x:v>
      </x:c>
      <x:c r="AC122" s="20" t="n">
        <x:f>IF(OR(N122="",AA122="",AA122=0),"",AB122/AA122)</x:f>
        <x:v>-0.18888888888888894</x:v>
      </x:c>
      <x:c r="AD122" t="str">
        <x:f>IF(AA122="","NO STANDARD",IF(AC122&lt;=Config_Status!$B$2,"EFFICIENT",IF(AC122&lt;=Config_Status!$B$3,"NORMAL",IF(AC122&lt;=Config_Status!$B$4,"WARNING","OVER CONSUMPTION"))))</x:f>
        <x:v>EFFICIENT</x:v>
      </x:c>
      <x:c r="AE122" t="str">
        <x:f>IFERROR(VLOOKUP(G122,Master_Unit!$A$2:$N$78,13,FALSE),"UNIT NOT FOUND")</x:f>
        <x:v>Matched</x:v>
      </x:c>
    </x:row>
    <x:row r="123">
      <x:c r="A123" s="12" t="str">
        <x:v>FU-20260602-00122</x:v>
      </x:c>
      <x:c r="B123" s="12" t="n">
        <x:v>252</x:v>
      </x:c>
      <x:c r="C123" s="14" t="n">
        <x:v>46175</x:v>
      </x:c>
      <x:c r="D123" s="12" t="str">
        <x:v>Selasa</x:v>
      </x:c>
      <x:c r="E123" s="12" t="str">
        <x:v>10:15:00</x:v>
      </x:c>
      <x:c r="F123" s="12" t="str">
        <x:v>All Shift Day</x:v>
      </x:c>
      <x:c r="G123" s="12" t="str">
        <x:v>LVTH24R034</x:v>
      </x:c>
      <x:c r="H123" s="12" t="str">
        <x:v>Light Vehicle</x:v>
      </x:c>
      <x:c r="I123" s="12" t="str">
        <x:v>LIGHT VEHICLE TOYOTA HILUX</x:v>
      </x:c>
      <x:c r="J123" s="16" t="n">
        <x:v>29</x:v>
      </x:c>
      <x:c r="K123" s="16" t="n">
        <x:v>46946</x:v>
      </x:c>
      <x:c r="L123" s="16" t="n">
        <x:v>47112</x:v>
      </x:c>
      <x:c r="M123" s="16" t="n">
        <x:v>166</x:v>
      </x:c>
      <x:c r="N123" s="16" t="n">
        <x:v>0.1746987951807229</x:v>
      </x:c>
      <x:c r="O123" s="12" t="str">
        <x:v>FTRL44G004</x:v>
      </x:c>
      <x:c r="P123" s="12" t="str">
        <x:v>LVTH24R034</x:v>
      </x:c>
      <x:c r="Q123" s="12" t="str"/>
      <x:c r="R123" s="12" t="str"/>
      <x:c r="S123" s="12" t="str"/>
      <x:c r="T123" s="12" t="str">
        <x:v>ABM</x:v>
      </x:c>
      <x:c r="U123" s="12" t="str"/>
      <x:c r="V123" s="12" t="str"/>
      <x:c r="W123" s="12" t="str"/>
      <x:c r="X123" s="12" t="str">
        <x:v>LVTH24</x:v>
      </x:c>
      <x:c r="Y123" s="12" t="str">
        <x:v>BADRI &amp; KAMRAN</x:v>
      </x:c>
      <x:c r="Z123" s="12" t="str"/>
      <x:c r="AA123" s="32" t="n">
        <x:f>IFERROR(VLOOKUP(G123,Master_Unit!$A$2:$N$78,7,FALSE),"")</x:f>
        <x:v>0.2</x:v>
      </x:c>
      <x:c r="AB123" s="32" t="n">
        <x:f>IF(OR(N123="",AA123=""),"",N123-AA123)</x:f>
        <x:v>-0.025301204819277112</x:v>
      </x:c>
      <x:c r="AC123" s="20" t="n">
        <x:f>IF(OR(N123="",AA123="",AA123=0),"",AB123/AA123)</x:f>
        <x:v>-0.12650602409638556</x:v>
      </x:c>
      <x:c r="AD123" t="str">
        <x:f>IF(AA123="","NO STANDARD",IF(AC123&lt;=Config_Status!$B$2,"EFFICIENT",IF(AC123&lt;=Config_Status!$B$3,"NORMAL",IF(AC123&lt;=Config_Status!$B$4,"WARNING","OVER CONSUMPTION"))))</x:f>
        <x:v>EFFICIENT</x:v>
      </x:c>
      <x:c r="AE123" t="str">
        <x:f>IFERROR(VLOOKUP(G123,Master_Unit!$A$2:$N$78,13,FALSE),"UNIT NOT FOUND")</x:f>
        <x:v>Matched</x:v>
      </x:c>
    </x:row>
    <x:row r="124">
      <x:c r="A124" s="12" t="str">
        <x:v>FU-20260602-00123</x:v>
      </x:c>
      <x:c r="B124" s="12" t="n">
        <x:v>253</x:v>
      </x:c>
      <x:c r="C124" s="14" t="n">
        <x:v>46175</x:v>
      </x:c>
      <x:c r="D124" s="12" t="str">
        <x:v>Selasa</x:v>
      </x:c>
      <x:c r="E124" s="12" t="str">
        <x:v>10:19:00</x:v>
      </x:c>
      <x:c r="F124" s="12" t="str">
        <x:v>All Shift Day</x:v>
      </x:c>
      <x:c r="G124" s="12" t="str">
        <x:v>STRL44G149</x:v>
      </x:c>
      <x:c r="H124" s="12" t="str">
        <x:v>Dump Truck</x:v>
      </x:c>
      <x:c r="I124" s="12" t="str">
        <x:v>DUMP TRUCK RENAULT KRANGE440-P6X4 A/T</x:v>
      </x:c>
      <x:c r="J124" s="16" t="n">
        <x:v>153</x:v>
      </x:c>
      <x:c r="K124" s="16" t="n">
        <x:v>4196</x:v>
      </x:c>
      <x:c r="L124" s="16" t="n">
        <x:v>4208</x:v>
      </x:c>
      <x:c r="M124" s="16" t="n">
        <x:v>12</x:v>
      </x:c>
      <x:c r="N124" s="16" t="n">
        <x:v>12.75</x:v>
      </x:c>
      <x:c r="O124" s="12" t="str">
        <x:v>FTRL44G004</x:v>
      </x:c>
      <x:c r="P124" s="12" t="str">
        <x:v>STRL44G149</x:v>
      </x:c>
      <x:c r="Q124" s="12" t="str"/>
      <x:c r="R124" s="12" t="str"/>
      <x:c r="S124" s="12" t="str"/>
      <x:c r="T124" s="12" t="str">
        <x:v>ABM</x:v>
      </x:c>
      <x:c r="U124" s="12" t="str"/>
      <x:c r="V124" s="12" t="str"/>
      <x:c r="W124" s="12" t="str"/>
      <x:c r="X124" s="12" t="str">
        <x:v>STRL44</x:v>
      </x:c>
      <x:c r="Y124" s="12" t="str">
        <x:v>BADRI &amp; KAMRAN</x:v>
      </x:c>
      <x:c r="Z124" s="12" t="str"/>
      <x:c r="AA124" s="32" t="n">
        <x:f>IFERROR(VLOOKUP(G124,Master_Unit!$A$2:$N$78,7,FALSE),"")</x:f>
        <x:v>20</x:v>
      </x:c>
      <x:c r="AB124" s="32" t="n">
        <x:f>IF(OR(N124="",AA124=""),"",N124-AA124)</x:f>
        <x:v>-7.25</x:v>
      </x:c>
      <x:c r="AC124" s="20" t="n">
        <x:f>IF(OR(N124="",AA124="",AA124=0),"",AB124/AA124)</x:f>
        <x:v>-0.3625</x:v>
      </x:c>
      <x:c r="AD124" t="str">
        <x:f>IF(AA124="","NO STANDARD",IF(AC124&lt;=Config_Status!$B$2,"EFFICIENT",IF(AC124&lt;=Config_Status!$B$3,"NORMAL",IF(AC124&lt;=Config_Status!$B$4,"WARNING","OVER CONSUMPTION"))))</x:f>
        <x:v>EFFICIENT</x:v>
      </x:c>
      <x:c r="AE124" t="str">
        <x:f>IFERROR(VLOOKUP(G124,Master_Unit!$A$2:$N$78,13,FALSE),"UNIT NOT FOUND")</x:f>
        <x:v>Matched</x:v>
      </x:c>
    </x:row>
    <x:row r="125">
      <x:c r="A125" s="12" t="str">
        <x:v>FU-20260602-00124</x:v>
      </x:c>
      <x:c r="B125" s="12" t="n">
        <x:v>254</x:v>
      </x:c>
      <x:c r="C125" s="14" t="n">
        <x:v>46175</x:v>
      </x:c>
      <x:c r="D125" s="12" t="str">
        <x:v>Selasa</x:v>
      </x:c>
      <x:c r="E125" s="12" t="str">
        <x:v>10:27:00</x:v>
      </x:c>
      <x:c r="F125" s="12" t="str">
        <x:v>All Shift Day</x:v>
      </x:c>
      <x:c r="G125" s="12" t="str">
        <x:v>STRL44G157</x:v>
      </x:c>
      <x:c r="H125" s="12" t="str">
        <x:v>Dump Truck</x:v>
      </x:c>
      <x:c r="I125" s="12" t="str">
        <x:v>DUMP TRUCK RENAULT KRANGE440-P6X4 A/T</x:v>
      </x:c>
      <x:c r="J125" s="16" t="n">
        <x:v>153</x:v>
      </x:c>
      <x:c r="K125" s="16" t="n">
        <x:v>3969</x:v>
      </x:c>
      <x:c r="L125" s="16" t="n">
        <x:v>3978</x:v>
      </x:c>
      <x:c r="M125" s="16" t="n">
        <x:v>9</x:v>
      </x:c>
      <x:c r="N125" s="16" t="n">
        <x:v>17</x:v>
      </x:c>
      <x:c r="O125" s="12" t="str">
        <x:v>FTRL44G004</x:v>
      </x:c>
      <x:c r="P125" s="12" t="str">
        <x:v>STRL44G157</x:v>
      </x:c>
      <x:c r="Q125" s="12" t="str"/>
      <x:c r="R125" s="12" t="str"/>
      <x:c r="S125" s="12" t="str"/>
      <x:c r="T125" s="12" t="str">
        <x:v>ABM</x:v>
      </x:c>
      <x:c r="U125" s="12" t="str"/>
      <x:c r="V125" s="12" t="str"/>
      <x:c r="W125" s="12" t="str"/>
      <x:c r="X125" s="12" t="str">
        <x:v>STRL44</x:v>
      </x:c>
      <x:c r="Y125" s="12" t="str">
        <x:v>BADRI &amp; KAMRAN</x:v>
      </x:c>
      <x:c r="Z125" s="12" t="str"/>
      <x:c r="AA125" s="32" t="n">
        <x:f>IFERROR(VLOOKUP(G125,Master_Unit!$A$2:$N$78,7,FALSE),"")</x:f>
        <x:v>20</x:v>
      </x:c>
      <x:c r="AB125" s="32" t="n">
        <x:f>IF(OR(N125="",AA125=""),"",N125-AA125)</x:f>
        <x:v>-3</x:v>
      </x:c>
      <x:c r="AC125" s="20" t="n">
        <x:f>IF(OR(N125="",AA125="",AA125=0),"",AB125/AA125)</x:f>
        <x:v>-0.15</x:v>
      </x:c>
      <x:c r="AD125" t="str">
        <x:f>IF(AA125="","NO STANDARD",IF(AC125&lt;=Config_Status!$B$2,"EFFICIENT",IF(AC125&lt;=Config_Status!$B$3,"NORMAL",IF(AC125&lt;=Config_Status!$B$4,"WARNING","OVER CONSUMPTION"))))</x:f>
        <x:v>EFFICIENT</x:v>
      </x:c>
      <x:c r="AE125" t="str">
        <x:f>IFERROR(VLOOKUP(G125,Master_Unit!$A$2:$N$78,13,FALSE),"UNIT NOT FOUND")</x:f>
        <x:v>Matched</x:v>
      </x:c>
    </x:row>
    <x:row r="126">
      <x:c r="A126" s="12" t="str">
        <x:v>FU-20260602-00125</x:v>
      </x:c>
      <x:c r="B126" s="12" t="n">
        <x:v>255</x:v>
      </x:c>
      <x:c r="C126" s="14" t="n">
        <x:v>46175</x:v>
      </x:c>
      <x:c r="D126" s="12" t="str">
        <x:v>Selasa</x:v>
      </x:c>
      <x:c r="E126" s="12" t="str">
        <x:v>10:30:00</x:v>
      </x:c>
      <x:c r="F126" s="12" t="str">
        <x:v>All Shift Day</x:v>
      </x:c>
      <x:c r="G126" s="12" t="str">
        <x:v>STRL44G153</x:v>
      </x:c>
      <x:c r="H126" s="12" t="str">
        <x:v>Dump Truck</x:v>
      </x:c>
      <x:c r="I126" s="12" t="str">
        <x:v>DUMP TRUCK RENAULT KRANGE440-P6X4 A/T</x:v>
      </x:c>
      <x:c r="J126" s="16" t="n">
        <x:v>153</x:v>
      </x:c>
      <x:c r="K126" s="16" t="n">
        <x:v>3894</x:v>
      </x:c>
      <x:c r="L126" s="16" t="n">
        <x:v>3905</x:v>
      </x:c>
      <x:c r="M126" s="16" t="n">
        <x:v>11</x:v>
      </x:c>
      <x:c r="N126" s="16" t="n">
        <x:v>13.909090909090908</x:v>
      </x:c>
      <x:c r="O126" s="12" t="str">
        <x:v>FTRL44G004</x:v>
      </x:c>
      <x:c r="P126" s="12" t="str">
        <x:v>STRL44G153</x:v>
      </x:c>
      <x:c r="Q126" s="12" t="str"/>
      <x:c r="R126" s="12" t="str"/>
      <x:c r="S126" s="12" t="str"/>
      <x:c r="T126" s="12" t="str">
        <x:v>ABM</x:v>
      </x:c>
      <x:c r="U126" s="12" t="str"/>
      <x:c r="V126" s="12" t="str"/>
      <x:c r="W126" s="12" t="str"/>
      <x:c r="X126" s="12" t="str">
        <x:v>STRL44</x:v>
      </x:c>
      <x:c r="Y126" s="12" t="str">
        <x:v>BADRI &amp; KAMRAN</x:v>
      </x:c>
      <x:c r="Z126" s="12" t="str"/>
      <x:c r="AA126" s="32" t="n">
        <x:f>IFERROR(VLOOKUP(G126,Master_Unit!$A$2:$N$78,7,FALSE),"")</x:f>
        <x:v>20</x:v>
      </x:c>
      <x:c r="AB126" s="32" t="n">
        <x:f>IF(OR(N126="",AA126=""),"",N126-AA126)</x:f>
        <x:v>-6.090909090909092</x:v>
      </x:c>
      <x:c r="AC126" s="20" t="n">
        <x:f>IF(OR(N126="",AA126="",AA126=0),"",AB126/AA126)</x:f>
        <x:v>-0.30454545454545456</x:v>
      </x:c>
      <x:c r="AD126" t="str">
        <x:f>IF(AA126="","NO STANDARD",IF(AC126&lt;=Config_Status!$B$2,"EFFICIENT",IF(AC126&lt;=Config_Status!$B$3,"NORMAL",IF(AC126&lt;=Config_Status!$B$4,"WARNING","OVER CONSUMPTION"))))</x:f>
        <x:v>EFFICIENT</x:v>
      </x:c>
      <x:c r="AE126" t="str">
        <x:f>IFERROR(VLOOKUP(G126,Master_Unit!$A$2:$N$78,13,FALSE),"UNIT NOT FOUND")</x:f>
        <x:v>Matched</x:v>
      </x:c>
    </x:row>
    <x:row r="127">
      <x:c r="A127" s="12" t="str">
        <x:v>FU-20260602-00126</x:v>
      </x:c>
      <x:c r="B127" s="12" t="n">
        <x:v>256</x:v>
      </x:c>
      <x:c r="C127" s="14" t="n">
        <x:v>46175</x:v>
      </x:c>
      <x:c r="D127" s="12" t="str">
        <x:v>Selasa</x:v>
      </x:c>
      <x:c r="E127" s="12" t="str">
        <x:v>10:34:00</x:v>
      </x:c>
      <x:c r="F127" s="12" t="str">
        <x:v>All Shift Day</x:v>
      </x:c>
      <x:c r="G127" s="12" t="str">
        <x:v>STRL44G144</x:v>
      </x:c>
      <x:c r="H127" s="12" t="str">
        <x:v>Dump Truck</x:v>
      </x:c>
      <x:c r="I127" s="12" t="str">
        <x:v>DUMP TRUCK RENAULT KRANGE440-P6X4 A/T</x:v>
      </x:c>
      <x:c r="J127" s="16" t="n">
        <x:v>153</x:v>
      </x:c>
      <x:c r="K127" s="16" t="n">
        <x:v>1441</x:v>
      </x:c>
      <x:c r="L127" s="16" t="n">
        <x:v>1451</x:v>
      </x:c>
      <x:c r="M127" s="16" t="n">
        <x:v>10</x:v>
      </x:c>
      <x:c r="N127" s="16" t="n">
        <x:v>15.3</x:v>
      </x:c>
      <x:c r="O127" s="12" t="str">
        <x:v>FTRL44G004</x:v>
      </x:c>
      <x:c r="P127" s="12" t="str">
        <x:v>STRL44G144</x:v>
      </x:c>
      <x:c r="Q127" s="12" t="str"/>
      <x:c r="R127" s="12" t="str"/>
      <x:c r="S127" s="12" t="str"/>
      <x:c r="T127" s="12" t="str">
        <x:v>ABM</x:v>
      </x:c>
      <x:c r="U127" s="12" t="str"/>
      <x:c r="V127" s="12" t="str"/>
      <x:c r="W127" s="12" t="str"/>
      <x:c r="X127" s="12" t="str">
        <x:v>STRL44</x:v>
      </x:c>
      <x:c r="Y127" s="12" t="str">
        <x:v>BADRI &amp; KAMRAN</x:v>
      </x:c>
      <x:c r="Z127" s="12" t="str"/>
      <x:c r="AA127" s="32" t="n">
        <x:f>IFERROR(VLOOKUP(G127,Master_Unit!$A$2:$N$78,7,FALSE),"")</x:f>
        <x:v>20</x:v>
      </x:c>
      <x:c r="AB127" s="32" t="n">
        <x:f>IF(OR(N127="",AA127=""),"",N127-AA127)</x:f>
        <x:v>-4.699999999999999</x:v>
      </x:c>
      <x:c r="AC127" s="20" t="n">
        <x:f>IF(OR(N127="",AA127="",AA127=0),"",AB127/AA127)</x:f>
        <x:v>-0.23499999999999996</x:v>
      </x:c>
      <x:c r="AD127" t="str">
        <x:f>IF(AA127="","NO STANDARD",IF(AC127&lt;=Config_Status!$B$2,"EFFICIENT",IF(AC127&lt;=Config_Status!$B$3,"NORMAL",IF(AC127&lt;=Config_Status!$B$4,"WARNING","OVER CONSUMPTION"))))</x:f>
        <x:v>EFFICIENT</x:v>
      </x:c>
      <x:c r="AE127" t="str">
        <x:f>IFERROR(VLOOKUP(G127,Master_Unit!$A$2:$N$78,13,FALSE),"UNIT NOT FOUND")</x:f>
        <x:v>Matched</x:v>
      </x:c>
    </x:row>
    <x:row r="128">
      <x:c r="A128" s="12" t="str">
        <x:v>FU-20260602-00127</x:v>
      </x:c>
      <x:c r="B128" s="12" t="n">
        <x:v>257</x:v>
      </x:c>
      <x:c r="C128" s="14" t="n">
        <x:v>46175</x:v>
      </x:c>
      <x:c r="D128" s="12" t="str">
        <x:v>Selasa</x:v>
      </x:c>
      <x:c r="E128" s="12" t="str">
        <x:v>11:59:00</x:v>
      </x:c>
      <x:c r="F128" s="12" t="str">
        <x:v>All Shift Day</x:v>
      </x:c>
      <x:c r="G128" s="12" t="str">
        <x:v>EXVV21G043</x:v>
      </x:c>
      <x:c r="H128" s="12" t="str">
        <x:v>Excavator</x:v>
      </x:c>
      <x:c r="I128" s="12" t="str">
        <x:v>EXCAVATOR VOLVO EC210D</x:v>
      </x:c>
      <x:c r="J128" s="16" t="n">
        <x:v>132</x:v>
      </x:c>
      <x:c r="K128" s="16" t="n">
        <x:v>5280</x:v>
      </x:c>
      <x:c r="L128" s="16" t="n">
        <x:v>5287.8</x:v>
      </x:c>
      <x:c r="M128" s="16" t="n">
        <x:v>7.800000000000182</x:v>
      </x:c>
      <x:c r="N128" s="16" t="n">
        <x:v>16.92307692307653</x:v>
      </x:c>
      <x:c r="O128" s="12" t="str">
        <x:v>FTRL44G004</x:v>
      </x:c>
      <x:c r="P128" s="12" t="str">
        <x:v>EXVV21G043</x:v>
      </x:c>
      <x:c r="Q128" s="12" t="str"/>
      <x:c r="R128" s="12" t="str"/>
      <x:c r="S128" s="12" t="str"/>
      <x:c r="T128" s="12" t="str">
        <x:v>ABM</x:v>
      </x:c>
      <x:c r="U128" s="12" t="str"/>
      <x:c r="V128" s="12" t="str"/>
      <x:c r="W128" s="12" t="str"/>
      <x:c r="X128" s="12" t="str">
        <x:v>EXVV21</x:v>
      </x:c>
      <x:c r="Y128" s="12" t="str">
        <x:v>BADRI &amp; KAMRAN</x:v>
      </x:c>
      <x:c r="Z128" s="12" t="str"/>
      <x:c r="AA128" s="32" t="n">
        <x:f>IFERROR(VLOOKUP(G128,Master_Unit!$A$2:$N$78,7,FALSE),"")</x:f>
        <x:v>20</x:v>
      </x:c>
      <x:c r="AB128" s="32" t="n">
        <x:f>IF(OR(N128="",AA128=""),"",N128-AA128)</x:f>
        <x:v>-3.076923076923471</x:v>
      </x:c>
      <x:c r="AC128" s="20" t="n">
        <x:f>IF(OR(N128="",AA128="",AA128=0),"",AB128/AA128)</x:f>
        <x:v>-0.15384615384617356</x:v>
      </x:c>
      <x:c r="AD128" t="str">
        <x:f>IF(AA128="","NO STANDARD",IF(AC128&lt;=Config_Status!$B$2,"EFFICIENT",IF(AC128&lt;=Config_Status!$B$3,"NORMAL",IF(AC128&lt;=Config_Status!$B$4,"WARNING","OVER CONSUMPTION"))))</x:f>
        <x:v>EFFICIENT</x:v>
      </x:c>
      <x:c r="AE128" t="str">
        <x:f>IFERROR(VLOOKUP(G128,Master_Unit!$A$2:$N$78,13,FALSE),"UNIT NOT FOUND")</x:f>
        <x:v>Matched</x:v>
      </x:c>
    </x:row>
    <x:row r="129">
      <x:c r="A129" s="12" t="str">
        <x:v>FU-20260602-00128</x:v>
      </x:c>
      <x:c r="B129" s="12" t="n">
        <x:v>258</x:v>
      </x:c>
      <x:c r="C129" s="14" t="n">
        <x:v>46175</x:v>
      </x:c>
      <x:c r="D129" s="12" t="str">
        <x:v>Selasa</x:v>
      </x:c>
      <x:c r="E129" s="12" t="str">
        <x:v>12:04:00</x:v>
      </x:c>
      <x:c r="F129" s="12" t="str">
        <x:v>All Shift Day</x:v>
      </x:c>
      <x:c r="G129" s="12" t="str">
        <x:v>BDKM85G039</x:v>
      </x:c>
      <x:c r="H129" s="12" t="str">
        <x:v>Dozer</x:v>
      </x:c>
      <x:c r="I129" s="12" t="str">
        <x:v>BULDOZER KOMATSU D85ESS-2</x:v>
      </x:c>
      <x:c r="J129" s="16" t="n">
        <x:v>150</x:v>
      </x:c>
      <x:c r="K129" s="16" t="n">
        <x:v>7000.9</x:v>
      </x:c>
      <x:c r="L129" s="16" t="n">
        <x:v>7022</x:v>
      </x:c>
      <x:c r="M129" s="16" t="n">
        <x:v>21.100000000000364</x:v>
      </x:c>
      <x:c r="N129" s="16" t="n">
        <x:v>7.1090047393363704</x:v>
      </x:c>
      <x:c r="O129" s="12" t="str">
        <x:v>FTRL44G004</x:v>
      </x:c>
      <x:c r="P129" s="12" t="str">
        <x:v>BDKM85G039</x:v>
      </x:c>
      <x:c r="Q129" s="12" t="str"/>
      <x:c r="R129" s="12" t="str"/>
      <x:c r="S129" s="12" t="str"/>
      <x:c r="T129" s="12" t="str">
        <x:v>ABM</x:v>
      </x:c>
      <x:c r="U129" s="12" t="str"/>
      <x:c r="V129" s="12" t="str"/>
      <x:c r="W129" s="12" t="str"/>
      <x:c r="X129" s="12" t="str">
        <x:v>BDKM85</x:v>
      </x:c>
      <x:c r="Y129" s="12" t="str">
        <x:v>BADRI &amp; KAMRAN</x:v>
      </x:c>
      <x:c r="Z129" s="12" t="str"/>
      <x:c r="AA129" s="32" t="n">
        <x:f>IFERROR(VLOOKUP(G129,Master_Unit!$A$2:$N$78,7,FALSE),"")</x:f>
        <x:v>30</x:v>
      </x:c>
      <x:c r="AB129" s="32" t="n">
        <x:f>IF(OR(N129="",AA129=""),"",N129-AA129)</x:f>
        <x:v>-22.89099526066363</x:v>
      </x:c>
      <x:c r="AC129" s="20" t="n">
        <x:f>IF(OR(N129="",AA129="",AA129=0),"",AB129/AA129)</x:f>
        <x:v>-0.7630331753554543</x:v>
      </x:c>
      <x:c r="AD129" t="str">
        <x:f>IF(AA129="","NO STANDARD",IF(AC129&lt;=Config_Status!$B$2,"EFFICIENT",IF(AC129&lt;=Config_Status!$B$3,"NORMAL",IF(AC129&lt;=Config_Status!$B$4,"WARNING","OVER CONSUMPTION"))))</x:f>
        <x:v>EFFICIENT</x:v>
      </x:c>
      <x:c r="AE129" t="str">
        <x:f>IFERROR(VLOOKUP(G129,Master_Unit!$A$2:$N$78,13,FALSE),"UNIT NOT FOUND")</x:f>
        <x:v>Matched</x:v>
      </x:c>
    </x:row>
    <x:row r="130">
      <x:c r="A130" s="12" t="str">
        <x:v>FU-20260602-00129</x:v>
      </x:c>
      <x:c r="B130" s="12" t="n">
        <x:v>259</x:v>
      </x:c>
      <x:c r="C130" s="14" t="n">
        <x:v>46175</x:v>
      </x:c>
      <x:c r="D130" s="12" t="str">
        <x:v>Selasa</x:v>
      </x:c>
      <x:c r="E130" s="12" t="str">
        <x:v>12:10:00</x:v>
      </x:c>
      <x:c r="F130" s="12" t="str">
        <x:v>All Shift Day</x:v>
      </x:c>
      <x:c r="G130" s="12" t="str">
        <x:v>EXVV35G005</x:v>
      </x:c>
      <x:c r="H130" s="12" t="str">
        <x:v>Excavator</x:v>
      </x:c>
      <x:c r="I130" s="12" t="str">
        <x:v>EXCAVATOR VOLVO EC350D</x:v>
      </x:c>
      <x:c r="J130" s="16" t="n">
        <x:v>213</x:v>
      </x:c>
      <x:c r="K130" s="16" t="n">
        <x:v>5088.7</x:v>
      </x:c>
      <x:c r="L130" s="16" t="n">
        <x:v>5098.7</x:v>
      </x:c>
      <x:c r="M130" s="16" t="n">
        <x:v>10</x:v>
      </x:c>
      <x:c r="N130" s="16" t="n">
        <x:v>21.3</x:v>
      </x:c>
      <x:c r="O130" s="12" t="str">
        <x:v>FTRL44G004</x:v>
      </x:c>
      <x:c r="P130" s="12" t="str">
        <x:v>EXVV35G005</x:v>
      </x:c>
      <x:c r="Q130" s="12" t="str"/>
      <x:c r="R130" s="12" t="str"/>
      <x:c r="S130" s="12" t="str"/>
      <x:c r="T130" s="12" t="str">
        <x:v>ABM</x:v>
      </x:c>
      <x:c r="U130" s="12" t="str"/>
      <x:c r="V130" s="12" t="str"/>
      <x:c r="W130" s="12" t="str"/>
      <x:c r="X130" s="12" t="str">
        <x:v>EXVV35</x:v>
      </x:c>
      <x:c r="Y130" s="12" t="str">
        <x:v>BADRI &amp; KAMRAN</x:v>
      </x:c>
      <x:c r="Z130" s="12" t="str"/>
      <x:c r="AA130" s="32" t="n">
        <x:f>IFERROR(VLOOKUP(G130,Master_Unit!$A$2:$N$78,7,FALSE),"")</x:f>
        <x:v>25</x:v>
      </x:c>
      <x:c r="AB130" s="32" t="n">
        <x:f>IF(OR(N130="",AA130=""),"",N130-AA130)</x:f>
        <x:v>-3.6999999999999993</x:v>
      </x:c>
      <x:c r="AC130" s="20" t="n">
        <x:f>IF(OR(N130="",AA130="",AA130=0),"",AB130/AA130)</x:f>
        <x:v>-0.14799999999999996</x:v>
      </x:c>
      <x:c r="AD130" t="str">
        <x:f>IF(AA130="","NO STANDARD",IF(AC130&lt;=Config_Status!$B$2,"EFFICIENT",IF(AC130&lt;=Config_Status!$B$3,"NORMAL",IF(AC130&lt;=Config_Status!$B$4,"WARNING","OVER CONSUMPTION"))))</x:f>
        <x:v>EFFICIENT</x:v>
      </x:c>
      <x:c r="AE130" t="str">
        <x:f>IFERROR(VLOOKUP(G130,Master_Unit!$A$2:$N$78,13,FALSE),"UNIT NOT FOUND")</x:f>
        <x:v>Matched</x:v>
      </x:c>
    </x:row>
    <x:row r="131">
      <x:c r="A131" s="12" t="str">
        <x:v>FU-20260602-00130</x:v>
      </x:c>
      <x:c r="B131" s="12" t="n">
        <x:v>260</x:v>
      </x:c>
      <x:c r="C131" s="14" t="n">
        <x:v>46175</x:v>
      </x:c>
      <x:c r="D131" s="12" t="str">
        <x:v>Selasa</x:v>
      </x:c>
      <x:c r="E131" s="12" t="str">
        <x:v>12:17:00</x:v>
      </x:c>
      <x:c r="F131" s="12" t="str">
        <x:v>All Shift Day</x:v>
      </x:c>
      <x:c r="G131" s="12" t="str">
        <x:v>GSHT10G001</x:v>
      </x:c>
      <x:c r="H131" s="12" t="str">
        <x:v>Genset</x:v>
      </x:c>
      <x:c r="I131" s="12" t="str">
        <x:v>GENSET HARTECH HT-10</x:v>
      </x:c>
      <x:c r="J131" s="16" t="n">
        <x:v>13</x:v>
      </x:c>
      <x:c r="K131" s="16" t="n">
        <x:v>5873.5</x:v>
      </x:c>
      <x:c r="L131" s="16" t="n">
        <x:v>5884.35</x:v>
      </x:c>
      <x:c r="M131" s="16" t="n">
        <x:v>10.850000000000364</x:v>
      </x:c>
      <x:c r="N131" s="16" t="n">
        <x:v>1.1981566820276095</x:v>
      </x:c>
      <x:c r="O131" s="12" t="str">
        <x:v>FTRL44G004</x:v>
      </x:c>
      <x:c r="P131" s="12" t="str">
        <x:v>GSHT10G001</x:v>
      </x:c>
      <x:c r="Q131" s="12" t="str"/>
      <x:c r="R131" s="12" t="str"/>
      <x:c r="S131" s="12" t="str"/>
      <x:c r="T131" s="12" t="str">
        <x:v>ABM</x:v>
      </x:c>
      <x:c r="U131" s="12" t="str"/>
      <x:c r="V131" s="12" t="str"/>
      <x:c r="W131" s="12" t="str"/>
      <x:c r="X131" s="12" t="str">
        <x:v>GSHT10</x:v>
      </x:c>
      <x:c r="Y131" s="12" t="str">
        <x:v>BADRI &amp; KAMRAN</x:v>
      </x:c>
      <x:c r="Z131" s="12" t="str"/>
      <x:c r="AA131" s="32" t="n">
        <x:f>IFERROR(VLOOKUP(G131,Master_Unit!$A$2:$N$78,7,FALSE),"")</x:f>
        <x:v>3</x:v>
      </x:c>
      <x:c r="AB131" s="32" t="n">
        <x:f>IF(OR(N131="",AA131=""),"",N131-AA131)</x:f>
        <x:v>-1.8018433179723905</x:v>
      </x:c>
      <x:c r="AC131" s="20" t="n">
        <x:f>IF(OR(N131="",AA131="",AA131=0),"",AB131/AA131)</x:f>
        <x:v>-0.6006144393241302</x:v>
      </x:c>
      <x:c r="AD131" t="str">
        <x:f>IF(AA131="","NO STANDARD",IF(AC131&lt;=Config_Status!$B$2,"EFFICIENT",IF(AC131&lt;=Config_Status!$B$3,"NORMAL",IF(AC131&lt;=Config_Status!$B$4,"WARNING","OVER CONSUMPTION"))))</x:f>
        <x:v>EFFICIENT</x:v>
      </x:c>
      <x:c r="AE131" t="str">
        <x:f>IFERROR(VLOOKUP(G131,Master_Unit!$A$2:$N$78,13,FALSE),"UNIT NOT FOUND")</x:f>
        <x:v>Matched</x:v>
      </x:c>
    </x:row>
    <x:row r="132">
      <x:c r="A132" s="12" t="str">
        <x:v>FU-20260602-00131</x:v>
      </x:c>
      <x:c r="B132" s="12" t="n">
        <x:v>261</x:v>
      </x:c>
      <x:c r="C132" s="14" t="n">
        <x:v>46175</x:v>
      </x:c>
      <x:c r="D132" s="12" t="str">
        <x:v>Selasa</x:v>
      </x:c>
      <x:c r="E132" s="12" t="str">
        <x:v>13:30:00</x:v>
      </x:c>
      <x:c r="F132" s="12" t="str">
        <x:v>All Shift Day</x:v>
      </x:c>
      <x:c r="G132" s="12" t="str">
        <x:v>EXVV35G007</x:v>
      </x:c>
      <x:c r="H132" s="12" t="str">
        <x:v>Excavator</x:v>
      </x:c>
      <x:c r="I132" s="12" t="str">
        <x:v>EXCAVATOR VOLVO EC350D</x:v>
      </x:c>
      <x:c r="J132" s="16" t="n">
        <x:v>237</x:v>
      </x:c>
      <x:c r="K132" s="16" t="n">
        <x:v>527.6</x:v>
      </x:c>
      <x:c r="L132" s="16" t="n">
        <x:v>535</x:v>
      </x:c>
      <x:c r="M132" s="16" t="n">
        <x:v>7.399999999999977</x:v>
      </x:c>
      <x:c r="N132" s="16" t="n">
        <x:v>32.027027027027124</x:v>
      </x:c>
      <x:c r="O132" s="12" t="str">
        <x:v>FTRL44G004</x:v>
      </x:c>
      <x:c r="P132" s="12" t="str">
        <x:v>EXVV35G007</x:v>
      </x:c>
      <x:c r="Q132" s="12" t="str"/>
      <x:c r="R132" s="12" t="str"/>
      <x:c r="S132" s="12" t="str"/>
      <x:c r="T132" s="12" t="str">
        <x:v>ABM</x:v>
      </x:c>
      <x:c r="U132" s="12" t="str"/>
      <x:c r="V132" s="12" t="str"/>
      <x:c r="W132" s="12" t="str"/>
      <x:c r="X132" s="12" t="str">
        <x:v>EXVV35</x:v>
      </x:c>
      <x:c r="Y132" s="12" t="str">
        <x:v>BADRI &amp; KAMRAN</x:v>
      </x:c>
      <x:c r="Z132" s="12" t="str"/>
      <x:c r="AA132" s="32" t="n">
        <x:f>IFERROR(VLOOKUP(G132,Master_Unit!$A$2:$N$78,7,FALSE),"")</x:f>
        <x:v>25</x:v>
      </x:c>
      <x:c r="AB132" s="32" t="n">
        <x:f>IF(OR(N132="",AA132=""),"",N132-AA132)</x:f>
        <x:v>7.027027027027124</x:v>
      </x:c>
      <x:c r="AC132" s="20" t="n">
        <x:f>IF(OR(N132="",AA132="",AA132=0),"",AB132/AA132)</x:f>
        <x:v>0.281081081081085</x:v>
      </x:c>
      <x:c r="AD132" t="str">
        <x:f>IF(AA132="","NO STANDARD",IF(AC132&lt;=Config_Status!$B$2,"EFFICIENT",IF(AC132&lt;=Config_Status!$B$3,"NORMAL",IF(AC132&lt;=Config_Status!$B$4,"WARNING","OVER CONSUMPTION"))))</x:f>
        <x:v>OVER CONSUMPTION</x:v>
      </x:c>
      <x:c r="AE132" t="str">
        <x:f>IFERROR(VLOOKUP(G132,Master_Unit!$A$2:$N$78,13,FALSE),"UNIT NOT FOUND")</x:f>
        <x:v>Matched</x:v>
      </x:c>
    </x:row>
    <x:row r="133">
      <x:c r="A133" s="12" t="str">
        <x:v>FU-20260602-00132</x:v>
      </x:c>
      <x:c r="B133" s="12" t="n">
        <x:v>262</x:v>
      </x:c>
      <x:c r="C133" s="14" t="n">
        <x:v>46175</x:v>
      </x:c>
      <x:c r="D133" s="12" t="str">
        <x:v>Selasa</x:v>
      </x:c>
      <x:c r="E133" s="12" t="str">
        <x:v>18:00:00</x:v>
      </x:c>
      <x:c r="F133" s="12" t="str">
        <x:v>All Shift Night</x:v>
      </x:c>
      <x:c r="G133" s="12" t="str">
        <x:v>LVTH24R052</x:v>
      </x:c>
      <x:c r="H133" s="12" t="str">
        <x:v>Light Vehicle</x:v>
      </x:c>
      <x:c r="I133" s="12" t="str">
        <x:v>LIGHT VEHICLE TOYOTA HILUX</x:v>
      </x:c>
      <x:c r="J133" s="16" t="n">
        <x:v>22</x:v>
      </x:c>
      <x:c r="K133" s="16" t="n">
        <x:v>12735</x:v>
      </x:c>
      <x:c r="L133" s="16" t="n">
        <x:v>12980</x:v>
      </x:c>
      <x:c r="M133" s="16" t="n">
        <x:v>245</x:v>
      </x:c>
      <x:c r="N133" s="16" t="n">
        <x:v>0.08979591836734693</x:v>
      </x:c>
      <x:c r="O133" s="12" t="str">
        <x:v>FTRL44G005</x:v>
      </x:c>
      <x:c r="P133" s="12" t="str">
        <x:v>LVTH24R052</x:v>
      </x:c>
      <x:c r="Q133" s="12" t="str"/>
      <x:c r="R133" s="12" t="str"/>
      <x:c r="S133" s="12" t="str"/>
      <x:c r="T133" s="12" t="str">
        <x:v>ABM</x:v>
      </x:c>
      <x:c r="U133" s="12" t="str"/>
      <x:c r="V133" s="12" t="str"/>
      <x:c r="W133" s="12" t="str"/>
      <x:c r="X133" s="12" t="str">
        <x:v>LVTH24</x:v>
      </x:c>
      <x:c r="Y133" s="12" t="str">
        <x:v>RAFIF &amp; RUSLAN</x:v>
      </x:c>
      <x:c r="Z133" s="12" t="str"/>
      <x:c r="AA133" s="32" t="n">
        <x:f>IFERROR(VLOOKUP(G133,Master_Unit!$A$2:$N$78,7,FALSE),"")</x:f>
        <x:v>0.2</x:v>
      </x:c>
      <x:c r="AB133" s="32" t="n">
        <x:f>IF(OR(N133="",AA133=""),"",N133-AA133)</x:f>
        <x:v>-0.11020408163265308</x:v>
      </x:c>
      <x:c r="AC133" s="20" t="n">
        <x:f>IF(OR(N133="",AA133="",AA133=0),"",AB133/AA133)</x:f>
        <x:v>-0.5510204081632654</x:v>
      </x:c>
      <x:c r="AD133" t="str">
        <x:f>IF(AA133="","NO STANDARD",IF(AC133&lt;=Config_Status!$B$2,"EFFICIENT",IF(AC133&lt;=Config_Status!$B$3,"NORMAL",IF(AC133&lt;=Config_Status!$B$4,"WARNING","OVER CONSUMPTION"))))</x:f>
        <x:v>EFFICIENT</x:v>
      </x:c>
      <x:c r="AE133" t="str">
        <x:f>IFERROR(VLOOKUP(G133,Master_Unit!$A$2:$N$78,13,FALSE),"UNIT NOT FOUND")</x:f>
        <x:v>Matched</x:v>
      </x:c>
    </x:row>
    <x:row r="134">
      <x:c r="A134" s="12" t="str">
        <x:v>FU-20260602-00133</x:v>
      </x:c>
      <x:c r="B134" s="12" t="n">
        <x:v>263</x:v>
      </x:c>
      <x:c r="C134" s="14" t="n">
        <x:v>46175</x:v>
      </x:c>
      <x:c r="D134" s="12" t="str">
        <x:v>Selasa</x:v>
      </x:c>
      <x:c r="E134" s="12" t="str">
        <x:v>19:00:00</x:v>
      </x:c>
      <x:c r="F134" s="12" t="str">
        <x:v>All Shift Night</x:v>
      </x:c>
      <x:c r="G134" s="12" t="str">
        <x:v>EXVV21G038</x:v>
      </x:c>
      <x:c r="H134" s="12" t="str">
        <x:v>Excavator</x:v>
      </x:c>
      <x:c r="I134" s="12" t="str">
        <x:v>EXCAVATOR VOLVO EC210D</x:v>
      </x:c>
      <x:c r="J134" s="16" t="n">
        <x:v>149</x:v>
      </x:c>
      <x:c r="K134" s="16" t="n">
        <x:v>4100.9</x:v>
      </x:c>
      <x:c r="L134" s="16" t="n">
        <x:v>4109.4</x:v>
      </x:c>
      <x:c r="M134" s="16" t="n">
        <x:v>8.5</x:v>
      </x:c>
      <x:c r="N134" s="16" t="n">
        <x:v>17.529411764705884</x:v>
      </x:c>
      <x:c r="O134" s="12" t="str">
        <x:v>FTRL44G005</x:v>
      </x:c>
      <x:c r="P134" s="12" t="str">
        <x:v>EXVV21G038</x:v>
      </x:c>
      <x:c r="Q134" s="12" t="str"/>
      <x:c r="R134" s="12" t="str"/>
      <x:c r="S134" s="12" t="str"/>
      <x:c r="T134" s="12" t="str">
        <x:v>ABM</x:v>
      </x:c>
      <x:c r="U134" s="12" t="str"/>
      <x:c r="V134" s="12" t="str"/>
      <x:c r="W134" s="12" t="str"/>
      <x:c r="X134" s="12" t="str">
        <x:v>EXVV21</x:v>
      </x:c>
      <x:c r="Y134" s="12" t="str">
        <x:v>RAFIF &amp; RUSLAN</x:v>
      </x:c>
      <x:c r="Z134" s="12" t="str"/>
      <x:c r="AA134" s="32" t="n">
        <x:f>IFERROR(VLOOKUP(G134,Master_Unit!$A$2:$N$78,7,FALSE),"")</x:f>
        <x:v>20</x:v>
      </x:c>
      <x:c r="AB134" s="32" t="n">
        <x:f>IF(OR(N134="",AA134=""),"",N134-AA134)</x:f>
        <x:v>-2.470588235294116</x:v>
      </x:c>
      <x:c r="AC134" s="20" t="n">
        <x:f>IF(OR(N134="",AA134="",AA134=0),"",AB134/AA134)</x:f>
        <x:v>-0.1235294117647058</x:v>
      </x:c>
      <x:c r="AD134" t="str">
        <x:f>IF(AA134="","NO STANDARD",IF(AC134&lt;=Config_Status!$B$2,"EFFICIENT",IF(AC134&lt;=Config_Status!$B$3,"NORMAL",IF(AC134&lt;=Config_Status!$B$4,"WARNING","OVER CONSUMPTION"))))</x:f>
        <x:v>EFFICIENT</x:v>
      </x:c>
      <x:c r="AE134" t="str">
        <x:f>IFERROR(VLOOKUP(G134,Master_Unit!$A$2:$N$78,13,FALSE),"UNIT NOT FOUND")</x:f>
        <x:v>Matched</x:v>
      </x:c>
    </x:row>
    <x:row r="135">
      <x:c r="A135" s="12" t="str">
        <x:v>FU-20260602-00134</x:v>
      </x:c>
      <x:c r="B135" s="12" t="n">
        <x:v>264</x:v>
      </x:c>
      <x:c r="C135" s="14" t="n">
        <x:v>46175</x:v>
      </x:c>
      <x:c r="D135" s="12" t="str">
        <x:v>Selasa</x:v>
      </x:c>
      <x:c r="E135" s="12" t="str">
        <x:v>19:24:00</x:v>
      </x:c>
      <x:c r="F135" s="12" t="str">
        <x:v>All Shift Night</x:v>
      </x:c>
      <x:c r="G135" s="12" t="str">
        <x:v>STRL44G157</x:v>
      </x:c>
      <x:c r="H135" s="12" t="str">
        <x:v>Dump Truck</x:v>
      </x:c>
      <x:c r="I135" s="12" t="str">
        <x:v>DUMP TRUCK RENAULT KRANGE440-P6X4 A/T</x:v>
      </x:c>
      <x:c r="J135" s="16" t="n">
        <x:v>136</x:v>
      </x:c>
      <x:c r="K135" s="16" t="n">
        <x:v>3978</x:v>
      </x:c>
      <x:c r="L135" s="16" t="n">
        <x:v>3984</x:v>
      </x:c>
      <x:c r="M135" s="16" t="n">
        <x:v>6</x:v>
      </x:c>
      <x:c r="N135" s="16" t="n">
        <x:v>22.666666666666668</x:v>
      </x:c>
      <x:c r="O135" s="12" t="str">
        <x:v>FTRL44G005</x:v>
      </x:c>
      <x:c r="P135" s="12" t="str">
        <x:v>STRL44G157</x:v>
      </x:c>
      <x:c r="Q135" s="12" t="str"/>
      <x:c r="R135" s="12" t="str"/>
      <x:c r="S135" s="12" t="str"/>
      <x:c r="T135" s="12" t="str">
        <x:v>ABM</x:v>
      </x:c>
      <x:c r="U135" s="12" t="str"/>
      <x:c r="V135" s="12" t="str"/>
      <x:c r="W135" s="12" t="str"/>
      <x:c r="X135" s="12" t="str">
        <x:v>STRL44</x:v>
      </x:c>
      <x:c r="Y135" s="12" t="str">
        <x:v>RAFIF &amp; RUSLAN</x:v>
      </x:c>
      <x:c r="Z135" s="12" t="str"/>
      <x:c r="AA135" s="32" t="n">
        <x:f>IFERROR(VLOOKUP(G135,Master_Unit!$A$2:$N$78,7,FALSE),"")</x:f>
        <x:v>20</x:v>
      </x:c>
      <x:c r="AB135" s="32" t="n">
        <x:f>IF(OR(N135="",AA135=""),"",N135-AA135)</x:f>
        <x:v>2.666666666666668</x:v>
      </x:c>
      <x:c r="AC135" s="20" t="n">
        <x:f>IF(OR(N135="",AA135="",AA135=0),"",AB135/AA135)</x:f>
        <x:v>0.1333333333333334</x:v>
      </x:c>
      <x:c r="AD135" t="str">
        <x:f>IF(AA135="","NO STANDARD",IF(AC135&lt;=Config_Status!$B$2,"EFFICIENT",IF(AC135&lt;=Config_Status!$B$3,"NORMAL",IF(AC135&lt;=Config_Status!$B$4,"WARNING","OVER CONSUMPTION"))))</x:f>
        <x:v>WARNING</x:v>
      </x:c>
      <x:c r="AE135" t="str">
        <x:f>IFERROR(VLOOKUP(G135,Master_Unit!$A$2:$N$78,13,FALSE),"UNIT NOT FOUND")</x:f>
        <x:v>Matched</x:v>
      </x:c>
    </x:row>
    <x:row r="136">
      <x:c r="A136" s="12" t="str">
        <x:v>FU-20260602-00135</x:v>
      </x:c>
      <x:c r="B136" s="12" t="n">
        <x:v>265</x:v>
      </x:c>
      <x:c r="C136" s="14" t="n">
        <x:v>46175</x:v>
      </x:c>
      <x:c r="D136" s="12" t="str">
        <x:v>Selasa</x:v>
      </x:c>
      <x:c r="E136" s="12" t="str">
        <x:v>19:28:00</x:v>
      </x:c>
      <x:c r="F136" s="12" t="str">
        <x:v>All Shift Night</x:v>
      </x:c>
      <x:c r="G136" s="12" t="str">
        <x:v>STRL44G149</x:v>
      </x:c>
      <x:c r="H136" s="12" t="str">
        <x:v>Dump Truck</x:v>
      </x:c>
      <x:c r="I136" s="12" t="str">
        <x:v>DUMP TRUCK RENAULT KRANGE440-P6X4 A/T</x:v>
      </x:c>
      <x:c r="J136" s="16" t="n">
        <x:v>153</x:v>
      </x:c>
      <x:c r="K136" s="16" t="n">
        <x:v>4208</x:v>
      </x:c>
      <x:c r="L136" s="16" t="n">
        <x:v>4213</x:v>
      </x:c>
      <x:c r="M136" s="16" t="n">
        <x:v>5</x:v>
      </x:c>
      <x:c r="N136" s="16" t="n">
        <x:v>30.6</x:v>
      </x:c>
      <x:c r="O136" s="12" t="str">
        <x:v>FTRL44G005</x:v>
      </x:c>
      <x:c r="P136" s="12" t="str">
        <x:v>STRL44G149</x:v>
      </x:c>
      <x:c r="Q136" s="12" t="str"/>
      <x:c r="R136" s="12" t="str"/>
      <x:c r="S136" s="12" t="str"/>
      <x:c r="T136" s="12" t="str">
        <x:v>ABM</x:v>
      </x:c>
      <x:c r="U136" s="12" t="str"/>
      <x:c r="V136" s="12" t="str"/>
      <x:c r="W136" s="12" t="str"/>
      <x:c r="X136" s="12" t="str">
        <x:v>STRL44</x:v>
      </x:c>
      <x:c r="Y136" s="12" t="str">
        <x:v>RAFIF &amp; RUSLAN</x:v>
      </x:c>
      <x:c r="Z136" s="12" t="str"/>
      <x:c r="AA136" s="32" t="n">
        <x:f>IFERROR(VLOOKUP(G136,Master_Unit!$A$2:$N$78,7,FALSE),"")</x:f>
        <x:v>20</x:v>
      </x:c>
      <x:c r="AB136" s="32" t="n">
        <x:f>IF(OR(N136="",AA136=""),"",N136-AA136)</x:f>
        <x:v>10.600000000000001</x:v>
      </x:c>
      <x:c r="AC136" s="20" t="n">
        <x:f>IF(OR(N136="",AA136="",AA136=0),"",AB136/AA136)</x:f>
        <x:v>0.53</x:v>
      </x:c>
      <x:c r="AD136" t="str">
        <x:f>IF(AA136="","NO STANDARD",IF(AC136&lt;=Config_Status!$B$2,"EFFICIENT",IF(AC136&lt;=Config_Status!$B$3,"NORMAL",IF(AC136&lt;=Config_Status!$B$4,"WARNING","OVER CONSUMPTION"))))</x:f>
        <x:v>OVER CONSUMPTION</x:v>
      </x:c>
      <x:c r="AE136" t="str">
        <x:f>IFERROR(VLOOKUP(G136,Master_Unit!$A$2:$N$78,13,FALSE),"UNIT NOT FOUND")</x:f>
        <x:v>Matched</x:v>
      </x:c>
    </x:row>
    <x:row r="137">
      <x:c r="A137" s="12" t="str">
        <x:v>FU-20260602-00136</x:v>
      </x:c>
      <x:c r="B137" s="12" t="n">
        <x:v>266</x:v>
      </x:c>
      <x:c r="C137" s="14" t="n">
        <x:v>46175</x:v>
      </x:c>
      <x:c r="D137" s="12" t="str">
        <x:v>Selasa</x:v>
      </x:c>
      <x:c r="E137" s="12" t="str">
        <x:v>19:31:00</x:v>
      </x:c>
      <x:c r="F137" s="12" t="str">
        <x:v>All Shift Night</x:v>
      </x:c>
      <x:c r="G137" s="12" t="str">
        <x:v>STRL44G143</x:v>
      </x:c>
      <x:c r="H137" s="12" t="str">
        <x:v>Dump Truck</x:v>
      </x:c>
      <x:c r="I137" s="12" t="str">
        <x:v>DUMP TRUCK RENAULT KRANGE440-P6X4 A/T</x:v>
      </x:c>
      <x:c r="J137" s="16" t="n">
        <x:v>153</x:v>
      </x:c>
      <x:c r="K137" s="16" t="n">
        <x:v>5147</x:v>
      </x:c>
      <x:c r="L137" s="16" t="n">
        <x:v>5153</x:v>
      </x:c>
      <x:c r="M137" s="16" t="n">
        <x:v>6</x:v>
      </x:c>
      <x:c r="N137" s="16" t="n">
        <x:v>25.5</x:v>
      </x:c>
      <x:c r="O137" s="12" t="str">
        <x:v>FTRL44G005</x:v>
      </x:c>
      <x:c r="P137" s="12" t="str">
        <x:v>STRL44G143</x:v>
      </x:c>
      <x:c r="Q137" s="12" t="str"/>
      <x:c r="R137" s="12" t="str"/>
      <x:c r="S137" s="12" t="str"/>
      <x:c r="T137" s="12" t="str">
        <x:v>ABM</x:v>
      </x:c>
      <x:c r="U137" s="12" t="str"/>
      <x:c r="V137" s="12" t="str"/>
      <x:c r="W137" s="12" t="str"/>
      <x:c r="X137" s="12" t="str">
        <x:v>STRL44</x:v>
      </x:c>
      <x:c r="Y137" s="12" t="str">
        <x:v>RAFIF &amp; RUSLAN</x:v>
      </x:c>
      <x:c r="Z137" s="12" t="str"/>
      <x:c r="AA137" s="32" t="n">
        <x:f>IFERROR(VLOOKUP(G137,Master_Unit!$A$2:$N$78,7,FALSE),"")</x:f>
        <x:v>20</x:v>
      </x:c>
      <x:c r="AB137" s="32" t="n">
        <x:f>IF(OR(N137="",AA137=""),"",N137-AA137)</x:f>
        <x:v>5.5</x:v>
      </x:c>
      <x:c r="AC137" s="20" t="n">
        <x:f>IF(OR(N137="",AA137="",AA137=0),"",AB137/AA137)</x:f>
        <x:v>0.275</x:v>
      </x:c>
      <x:c r="AD137" t="str">
        <x:f>IF(AA137="","NO STANDARD",IF(AC137&lt;=Config_Status!$B$2,"EFFICIENT",IF(AC137&lt;=Config_Status!$B$3,"NORMAL",IF(AC137&lt;=Config_Status!$B$4,"WARNING","OVER CONSUMPTION"))))</x:f>
        <x:v>OVER CONSUMPTION</x:v>
      </x:c>
      <x:c r="AE137" t="str">
        <x:f>IFERROR(VLOOKUP(G137,Master_Unit!$A$2:$N$78,13,FALSE),"UNIT NOT FOUND")</x:f>
        <x:v>Matched</x:v>
      </x:c>
    </x:row>
    <x:row r="138">
      <x:c r="A138" s="12" t="str">
        <x:v>FU-20260602-00137</x:v>
      </x:c>
      <x:c r="B138" s="12" t="n">
        <x:v>267</x:v>
      </x:c>
      <x:c r="C138" s="14" t="n">
        <x:v>46175</x:v>
      </x:c>
      <x:c r="D138" s="12" t="str">
        <x:v>Selasa</x:v>
      </x:c>
      <x:c r="E138" s="12" t="str">
        <x:v>19:34:00</x:v>
      </x:c>
      <x:c r="F138" s="12" t="str">
        <x:v>All Shift Night</x:v>
      </x:c>
      <x:c r="G138" s="12" t="str">
        <x:v>STRL44G151</x:v>
      </x:c>
      <x:c r="H138" s="12" t="str">
        <x:v>Dump Truck</x:v>
      </x:c>
      <x:c r="I138" s="12" t="str">
        <x:v>DUMP TRUCK RENAULT KRANGE440-P6X4 A/T</x:v>
      </x:c>
      <x:c r="J138" s="16" t="n">
        <x:v>153</x:v>
      </x:c>
      <x:c r="K138" s="16" t="n">
        <x:v>4309</x:v>
      </x:c>
      <x:c r="L138" s="16" t="n">
        <x:v>4313</x:v>
      </x:c>
      <x:c r="M138" s="16" t="n">
        <x:v>4</x:v>
      </x:c>
      <x:c r="N138" s="16" t="n">
        <x:v>38.25</x:v>
      </x:c>
      <x:c r="O138" s="12" t="str">
        <x:v>FTRL44G005</x:v>
      </x:c>
      <x:c r="P138" s="12" t="str">
        <x:v>STRL44G151</x:v>
      </x:c>
      <x:c r="Q138" s="12" t="str"/>
      <x:c r="R138" s="12" t="str"/>
      <x:c r="S138" s="12" t="str"/>
      <x:c r="T138" s="12" t="str">
        <x:v>ABM</x:v>
      </x:c>
      <x:c r="U138" s="12" t="str"/>
      <x:c r="V138" s="12" t="str"/>
      <x:c r="W138" s="12" t="str"/>
      <x:c r="X138" s="12" t="str">
        <x:v>STRL44</x:v>
      </x:c>
      <x:c r="Y138" s="12" t="str">
        <x:v>RAFIF &amp; RUSLAN</x:v>
      </x:c>
      <x:c r="Z138" s="12" t="str"/>
      <x:c r="AA138" s="32" t="n">
        <x:f>IFERROR(VLOOKUP(G138,Master_Unit!$A$2:$N$78,7,FALSE),"")</x:f>
        <x:v>20</x:v>
      </x:c>
      <x:c r="AB138" s="32" t="n">
        <x:f>IF(OR(N138="",AA138=""),"",N138-AA138)</x:f>
        <x:v>18.25</x:v>
      </x:c>
      <x:c r="AC138" s="20" t="n">
        <x:f>IF(OR(N138="",AA138="",AA138=0),"",AB138/AA138)</x:f>
        <x:v>0.9125</x:v>
      </x:c>
      <x:c r="AD138" t="str">
        <x:f>IF(AA138="","NO STANDARD",IF(AC138&lt;=Config_Status!$B$2,"EFFICIENT",IF(AC138&lt;=Config_Status!$B$3,"NORMAL",IF(AC138&lt;=Config_Status!$B$4,"WARNING","OVER CONSUMPTION"))))</x:f>
        <x:v>OVER CONSUMPTION</x:v>
      </x:c>
      <x:c r="AE138" t="str">
        <x:f>IFERROR(VLOOKUP(G138,Master_Unit!$A$2:$N$78,13,FALSE),"UNIT NOT FOUND")</x:f>
        <x:v>Matched</x:v>
      </x:c>
    </x:row>
    <x:row r="139">
      <x:c r="A139" s="12" t="str">
        <x:v>FU-20260602-00138</x:v>
      </x:c>
      <x:c r="B139" s="12" t="n">
        <x:v>268</x:v>
      </x:c>
      <x:c r="C139" s="14" t="n">
        <x:v>46175</x:v>
      </x:c>
      <x:c r="D139" s="12" t="str">
        <x:v>Selasa</x:v>
      </x:c>
      <x:c r="E139" s="12" t="str">
        <x:v>19:37:00</x:v>
      </x:c>
      <x:c r="F139" s="12" t="str">
        <x:v>All Shift Night</x:v>
      </x:c>
      <x:c r="G139" s="12" t="str">
        <x:v>STRL44G147</x:v>
      </x:c>
      <x:c r="H139" s="12" t="str">
        <x:v>Dump Truck</x:v>
      </x:c>
      <x:c r="I139" s="12" t="str">
        <x:v>DUMP TRUCK RENAULT KRANGE440-P6X4 A/T</x:v>
      </x:c>
      <x:c r="J139" s="16" t="n">
        <x:v>154</x:v>
      </x:c>
      <x:c r="K139" s="16" t="n">
        <x:v>4921</x:v>
      </x:c>
      <x:c r="L139" s="16" t="n">
        <x:v>4936</x:v>
      </x:c>
      <x:c r="M139" s="16" t="n">
        <x:v>15</x:v>
      </x:c>
      <x:c r="N139" s="16" t="n">
        <x:v>10.266666666666667</x:v>
      </x:c>
      <x:c r="O139" s="12" t="str">
        <x:v>FTRL44G005</x:v>
      </x:c>
      <x:c r="P139" s="12" t="str">
        <x:v>STRL44G147</x:v>
      </x:c>
      <x:c r="Q139" s="12" t="str"/>
      <x:c r="R139" s="12" t="str"/>
      <x:c r="S139" s="12" t="str"/>
      <x:c r="T139" s="12" t="str">
        <x:v>ABM</x:v>
      </x:c>
      <x:c r="U139" s="12" t="str"/>
      <x:c r="V139" s="12" t="str"/>
      <x:c r="W139" s="12" t="str"/>
      <x:c r="X139" s="12" t="str">
        <x:v>STRL44</x:v>
      </x:c>
      <x:c r="Y139" s="12" t="str">
        <x:v>RAFIF &amp; RUSLAN</x:v>
      </x:c>
      <x:c r="Z139" s="12" t="str"/>
      <x:c r="AA139" s="32" t="n">
        <x:f>IFERROR(VLOOKUP(G139,Master_Unit!$A$2:$N$78,7,FALSE),"")</x:f>
        <x:v>20</x:v>
      </x:c>
      <x:c r="AB139" s="32" t="n">
        <x:f>IF(OR(N139="",AA139=""),"",N139-AA139)</x:f>
        <x:v>-9.733333333333333</x:v>
      </x:c>
      <x:c r="AC139" s="20" t="n">
        <x:f>IF(OR(N139="",AA139="",AA139=0),"",AB139/AA139)</x:f>
        <x:v>-0.48666666666666664</x:v>
      </x:c>
      <x:c r="AD139" t="str">
        <x:f>IF(AA139="","NO STANDARD",IF(AC139&lt;=Config_Status!$B$2,"EFFICIENT",IF(AC139&lt;=Config_Status!$B$3,"NORMAL",IF(AC139&lt;=Config_Status!$B$4,"WARNING","OVER CONSUMPTION"))))</x:f>
        <x:v>EFFICIENT</x:v>
      </x:c>
      <x:c r="AE139" t="str">
        <x:f>IFERROR(VLOOKUP(G139,Master_Unit!$A$2:$N$78,13,FALSE),"UNIT NOT FOUND")</x:f>
        <x:v>Matched</x:v>
      </x:c>
    </x:row>
    <x:row r="140">
      <x:c r="A140" s="12" t="str">
        <x:v>FU-20260602-00139</x:v>
      </x:c>
      <x:c r="B140" s="12" t="n">
        <x:v>269</x:v>
      </x:c>
      <x:c r="C140" s="14" t="n">
        <x:v>46175</x:v>
      </x:c>
      <x:c r="D140" s="12" t="str">
        <x:v>Selasa</x:v>
      </x:c>
      <x:c r="E140" s="12" t="str">
        <x:v>19:40:00</x:v>
      </x:c>
      <x:c r="F140" s="12" t="str">
        <x:v>All Shift Night</x:v>
      </x:c>
      <x:c r="G140" s="12" t="str">
        <x:v>STRL44G156</x:v>
      </x:c>
      <x:c r="H140" s="12" t="str">
        <x:v>Dump Truck</x:v>
      </x:c>
      <x:c r="I140" s="12" t="str">
        <x:v>DUMP TRUCK RENAULT KRANGE440-P6X4 A/T</x:v>
      </x:c>
      <x:c r="J140" s="16" t="n">
        <x:v>153</x:v>
      </x:c>
      <x:c r="K140" s="16" t="n">
        <x:v>3683</x:v>
      </x:c>
      <x:c r="L140" s="16" t="n">
        <x:v>3691</x:v>
      </x:c>
      <x:c r="M140" s="16" t="n">
        <x:v>8</x:v>
      </x:c>
      <x:c r="N140" s="16" t="n">
        <x:v>19.125</x:v>
      </x:c>
      <x:c r="O140" s="12" t="str">
        <x:v>FTRL44G005</x:v>
      </x:c>
      <x:c r="P140" s="12" t="str">
        <x:v>STRL44G156</x:v>
      </x:c>
      <x:c r="Q140" s="12" t="str"/>
      <x:c r="R140" s="12" t="str"/>
      <x:c r="S140" s="12" t="str"/>
      <x:c r="T140" s="12" t="str">
        <x:v>ABM</x:v>
      </x:c>
      <x:c r="U140" s="12" t="str"/>
      <x:c r="V140" s="12" t="str"/>
      <x:c r="W140" s="12" t="str"/>
      <x:c r="X140" s="12" t="str">
        <x:v>STRL44</x:v>
      </x:c>
      <x:c r="Y140" s="12" t="str">
        <x:v>RAFIF &amp; RUSLAN</x:v>
      </x:c>
      <x:c r="Z140" s="12" t="str"/>
      <x:c r="AA140" s="32" t="n">
        <x:f>IFERROR(VLOOKUP(G140,Master_Unit!$A$2:$N$78,7,FALSE),"")</x:f>
        <x:v>20</x:v>
      </x:c>
      <x:c r="AB140" s="32" t="n">
        <x:f>IF(OR(N140="",AA140=""),"",N140-AA140)</x:f>
        <x:v>-0.875</x:v>
      </x:c>
      <x:c r="AC140" s="20" t="n">
        <x:f>IF(OR(N140="",AA140="",AA140=0),"",AB140/AA140)</x:f>
        <x:v>-0.04375</x:v>
      </x:c>
      <x:c r="AD140" t="str">
        <x:f>IF(AA140="","NO STANDARD",IF(AC140&lt;=Config_Status!$B$2,"EFFICIENT",IF(AC140&lt;=Config_Status!$B$3,"NORMAL",IF(AC140&lt;=Config_Status!$B$4,"WARNING","OVER CONSUMPTION"))))</x:f>
        <x:v>NORMAL</x:v>
      </x:c>
      <x:c r="AE140" t="str">
        <x:f>IFERROR(VLOOKUP(G140,Master_Unit!$A$2:$N$78,13,FALSE),"UNIT NOT FOUND")</x:f>
        <x:v>Matched</x:v>
      </x:c>
    </x:row>
    <x:row r="141">
      <x:c r="A141" s="12" t="str">
        <x:v>FU-20260602-00140</x:v>
      </x:c>
      <x:c r="B141" s="12" t="n">
        <x:v>270</x:v>
      </x:c>
      <x:c r="C141" s="14" t="n">
        <x:v>46175</x:v>
      </x:c>
      <x:c r="D141" s="12" t="str">
        <x:v>Selasa</x:v>
      </x:c>
      <x:c r="E141" s="12" t="str">
        <x:v>20:03:00</x:v>
      </x:c>
      <x:c r="F141" s="12" t="str">
        <x:v>All Shift Night</x:v>
      </x:c>
      <x:c r="G141" s="12" t="str">
        <x:v>STRL44G145</x:v>
      </x:c>
      <x:c r="H141" s="12" t="str">
        <x:v>Dump Truck</x:v>
      </x:c>
      <x:c r="I141" s="12" t="str">
        <x:v>DUMP TRUCK RENAULT KRANGE440-P6X4 A/T</x:v>
      </x:c>
      <x:c r="J141" s="16" t="n">
        <x:v>153</x:v>
      </x:c>
      <x:c r="K141" s="16" t="n">
        <x:v>4857</x:v>
      </x:c>
      <x:c r="L141" s="16" t="n">
        <x:v>4865</x:v>
      </x:c>
      <x:c r="M141" s="16" t="n">
        <x:v>8</x:v>
      </x:c>
      <x:c r="N141" s="16" t="n">
        <x:v>19.125</x:v>
      </x:c>
      <x:c r="O141" s="12" t="str">
        <x:v>FTRL44G005</x:v>
      </x:c>
      <x:c r="P141" s="12" t="str">
        <x:v>STRL44G145</x:v>
      </x:c>
      <x:c r="Q141" s="12" t="str"/>
      <x:c r="R141" s="12" t="str"/>
      <x:c r="S141" s="12" t="str"/>
      <x:c r="T141" s="12" t="str">
        <x:v>ABM</x:v>
      </x:c>
      <x:c r="U141" s="12" t="str"/>
      <x:c r="V141" s="12" t="str"/>
      <x:c r="W141" s="12" t="str"/>
      <x:c r="X141" s="12" t="str">
        <x:v>STRL44</x:v>
      </x:c>
      <x:c r="Y141" s="12" t="str">
        <x:v>RAFIF &amp; RUSLAN</x:v>
      </x:c>
      <x:c r="Z141" s="12" t="str"/>
      <x:c r="AA141" s="32" t="n">
        <x:f>IFERROR(VLOOKUP(G141,Master_Unit!$A$2:$N$78,7,FALSE),"")</x:f>
        <x:v>20</x:v>
      </x:c>
      <x:c r="AB141" s="32" t="n">
        <x:f>IF(OR(N141="",AA141=""),"",N141-AA141)</x:f>
        <x:v>-0.875</x:v>
      </x:c>
      <x:c r="AC141" s="20" t="n">
        <x:f>IF(OR(N141="",AA141="",AA141=0),"",AB141/AA141)</x:f>
        <x:v>-0.04375</x:v>
      </x:c>
      <x:c r="AD141" t="str">
        <x:f>IF(AA141="","NO STANDARD",IF(AC141&lt;=Config_Status!$B$2,"EFFICIENT",IF(AC141&lt;=Config_Status!$B$3,"NORMAL",IF(AC141&lt;=Config_Status!$B$4,"WARNING","OVER CONSUMPTION"))))</x:f>
        <x:v>NORMAL</x:v>
      </x:c>
      <x:c r="AE141" t="str">
        <x:f>IFERROR(VLOOKUP(G141,Master_Unit!$A$2:$N$78,13,FALSE),"UNIT NOT FOUND")</x:f>
        <x:v>Matched</x:v>
      </x:c>
    </x:row>
    <x:row r="142">
      <x:c r="A142" s="12" t="str">
        <x:v>FU-20260602-00141</x:v>
      </x:c>
      <x:c r="B142" s="12" t="n">
        <x:v>271</x:v>
      </x:c>
      <x:c r="C142" s="14" t="n">
        <x:v>46175</x:v>
      </x:c>
      <x:c r="D142" s="12" t="str">
        <x:v>Selasa</x:v>
      </x:c>
      <x:c r="E142" s="12" t="str">
        <x:v>20:08:00</x:v>
      </x:c>
      <x:c r="F142" s="12" t="str">
        <x:v>All Shift Night</x:v>
      </x:c>
      <x:c r="G142" s="12" t="str">
        <x:v>STRL44G142</x:v>
      </x:c>
      <x:c r="H142" s="12" t="str">
        <x:v>Dump Truck</x:v>
      </x:c>
      <x:c r="I142" s="12" t="str">
        <x:v>DUMP TRUCK RENAULT KRANGE440-P6X4 A/T</x:v>
      </x:c>
      <x:c r="J142" s="16" t="n">
        <x:v>153</x:v>
      </x:c>
      <x:c r="K142" s="16" t="n">
        <x:v>3252</x:v>
      </x:c>
      <x:c r="L142" s="16" t="n">
        <x:v>3259</x:v>
      </x:c>
      <x:c r="M142" s="16" t="n">
        <x:v>7</x:v>
      </x:c>
      <x:c r="N142" s="16" t="n">
        <x:v>21.857142857142858</x:v>
      </x:c>
      <x:c r="O142" s="12" t="str">
        <x:v>FTRL44G005</x:v>
      </x:c>
      <x:c r="P142" s="12" t="str">
        <x:v>STRL44G142</x:v>
      </x:c>
      <x:c r="Q142" s="12" t="str"/>
      <x:c r="R142" s="12" t="str"/>
      <x:c r="S142" s="12" t="str"/>
      <x:c r="T142" s="12" t="str">
        <x:v>ABM</x:v>
      </x:c>
      <x:c r="U142" s="12" t="str"/>
      <x:c r="V142" s="12" t="str"/>
      <x:c r="W142" s="12" t="str"/>
      <x:c r="X142" s="12" t="str">
        <x:v>STRL44</x:v>
      </x:c>
      <x:c r="Y142" s="12" t="str">
        <x:v>RAFIF &amp; RUSLAN</x:v>
      </x:c>
      <x:c r="Z142" s="12" t="str"/>
      <x:c r="AA142" s="32" t="n">
        <x:f>IFERROR(VLOOKUP(G142,Master_Unit!$A$2:$N$78,7,FALSE),"")</x:f>
        <x:v>20</x:v>
      </x:c>
      <x:c r="AB142" s="32" t="n">
        <x:f>IF(OR(N142="",AA142=""),"",N142-AA142)</x:f>
        <x:v>1.8571428571428577</x:v>
      </x:c>
      <x:c r="AC142" s="20" t="n">
        <x:f>IF(OR(N142="",AA142="",AA142=0),"",AB142/AA142)</x:f>
        <x:v>0.09285714285714289</x:v>
      </x:c>
      <x:c r="AD142" t="str">
        <x:f>IF(AA142="","NO STANDARD",IF(AC142&lt;=Config_Status!$B$2,"EFFICIENT",IF(AC142&lt;=Config_Status!$B$3,"NORMAL",IF(AC142&lt;=Config_Status!$B$4,"WARNING","OVER CONSUMPTION"))))</x:f>
        <x:v>NORMAL</x:v>
      </x:c>
      <x:c r="AE142" t="str">
        <x:f>IFERROR(VLOOKUP(G142,Master_Unit!$A$2:$N$78,13,FALSE),"UNIT NOT FOUND")</x:f>
        <x:v>Matched</x:v>
      </x:c>
    </x:row>
    <x:row r="143">
      <x:c r="A143" s="12" t="str">
        <x:v>FU-20260602-00142</x:v>
      </x:c>
      <x:c r="B143" s="12" t="n">
        <x:v>272</x:v>
      </x:c>
      <x:c r="C143" s="14" t="n">
        <x:v>46175</x:v>
      </x:c>
      <x:c r="D143" s="12" t="str">
        <x:v>Selasa</x:v>
      </x:c>
      <x:c r="E143" s="12" t="str">
        <x:v>20:12:00</x:v>
      </x:c>
      <x:c r="F143" s="12" t="str">
        <x:v>All Shift Night</x:v>
      </x:c>
      <x:c r="G143" s="12" t="str">
        <x:v>STRL44G154</x:v>
      </x:c>
      <x:c r="H143" s="12" t="str">
        <x:v>Dump Truck</x:v>
      </x:c>
      <x:c r="I143" s="12" t="str">
        <x:v>DUMP TRUCK RENAULT KRANGE440-P6X4 A/T</x:v>
      </x:c>
      <x:c r="J143" s="16" t="n">
        <x:v>153</x:v>
      </x:c>
      <x:c r="K143" s="16" t="n">
        <x:v>4003</x:v>
      </x:c>
      <x:c r="L143" s="16" t="n">
        <x:v>4010</x:v>
      </x:c>
      <x:c r="M143" s="16" t="n">
        <x:v>7</x:v>
      </x:c>
      <x:c r="N143" s="16" t="n">
        <x:v>21.857142857142858</x:v>
      </x:c>
      <x:c r="O143" s="12" t="str">
        <x:v>FTRL44G005</x:v>
      </x:c>
      <x:c r="P143" s="12" t="str">
        <x:v>STRL44G154</x:v>
      </x:c>
      <x:c r="Q143" s="12" t="str"/>
      <x:c r="R143" s="12" t="str"/>
      <x:c r="S143" s="12" t="str"/>
      <x:c r="T143" s="12" t="str">
        <x:v>ABM</x:v>
      </x:c>
      <x:c r="U143" s="12" t="str"/>
      <x:c r="V143" s="12" t="str"/>
      <x:c r="W143" s="12" t="str"/>
      <x:c r="X143" s="12" t="str">
        <x:v>STRL44</x:v>
      </x:c>
      <x:c r="Y143" s="12" t="str">
        <x:v>RAFIF &amp; RUSLAN</x:v>
      </x:c>
      <x:c r="Z143" s="12" t="str"/>
      <x:c r="AA143" s="32" t="n">
        <x:f>IFERROR(VLOOKUP(G143,Master_Unit!$A$2:$N$78,7,FALSE),"")</x:f>
        <x:v>20</x:v>
      </x:c>
      <x:c r="AB143" s="32" t="n">
        <x:f>IF(OR(N143="",AA143=""),"",N143-AA143)</x:f>
        <x:v>1.8571428571428577</x:v>
      </x:c>
      <x:c r="AC143" s="20" t="n">
        <x:f>IF(OR(N143="",AA143="",AA143=0),"",AB143/AA143)</x:f>
        <x:v>0.09285714285714289</x:v>
      </x:c>
      <x:c r="AD143" t="str">
        <x:f>IF(AA143="","NO STANDARD",IF(AC143&lt;=Config_Status!$B$2,"EFFICIENT",IF(AC143&lt;=Config_Status!$B$3,"NORMAL",IF(AC143&lt;=Config_Status!$B$4,"WARNING","OVER CONSUMPTION"))))</x:f>
        <x:v>NORMAL</x:v>
      </x:c>
      <x:c r="AE143" t="str">
        <x:f>IFERROR(VLOOKUP(G143,Master_Unit!$A$2:$N$78,13,FALSE),"UNIT NOT FOUND")</x:f>
        <x:v>Matched</x:v>
      </x:c>
    </x:row>
    <x:row r="144">
      <x:c r="A144" s="12" t="str">
        <x:v>FU-20260602-00143</x:v>
      </x:c>
      <x:c r="B144" s="12" t="n">
        <x:v>273</x:v>
      </x:c>
      <x:c r="C144" s="14" t="n">
        <x:v>46175</x:v>
      </x:c>
      <x:c r="D144" s="12" t="str">
        <x:v>Selasa</x:v>
      </x:c>
      <x:c r="E144" s="12" t="str">
        <x:v>20:15:00</x:v>
      </x:c>
      <x:c r="F144" s="12" t="str">
        <x:v>All Shift Night</x:v>
      </x:c>
      <x:c r="G144" s="12" t="str">
        <x:v>STRL44G140</x:v>
      </x:c>
      <x:c r="H144" s="12" t="str">
        <x:v>Dump Truck</x:v>
      </x:c>
      <x:c r="I144" s="12" t="str">
        <x:v>DUMP TRUCK RENAULT KRANGE440-P6X4 A/T</x:v>
      </x:c>
      <x:c r="J144" s="16" t="n">
        <x:v>153</x:v>
      </x:c>
      <x:c r="K144" s="16" t="n">
        <x:v>5017</x:v>
      </x:c>
      <x:c r="L144" s="16" t="n">
        <x:v>5024</x:v>
      </x:c>
      <x:c r="M144" s="16" t="n">
        <x:v>7</x:v>
      </x:c>
      <x:c r="N144" s="16" t="n">
        <x:v>21.857142857142858</x:v>
      </x:c>
      <x:c r="O144" s="12" t="str">
        <x:v>FTRL44G005</x:v>
      </x:c>
      <x:c r="P144" s="12" t="str">
        <x:v>STRL44G140</x:v>
      </x:c>
      <x:c r="Q144" s="12" t="str"/>
      <x:c r="R144" s="12" t="str"/>
      <x:c r="S144" s="12" t="str"/>
      <x:c r="T144" s="12" t="str">
        <x:v>ABM</x:v>
      </x:c>
      <x:c r="U144" s="12" t="str"/>
      <x:c r="V144" s="12" t="str"/>
      <x:c r="W144" s="12" t="str"/>
      <x:c r="X144" s="12" t="str">
        <x:v>STRL44</x:v>
      </x:c>
      <x:c r="Y144" s="12" t="str">
        <x:v>RAFIF &amp; RUSLAN</x:v>
      </x:c>
      <x:c r="Z144" s="12" t="str"/>
      <x:c r="AA144" s="32" t="n">
        <x:f>IFERROR(VLOOKUP(G144,Master_Unit!$A$2:$N$78,7,FALSE),"")</x:f>
        <x:v>20</x:v>
      </x:c>
      <x:c r="AB144" s="32" t="n">
        <x:f>IF(OR(N144="",AA144=""),"",N144-AA144)</x:f>
        <x:v>1.8571428571428577</x:v>
      </x:c>
      <x:c r="AC144" s="20" t="n">
        <x:f>IF(OR(N144="",AA144="",AA144=0),"",AB144/AA144)</x:f>
        <x:v>0.09285714285714289</x:v>
      </x:c>
      <x:c r="AD144" t="str">
        <x:f>IF(AA144="","NO STANDARD",IF(AC144&lt;=Config_Status!$B$2,"EFFICIENT",IF(AC144&lt;=Config_Status!$B$3,"NORMAL",IF(AC144&lt;=Config_Status!$B$4,"WARNING","OVER CONSUMPTION"))))</x:f>
        <x:v>NORMAL</x:v>
      </x:c>
      <x:c r="AE144" t="str">
        <x:f>IFERROR(VLOOKUP(G144,Master_Unit!$A$2:$N$78,13,FALSE),"UNIT NOT FOUND")</x:f>
        <x:v>Matched</x:v>
      </x:c>
    </x:row>
    <x:row r="145">
      <x:c r="A145" s="12" t="str">
        <x:v>FU-20260602-00144</x:v>
      </x:c>
      <x:c r="B145" s="12" t="n">
        <x:v>274</x:v>
      </x:c>
      <x:c r="C145" s="14" t="n">
        <x:v>46175</x:v>
      </x:c>
      <x:c r="D145" s="12" t="str">
        <x:v>Selasa</x:v>
      </x:c>
      <x:c r="E145" s="12" t="str">
        <x:v>20:18:00</x:v>
      </x:c>
      <x:c r="F145" s="12" t="str">
        <x:v>All Shift Night</x:v>
      </x:c>
      <x:c r="G145" s="12" t="str">
        <x:v>STRL44G153</x:v>
      </x:c>
      <x:c r="H145" s="12" t="str">
        <x:v>Dump Truck</x:v>
      </x:c>
      <x:c r="I145" s="12" t="str">
        <x:v>DUMP TRUCK RENAULT KRANGE440-P6X4 A/T</x:v>
      </x:c>
      <x:c r="J145" s="16" t="n">
        <x:v>153</x:v>
      </x:c>
      <x:c r="K145" s="16" t="n">
        <x:v>3905</x:v>
      </x:c>
      <x:c r="L145" s="16" t="n">
        <x:v>3912</x:v>
      </x:c>
      <x:c r="M145" s="16" t="n">
        <x:v>7</x:v>
      </x:c>
      <x:c r="N145" s="16" t="n">
        <x:v>21.857142857142858</x:v>
      </x:c>
      <x:c r="O145" s="12" t="str">
        <x:v>FTRL44G005</x:v>
      </x:c>
      <x:c r="P145" s="12" t="str">
        <x:v>STRL44G153</x:v>
      </x:c>
      <x:c r="Q145" s="12" t="str"/>
      <x:c r="R145" s="12" t="str"/>
      <x:c r="S145" s="12" t="str"/>
      <x:c r="T145" s="12" t="str">
        <x:v>ABM</x:v>
      </x:c>
      <x:c r="U145" s="12" t="str"/>
      <x:c r="V145" s="12" t="str"/>
      <x:c r="W145" s="12" t="str"/>
      <x:c r="X145" s="12" t="str">
        <x:v>STRL44</x:v>
      </x:c>
      <x:c r="Y145" s="12" t="str">
        <x:v>RAFIF &amp; RUSLAN</x:v>
      </x:c>
      <x:c r="Z145" s="12" t="str"/>
      <x:c r="AA145" s="32" t="n">
        <x:f>IFERROR(VLOOKUP(G145,Master_Unit!$A$2:$N$78,7,FALSE),"")</x:f>
        <x:v>20</x:v>
      </x:c>
      <x:c r="AB145" s="32" t="n">
        <x:f>IF(OR(N145="",AA145=""),"",N145-AA145)</x:f>
        <x:v>1.8571428571428577</x:v>
      </x:c>
      <x:c r="AC145" s="20" t="n">
        <x:f>IF(OR(N145="",AA145="",AA145=0),"",AB145/AA145)</x:f>
        <x:v>0.09285714285714289</x:v>
      </x:c>
      <x:c r="AD145" t="str">
        <x:f>IF(AA145="","NO STANDARD",IF(AC145&lt;=Config_Status!$B$2,"EFFICIENT",IF(AC145&lt;=Config_Status!$B$3,"NORMAL",IF(AC145&lt;=Config_Status!$B$4,"WARNING","OVER CONSUMPTION"))))</x:f>
        <x:v>NORMAL</x:v>
      </x:c>
      <x:c r="AE145" t="str">
        <x:f>IFERROR(VLOOKUP(G145,Master_Unit!$A$2:$N$78,13,FALSE),"UNIT NOT FOUND")</x:f>
        <x:v>Matched</x:v>
      </x:c>
    </x:row>
    <x:row r="146">
      <x:c r="A146" s="12" t="str">
        <x:v>FU-20260602-00145</x:v>
      </x:c>
      <x:c r="B146" s="12" t="n">
        <x:v>275</x:v>
      </x:c>
      <x:c r="C146" s="14" t="n">
        <x:v>46175</x:v>
      </x:c>
      <x:c r="D146" s="12" t="str">
        <x:v>Selasa</x:v>
      </x:c>
      <x:c r="E146" s="12" t="str">
        <x:v>20:27:00</x:v>
      </x:c>
      <x:c r="F146" s="12" t="str">
        <x:v>All Shift Night</x:v>
      </x:c>
      <x:c r="G146" s="12" t="str">
        <x:v>STRL44G144</x:v>
      </x:c>
      <x:c r="H146" s="12" t="str">
        <x:v>Dump Truck</x:v>
      </x:c>
      <x:c r="I146" s="12" t="str">
        <x:v>DUMP TRUCK RENAULT KRANGE440-P6X4 A/T</x:v>
      </x:c>
      <x:c r="J146" s="16" t="n">
        <x:v>146</x:v>
      </x:c>
      <x:c r="K146" s="16" t="n">
        <x:v>1451</x:v>
      </x:c>
      <x:c r="L146" s="16" t="n">
        <x:v>1457</x:v>
      </x:c>
      <x:c r="M146" s="16" t="n">
        <x:v>6</x:v>
      </x:c>
      <x:c r="N146" s="16" t="n">
        <x:v>24.333333333333332</x:v>
      </x:c>
      <x:c r="O146" s="12" t="str">
        <x:v>FTRL44G005</x:v>
      </x:c>
      <x:c r="P146" s="12" t="str">
        <x:v>STRL44G144</x:v>
      </x:c>
      <x:c r="Q146" s="12" t="str"/>
      <x:c r="R146" s="12" t="str"/>
      <x:c r="S146" s="12" t="str"/>
      <x:c r="T146" s="12" t="str">
        <x:v>ABM</x:v>
      </x:c>
      <x:c r="U146" s="12" t="str"/>
      <x:c r="V146" s="12" t="str"/>
      <x:c r="W146" s="12" t="str"/>
      <x:c r="X146" s="12" t="str">
        <x:v>STRL44</x:v>
      </x:c>
      <x:c r="Y146" s="12" t="str">
        <x:v>RAFIF &amp; RUSLAN</x:v>
      </x:c>
      <x:c r="Z146" s="12" t="str"/>
      <x:c r="AA146" s="32" t="n">
        <x:f>IFERROR(VLOOKUP(G146,Master_Unit!$A$2:$N$78,7,FALSE),"")</x:f>
        <x:v>20</x:v>
      </x:c>
      <x:c r="AB146" s="32" t="n">
        <x:f>IF(OR(N146="",AA146=""),"",N146-AA146)</x:f>
        <x:v>4.333333333333332</x:v>
      </x:c>
      <x:c r="AC146" s="20" t="n">
        <x:f>IF(OR(N146="",AA146="",AA146=0),"",AB146/AA146)</x:f>
        <x:v>0.21666666666666662</x:v>
      </x:c>
      <x:c r="AD146" t="str">
        <x:f>IF(AA146="","NO STANDARD",IF(AC146&lt;=Config_Status!$B$2,"EFFICIENT",IF(AC146&lt;=Config_Status!$B$3,"NORMAL",IF(AC146&lt;=Config_Status!$B$4,"WARNING","OVER CONSUMPTION"))))</x:f>
        <x:v>OVER CONSUMPTION</x:v>
      </x:c>
      <x:c r="AE146" t="str">
        <x:f>IFERROR(VLOOKUP(G146,Master_Unit!$A$2:$N$78,13,FALSE),"UNIT NOT FOUND")</x:f>
        <x:v>Matched</x:v>
      </x:c>
    </x:row>
    <x:row r="147">
      <x:c r="A147" s="12" t="str">
        <x:v>FU-20260602-00146</x:v>
      </x:c>
      <x:c r="B147" s="12" t="n">
        <x:v>276</x:v>
      </x:c>
      <x:c r="C147" s="14" t="n">
        <x:v>46175</x:v>
      </x:c>
      <x:c r="D147" s="12" t="str">
        <x:v>Selasa</x:v>
      </x:c>
      <x:c r="E147" s="12" t="str">
        <x:v>20:30:00</x:v>
      </x:c>
      <x:c r="F147" s="12" t="str">
        <x:v>All Shift Night</x:v>
      </x:c>
      <x:c r="G147" s="12" t="str">
        <x:v>STRL44G146</x:v>
      </x:c>
      <x:c r="H147" s="12" t="str">
        <x:v>Dump Truck</x:v>
      </x:c>
      <x:c r="I147" s="12" t="str">
        <x:v>DUMP TRUCK RENAULT KRANGE440-P6X4 A/T</x:v>
      </x:c>
      <x:c r="J147" s="16" t="n">
        <x:v>153</x:v>
      </x:c>
      <x:c r="K147" s="16" t="n">
        <x:v>4862</x:v>
      </x:c>
      <x:c r="L147" s="16" t="n">
        <x:v>4869</x:v>
      </x:c>
      <x:c r="M147" s="16" t="n">
        <x:v>7</x:v>
      </x:c>
      <x:c r="N147" s="16" t="n">
        <x:v>21.857142857142858</x:v>
      </x:c>
      <x:c r="O147" s="12" t="str">
        <x:v>FTRL44G005</x:v>
      </x:c>
      <x:c r="P147" s="12" t="str">
        <x:v>STRL44G146</x:v>
      </x:c>
      <x:c r="Q147" s="12" t="str"/>
      <x:c r="R147" s="12" t="str"/>
      <x:c r="S147" s="12" t="str"/>
      <x:c r="T147" s="12" t="str">
        <x:v>ABM</x:v>
      </x:c>
      <x:c r="U147" s="12" t="str"/>
      <x:c r="V147" s="12" t="str"/>
      <x:c r="W147" s="12" t="str"/>
      <x:c r="X147" s="12" t="str">
        <x:v>STRL44</x:v>
      </x:c>
      <x:c r="Y147" s="12" t="str">
        <x:v>RAFIF &amp; RUSLAN</x:v>
      </x:c>
      <x:c r="Z147" s="12" t="str"/>
      <x:c r="AA147" s="32" t="n">
        <x:f>IFERROR(VLOOKUP(G147,Master_Unit!$A$2:$N$78,7,FALSE),"")</x:f>
        <x:v>20</x:v>
      </x:c>
      <x:c r="AB147" s="32" t="n">
        <x:f>IF(OR(N147="",AA147=""),"",N147-AA147)</x:f>
        <x:v>1.8571428571428577</x:v>
      </x:c>
      <x:c r="AC147" s="20" t="n">
        <x:f>IF(OR(N147="",AA147="",AA147=0),"",AB147/AA147)</x:f>
        <x:v>0.09285714285714289</x:v>
      </x:c>
      <x:c r="AD147" t="str">
        <x:f>IF(AA147="","NO STANDARD",IF(AC147&lt;=Config_Status!$B$2,"EFFICIENT",IF(AC147&lt;=Config_Status!$B$3,"NORMAL",IF(AC147&lt;=Config_Status!$B$4,"WARNING","OVER CONSUMPTION"))))</x:f>
        <x:v>NORMAL</x:v>
      </x:c>
      <x:c r="AE147" t="str">
        <x:f>IFERROR(VLOOKUP(G147,Master_Unit!$A$2:$N$78,13,FALSE),"UNIT NOT FOUND")</x:f>
        <x:v>Matched</x:v>
      </x:c>
    </x:row>
    <x:row r="148">
      <x:c r="A148" s="12" t="str">
        <x:v>FU-20260602-00147</x:v>
      </x:c>
      <x:c r="B148" s="12" t="n">
        <x:v>277</x:v>
      </x:c>
      <x:c r="C148" s="14" t="n">
        <x:v>46175</x:v>
      </x:c>
      <x:c r="D148" s="12" t="str">
        <x:v>Selasa</x:v>
      </x:c>
      <x:c r="E148" s="12" t="str">
        <x:v>20:53:00</x:v>
      </x:c>
      <x:c r="F148" s="12" t="str">
        <x:v>All Shift Night</x:v>
      </x:c>
      <x:c r="G148" s="12" t="str">
        <x:v>STRL44G139</x:v>
      </x:c>
      <x:c r="H148" s="12" t="str">
        <x:v>Dump Truck</x:v>
      </x:c>
      <x:c r="I148" s="12" t="str">
        <x:v>DUMP TRUCK RENAULT KRANGE440-P6X4 A/T</x:v>
      </x:c>
      <x:c r="J148" s="16" t="n">
        <x:v>153</x:v>
      </x:c>
      <x:c r="K148" s="16" t="n">
        <x:v>4886</x:v>
      </x:c>
      <x:c r="L148" s="16" t="n">
        <x:v>4894</x:v>
      </x:c>
      <x:c r="M148" s="16" t="n">
        <x:v>8</x:v>
      </x:c>
      <x:c r="N148" s="16" t="n">
        <x:v>19.125</x:v>
      </x:c>
      <x:c r="O148" s="12" t="str">
        <x:v>FTRL44G005</x:v>
      </x:c>
      <x:c r="P148" s="12" t="str">
        <x:v>STRL44G139</x:v>
      </x:c>
      <x:c r="Q148" s="12" t="str"/>
      <x:c r="R148" s="12" t="str"/>
      <x:c r="S148" s="12" t="str"/>
      <x:c r="T148" s="12" t="str">
        <x:v>ABM</x:v>
      </x:c>
      <x:c r="U148" s="12" t="str"/>
      <x:c r="V148" s="12" t="str"/>
      <x:c r="W148" s="12" t="str"/>
      <x:c r="X148" s="12" t="str">
        <x:v>STRL44</x:v>
      </x:c>
      <x:c r="Y148" s="12" t="str">
        <x:v>RAFIF &amp; RUSLAN</x:v>
      </x:c>
      <x:c r="Z148" s="12" t="str"/>
      <x:c r="AA148" s="32" t="n">
        <x:f>IFERROR(VLOOKUP(G148,Master_Unit!$A$2:$N$78,7,FALSE),"")</x:f>
        <x:v>20</x:v>
      </x:c>
      <x:c r="AB148" s="32" t="n">
        <x:f>IF(OR(N148="",AA148=""),"",N148-AA148)</x:f>
        <x:v>-0.875</x:v>
      </x:c>
      <x:c r="AC148" s="20" t="n">
        <x:f>IF(OR(N148="",AA148="",AA148=0),"",AB148/AA148)</x:f>
        <x:v>-0.04375</x:v>
      </x:c>
      <x:c r="AD148" t="str">
        <x:f>IF(AA148="","NO STANDARD",IF(AC148&lt;=Config_Status!$B$2,"EFFICIENT",IF(AC148&lt;=Config_Status!$B$3,"NORMAL",IF(AC148&lt;=Config_Status!$B$4,"WARNING","OVER CONSUMPTION"))))</x:f>
        <x:v>NORMAL</x:v>
      </x:c>
      <x:c r="AE148" t="str">
        <x:f>IFERROR(VLOOKUP(G148,Master_Unit!$A$2:$N$78,13,FALSE),"UNIT NOT FOUND")</x:f>
        <x:v>Matched</x:v>
      </x:c>
    </x:row>
    <x:row r="149">
      <x:c r="A149" s="12" t="str">
        <x:v>FU-20260602-00148</x:v>
      </x:c>
      <x:c r="B149" s="12" t="n">
        <x:v>278</x:v>
      </x:c>
      <x:c r="C149" s="14" t="n">
        <x:v>46175</x:v>
      </x:c>
      <x:c r="D149" s="12" t="str">
        <x:v>Selasa</x:v>
      </x:c>
      <x:c r="E149" s="12" t="str">
        <x:v>00:09:00</x:v>
      </x:c>
      <x:c r="F149" s="12" t="str">
        <x:v>All Shift Night</x:v>
      </x:c>
      <x:c r="G149" s="12" t="str">
        <x:v>EXVV35G006</x:v>
      </x:c>
      <x:c r="H149" s="12" t="str">
        <x:v>Excavator</x:v>
      </x:c>
      <x:c r="I149" s="12" t="str">
        <x:v>EXCAVATOR VOLVO EC350D</x:v>
      </x:c>
      <x:c r="J149" s="16" t="n">
        <x:v>213</x:v>
      </x:c>
      <x:c r="K149" s="16" t="n">
        <x:v>3067.7</x:v>
      </x:c>
      <x:c r="L149" s="16" t="n">
        <x:v>3080.1</x:v>
      </x:c>
      <x:c r="M149" s="16" t="n">
        <x:v>12.400000000000091</x:v>
      </x:c>
      <x:c r="N149" s="16" t="n">
        <x:v>17.177419354838584</x:v>
      </x:c>
      <x:c r="O149" s="12" t="str">
        <x:v>FTRL44G005</x:v>
      </x:c>
      <x:c r="P149" s="12" t="str">
        <x:v>EXVV35G006</x:v>
      </x:c>
      <x:c r="Q149" s="12" t="str"/>
      <x:c r="R149" s="12" t="str"/>
      <x:c r="S149" s="12" t="str"/>
      <x:c r="T149" s="12" t="str">
        <x:v>ABM</x:v>
      </x:c>
      <x:c r="U149" s="12" t="str"/>
      <x:c r="V149" s="12" t="str"/>
      <x:c r="W149" s="12" t="str"/>
      <x:c r="X149" s="12" t="str">
        <x:v>EXVV35</x:v>
      </x:c>
      <x:c r="Y149" s="12" t="str">
        <x:v>RAFIF &amp; RUSLAN</x:v>
      </x:c>
      <x:c r="Z149" s="12" t="str"/>
      <x:c r="AA149" s="32" t="n">
        <x:f>IFERROR(VLOOKUP(G149,Master_Unit!$A$2:$N$78,7,FALSE),"")</x:f>
        <x:v>25</x:v>
      </x:c>
      <x:c r="AB149" s="32" t="n">
        <x:f>IF(OR(N149="",AA149=""),"",N149-AA149)</x:f>
        <x:v>-7.822580645161416</x:v>
      </x:c>
      <x:c r="AC149" s="20" t="n">
        <x:f>IF(OR(N149="",AA149="",AA149=0),"",AB149/AA149)</x:f>
        <x:v>-0.31290322580645663</x:v>
      </x:c>
      <x:c r="AD149" t="str">
        <x:f>IF(AA149="","NO STANDARD",IF(AC149&lt;=Config_Status!$B$2,"EFFICIENT",IF(AC149&lt;=Config_Status!$B$3,"NORMAL",IF(AC149&lt;=Config_Status!$B$4,"WARNING","OVER CONSUMPTION"))))</x:f>
        <x:v>EFFICIENT</x:v>
      </x:c>
      <x:c r="AE149" t="str">
        <x:f>IFERROR(VLOOKUP(G149,Master_Unit!$A$2:$N$78,13,FALSE),"UNIT NOT FOUND")</x:f>
        <x:v>Matched</x:v>
      </x:c>
    </x:row>
    <x:row r="150">
      <x:c r="A150" s="12" t="str">
        <x:v>FU-20260602-00149</x:v>
      </x:c>
      <x:c r="B150" s="12" t="n">
        <x:v>279</x:v>
      </x:c>
      <x:c r="C150" s="14" t="n">
        <x:v>46175</x:v>
      </x:c>
      <x:c r="D150" s="12" t="str">
        <x:v>Selasa</x:v>
      </x:c>
      <x:c r="E150" s="12" t="str">
        <x:v>00:17:00</x:v>
      </x:c>
      <x:c r="F150" s="12" t="str">
        <x:v>All Shift Night</x:v>
      </x:c>
      <x:c r="G150" s="12" t="str">
        <x:v>EXVV35G007</x:v>
      </x:c>
      <x:c r="H150" s="12" t="str">
        <x:v>Excavator</x:v>
      </x:c>
      <x:c r="I150" s="12" t="str">
        <x:v>EXCAVATOR VOLVO EC350D</x:v>
      </x:c>
      <x:c r="J150" s="16" t="n">
        <x:v>234</x:v>
      </x:c>
      <x:c r="K150" s="16" t="n">
        <x:v>535</x:v>
      </x:c>
      <x:c r="L150" s="16" t="n">
        <x:v>537.8</x:v>
      </x:c>
      <x:c r="M150" s="16" t="n">
        <x:v>2.7999999999999545</x:v>
      </x:c>
      <x:c r="N150" s="16" t="n">
        <x:v>83.57142857142993</x:v>
      </x:c>
      <x:c r="O150" s="12" t="str">
        <x:v>FTRL44G005</x:v>
      </x:c>
      <x:c r="P150" s="12" t="str">
        <x:v>EXVV35G007</x:v>
      </x:c>
      <x:c r="Q150" s="12" t="str"/>
      <x:c r="R150" s="12" t="str"/>
      <x:c r="S150" s="12" t="str"/>
      <x:c r="T150" s="12" t="str">
        <x:v>ABM</x:v>
      </x:c>
      <x:c r="U150" s="12" t="str"/>
      <x:c r="V150" s="12" t="str"/>
      <x:c r="W150" s="12" t="str"/>
      <x:c r="X150" s="12" t="str">
        <x:v>EXVV35</x:v>
      </x:c>
      <x:c r="Y150" s="12" t="str">
        <x:v>RAFIF &amp; RUSLAN</x:v>
      </x:c>
      <x:c r="Z150" s="12" t="str"/>
      <x:c r="AA150" s="32" t="n">
        <x:f>IFERROR(VLOOKUP(G150,Master_Unit!$A$2:$N$78,7,FALSE),"")</x:f>
        <x:v>25</x:v>
      </x:c>
      <x:c r="AB150" s="32" t="n">
        <x:f>IF(OR(N150="",AA150=""),"",N150-AA150)</x:f>
        <x:v>58.571428571429934</x:v>
      </x:c>
      <x:c r="AC150" s="20" t="n">
        <x:f>IF(OR(N150="",AA150="",AA150=0),"",AB150/AA150)</x:f>
        <x:v>2.342857142857197</x:v>
      </x:c>
      <x:c r="AD150" t="str">
        <x:f>IF(AA150="","NO STANDARD",IF(AC150&lt;=Config_Status!$B$2,"EFFICIENT",IF(AC150&lt;=Config_Status!$B$3,"NORMAL",IF(AC150&lt;=Config_Status!$B$4,"WARNING","OVER CONSUMPTION"))))</x:f>
        <x:v>OVER CONSUMPTION</x:v>
      </x:c>
      <x:c r="AE150" t="str">
        <x:f>IFERROR(VLOOKUP(G150,Master_Unit!$A$2:$N$78,13,FALSE),"UNIT NOT FOUND")</x:f>
        <x:v>Matched</x:v>
      </x:c>
    </x:row>
    <x:row r="151">
      <x:c r="A151" s="12" t="str">
        <x:v>FU-20260602-00150</x:v>
      </x:c>
      <x:c r="B151" s="12" t="n">
        <x:v>280</x:v>
      </x:c>
      <x:c r="C151" s="14" t="n">
        <x:v>46175</x:v>
      </x:c>
      <x:c r="D151" s="12" t="str">
        <x:v>Selasa</x:v>
      </x:c>
      <x:c r="E151" s="12" t="str">
        <x:v>18:28:00</x:v>
      </x:c>
      <x:c r="F151" s="12" t="str">
        <x:v>All Shift Night</x:v>
      </x:c>
      <x:c r="G151" s="12" t="str">
        <x:v>EXVV35G005</x:v>
      </x:c>
      <x:c r="H151" s="12" t="str">
        <x:v>Excavator</x:v>
      </x:c>
      <x:c r="I151" s="12" t="str">
        <x:v>EXCAVATOR VOLVO EC350D</x:v>
      </x:c>
      <x:c r="J151" s="16" t="n">
        <x:v>214</x:v>
      </x:c>
      <x:c r="K151" s="16" t="n">
        <x:v>5098.7</x:v>
      </x:c>
      <x:c r="L151" s="16" t="n">
        <x:v>5103.2</x:v>
      </x:c>
      <x:c r="M151" s="16" t="n">
        <x:v>4.5</x:v>
      </x:c>
      <x:c r="N151" s="16" t="n">
        <x:v>47.55555555555556</x:v>
      </x:c>
      <x:c r="O151" s="12" t="str">
        <x:v>FTRL44G004</x:v>
      </x:c>
      <x:c r="P151" s="12" t="str">
        <x:v>EXVV35G005</x:v>
      </x:c>
      <x:c r="Q151" s="12" t="str"/>
      <x:c r="R151" s="12" t="str"/>
      <x:c r="S151" s="12" t="str"/>
      <x:c r="T151" s="12" t="str">
        <x:v>ABM</x:v>
      </x:c>
      <x:c r="U151" s="12" t="str"/>
      <x:c r="V151" s="12" t="str"/>
      <x:c r="W151" s="12" t="str"/>
      <x:c r="X151" s="12" t="str">
        <x:v>EXVV35</x:v>
      </x:c>
      <x:c r="Y151" s="12" t="str">
        <x:v>FANGKI &amp; ACUNG</x:v>
      </x:c>
      <x:c r="Z151" s="12" t="str"/>
      <x:c r="AA151" s="32" t="n">
        <x:f>IFERROR(VLOOKUP(G151,Master_Unit!$A$2:$N$78,7,FALSE),"")</x:f>
        <x:v>25</x:v>
      </x:c>
      <x:c r="AB151" s="32" t="n">
        <x:f>IF(OR(N151="",AA151=""),"",N151-AA151)</x:f>
        <x:v>22.555555555555557</x:v>
      </x:c>
      <x:c r="AC151" s="20" t="n">
        <x:f>IF(OR(N151="",AA151="",AA151=0),"",AB151/AA151)</x:f>
        <x:v>0.9022222222222223</x:v>
      </x:c>
      <x:c r="AD151" t="str">
        <x:f>IF(AA151="","NO STANDARD",IF(AC151&lt;=Config_Status!$B$2,"EFFICIENT",IF(AC151&lt;=Config_Status!$B$3,"NORMAL",IF(AC151&lt;=Config_Status!$B$4,"WARNING","OVER CONSUMPTION"))))</x:f>
        <x:v>OVER CONSUMPTION</x:v>
      </x:c>
      <x:c r="AE151" t="str">
        <x:f>IFERROR(VLOOKUP(G151,Master_Unit!$A$2:$N$78,13,FALSE),"UNIT NOT FOUND")</x:f>
        <x:v>Matched</x:v>
      </x:c>
    </x:row>
    <x:row r="152">
      <x:c r="A152" s="12" t="str">
        <x:v>FU-20260602-00151</x:v>
      </x:c>
      <x:c r="B152" s="12" t="n">
        <x:v>281</x:v>
      </x:c>
      <x:c r="C152" s="14" t="n">
        <x:v>46175</x:v>
      </x:c>
      <x:c r="D152" s="12" t="str">
        <x:v>Selasa</x:v>
      </x:c>
      <x:c r="E152" s="12" t="str">
        <x:v>18:36:00</x:v>
      </x:c>
      <x:c r="F152" s="12" t="str">
        <x:v>All Shift Night</x:v>
      </x:c>
      <x:c r="G152" s="12" t="str">
        <x:v>BDKM85G039</x:v>
      </x:c>
      <x:c r="H152" s="12" t="str">
        <x:v>Dozer</x:v>
      </x:c>
      <x:c r="I152" s="12" t="str">
        <x:v>BULDOZER KOMATSU D85ESS-2</x:v>
      </x:c>
      <x:c r="J152" s="16" t="n">
        <x:v>151</x:v>
      </x:c>
      <x:c r="K152" s="16" t="n">
        <x:v>7022</x:v>
      </x:c>
      <x:c r="L152" s="16" t="n">
        <x:v>7026.5</x:v>
      </x:c>
      <x:c r="M152" s="16" t="n">
        <x:v>4.5</x:v>
      </x:c>
      <x:c r="N152" s="16" t="n">
        <x:v>33.55555555555556</x:v>
      </x:c>
      <x:c r="O152" s="12" t="str">
        <x:v>FTRL44G004</x:v>
      </x:c>
      <x:c r="P152" s="12" t="str">
        <x:v>BDKM85G039</x:v>
      </x:c>
      <x:c r="Q152" s="12" t="str"/>
      <x:c r="R152" s="12" t="str"/>
      <x:c r="S152" s="12" t="str"/>
      <x:c r="T152" s="12" t="str">
        <x:v>ABM</x:v>
      </x:c>
      <x:c r="U152" s="12" t="str"/>
      <x:c r="V152" s="12" t="str"/>
      <x:c r="W152" s="12" t="str"/>
      <x:c r="X152" s="12" t="str">
        <x:v>BDKM85</x:v>
      </x:c>
      <x:c r="Y152" s="12" t="str">
        <x:v>FANGKI &amp; ACUNG</x:v>
      </x:c>
      <x:c r="Z152" s="12" t="str"/>
      <x:c r="AA152" s="32" t="n">
        <x:f>IFERROR(VLOOKUP(G152,Master_Unit!$A$2:$N$78,7,FALSE),"")</x:f>
        <x:v>30</x:v>
      </x:c>
      <x:c r="AB152" s="32" t="n">
        <x:f>IF(OR(N152="",AA152=""),"",N152-AA152)</x:f>
        <x:v>3.555555555555557</x:v>
      </x:c>
      <x:c r="AC152" s="20" t="n">
        <x:f>IF(OR(N152="",AA152="",AA152=0),"",AB152/AA152)</x:f>
        <x:v>0.11851851851851856</x:v>
      </x:c>
      <x:c r="AD152" t="str">
        <x:f>IF(AA152="","NO STANDARD",IF(AC152&lt;=Config_Status!$B$2,"EFFICIENT",IF(AC152&lt;=Config_Status!$B$3,"NORMAL",IF(AC152&lt;=Config_Status!$B$4,"WARNING","OVER CONSUMPTION"))))</x:f>
        <x:v>WARNING</x:v>
      </x:c>
      <x:c r="AE152" t="str">
        <x:f>IFERROR(VLOOKUP(G152,Master_Unit!$A$2:$N$78,13,FALSE),"UNIT NOT FOUND")</x:f>
        <x:v>Matched</x:v>
      </x:c>
    </x:row>
    <x:row r="153">
      <x:c r="A153" s="12" t="str">
        <x:v>FU-20260602-00152</x:v>
      </x:c>
      <x:c r="B153" s="12" t="n">
        <x:v>282</x:v>
      </x:c>
      <x:c r="C153" s="14" t="n">
        <x:v>46175</x:v>
      </x:c>
      <x:c r="D153" s="12" t="str">
        <x:v>Selasa</x:v>
      </x:c>
      <x:c r="E153" s="12" t="str">
        <x:v>18:44:00</x:v>
      </x:c>
      <x:c r="F153" s="12" t="str">
        <x:v>All Shift Night</x:v>
      </x:c>
      <x:c r="G153" s="12" t="str">
        <x:v>STRL44G155</x:v>
      </x:c>
      <x:c r="H153" s="12" t="str">
        <x:v>Dump Truck</x:v>
      </x:c>
      <x:c r="I153" s="12" t="str">
        <x:v>DUMP TRUCK RENAULT KRANGE440-P6X4 A/T</x:v>
      </x:c>
      <x:c r="J153" s="16" t="n">
        <x:v>152</x:v>
      </x:c>
      <x:c r="K153" s="16" t="n">
        <x:v>3881</x:v>
      </x:c>
      <x:c r="L153" s="16" t="n">
        <x:v>3888</x:v>
      </x:c>
      <x:c r="M153" s="16" t="n">
        <x:v>7</x:v>
      </x:c>
      <x:c r="N153" s="16" t="n">
        <x:v>21.714285714285715</x:v>
      </x:c>
      <x:c r="O153" s="12" t="str">
        <x:v>FTRL44G004</x:v>
      </x:c>
      <x:c r="P153" s="12" t="str">
        <x:v>STRL44G155</x:v>
      </x:c>
      <x:c r="Q153" s="12" t="str"/>
      <x:c r="R153" s="12" t="str"/>
      <x:c r="S153" s="12" t="str"/>
      <x:c r="T153" s="12" t="str">
        <x:v>ABM</x:v>
      </x:c>
      <x:c r="U153" s="12" t="str"/>
      <x:c r="V153" s="12" t="str"/>
      <x:c r="W153" s="12" t="str"/>
      <x:c r="X153" s="12" t="str">
        <x:v>STRL44</x:v>
      </x:c>
      <x:c r="Y153" s="12" t="str">
        <x:v>FANGKI &amp; ACUNG</x:v>
      </x:c>
      <x:c r="Z153" s="12" t="str"/>
      <x:c r="AA153" s="32" t="n">
        <x:f>IFERROR(VLOOKUP(G153,Master_Unit!$A$2:$N$78,7,FALSE),"")</x:f>
        <x:v>20</x:v>
      </x:c>
      <x:c r="AB153" s="32" t="n">
        <x:f>IF(OR(N153="",AA153=""),"",N153-AA153)</x:f>
        <x:v>1.7142857142857153</x:v>
      </x:c>
      <x:c r="AC153" s="20" t="n">
        <x:f>IF(OR(N153="",AA153="",AA153=0),"",AB153/AA153)</x:f>
        <x:v>0.08571428571428577</x:v>
      </x:c>
      <x:c r="AD153" t="str">
        <x:f>IF(AA153="","NO STANDARD",IF(AC153&lt;=Config_Status!$B$2,"EFFICIENT",IF(AC153&lt;=Config_Status!$B$3,"NORMAL",IF(AC153&lt;=Config_Status!$B$4,"WARNING","OVER CONSUMPTION"))))</x:f>
        <x:v>NORMAL</x:v>
      </x:c>
      <x:c r="AE153" t="str">
        <x:f>IFERROR(VLOOKUP(G153,Master_Unit!$A$2:$N$78,13,FALSE),"UNIT NOT FOUND")</x:f>
        <x:v>Matched</x:v>
      </x:c>
    </x:row>
    <x:row r="154">
      <x:c r="A154" s="12" t="str">
        <x:v>FU-20260602-00153</x:v>
      </x:c>
      <x:c r="B154" s="12" t="n">
        <x:v>283</x:v>
      </x:c>
      <x:c r="C154" s="14" t="n">
        <x:v>46175</x:v>
      </x:c>
      <x:c r="D154" s="12" t="str">
        <x:v>Selasa</x:v>
      </x:c>
      <x:c r="E154" s="12" t="str">
        <x:v>18:50:00</x:v>
      </x:c>
      <x:c r="F154" s="12" t="str">
        <x:v>All Shift Night</x:v>
      </x:c>
      <x:c r="G154" s="12" t="str">
        <x:v>BDKM85G040</x:v>
      </x:c>
      <x:c r="H154" s="12" t="str">
        <x:v>Dozer</x:v>
      </x:c>
      <x:c r="I154" s="12" t="str">
        <x:v>BULDOZER KOMATSU D85ESS-2</x:v>
      </x:c>
      <x:c r="J154" s="16" t="n">
        <x:v>186</x:v>
      </x:c>
      <x:c r="K154" s="16" t="n">
        <x:v>6194.6</x:v>
      </x:c>
      <x:c r="L154" s="16" t="n">
        <x:v>6203.5</x:v>
      </x:c>
      <x:c r="M154" s="16" t="n">
        <x:v>8.899999999999636</x:v>
      </x:c>
      <x:c r="N154" s="16" t="n">
        <x:v>20.898876404495237</x:v>
      </x:c>
      <x:c r="O154" s="12" t="str">
        <x:v>FTRL44G004</x:v>
      </x:c>
      <x:c r="P154" s="12" t="str">
        <x:v>BDKM85G040</x:v>
      </x:c>
      <x:c r="Q154" s="12" t="str"/>
      <x:c r="R154" s="12" t="str"/>
      <x:c r="S154" s="12" t="str"/>
      <x:c r="T154" s="12" t="str">
        <x:v>ABM</x:v>
      </x:c>
      <x:c r="U154" s="12" t="str"/>
      <x:c r="V154" s="12" t="str"/>
      <x:c r="W154" s="12" t="str"/>
      <x:c r="X154" s="12" t="str">
        <x:v>BDKM85</x:v>
      </x:c>
      <x:c r="Y154" s="12" t="str">
        <x:v>FANGKI &amp; ACUNG</x:v>
      </x:c>
      <x:c r="Z154" s="12" t="str"/>
      <x:c r="AA154" s="32" t="n">
        <x:f>IFERROR(VLOOKUP(G154,Master_Unit!$A$2:$N$78,7,FALSE),"")</x:f>
        <x:v>30</x:v>
      </x:c>
      <x:c r="AB154" s="32" t="n">
        <x:f>IF(OR(N154="",AA154=""),"",N154-AA154)</x:f>
        <x:v>-9.101123595504763</x:v>
      </x:c>
      <x:c r="AC154" s="20" t="n">
        <x:f>IF(OR(N154="",AA154="",AA154=0),"",AB154/AA154)</x:f>
        <x:v>-0.3033707865168254</x:v>
      </x:c>
      <x:c r="AD154" t="str">
        <x:f>IF(AA154="","NO STANDARD",IF(AC154&lt;=Config_Status!$B$2,"EFFICIENT",IF(AC154&lt;=Config_Status!$B$3,"NORMAL",IF(AC154&lt;=Config_Status!$B$4,"WARNING","OVER CONSUMPTION"))))</x:f>
        <x:v>EFFICIENT</x:v>
      </x:c>
      <x:c r="AE154" t="str">
        <x:f>IFERROR(VLOOKUP(G154,Master_Unit!$A$2:$N$78,13,FALSE),"UNIT NOT FOUND")</x:f>
        <x:v>Matched</x:v>
      </x:c>
    </x:row>
    <x:row r="155">
      <x:c r="A155" s="12" t="str">
        <x:v>FU-20260602-00154</x:v>
      </x:c>
      <x:c r="B155" s="12" t="n">
        <x:v>284</x:v>
      </x:c>
      <x:c r="C155" s="14" t="n">
        <x:v>46175</x:v>
      </x:c>
      <x:c r="D155" s="12" t="str">
        <x:v>Selasa</x:v>
      </x:c>
      <x:c r="E155" s="12" t="str">
        <x:v>19:03:00</x:v>
      </x:c>
      <x:c r="F155" s="12" t="str">
        <x:v>All Shift Night</x:v>
      </x:c>
      <x:c r="G155" s="12" t="str">
        <x:v>STRL44G152</x:v>
      </x:c>
      <x:c r="H155" s="12" t="str">
        <x:v>Dump Truck</x:v>
      </x:c>
      <x:c r="I155" s="12" t="str">
        <x:v>DUMP TRUCK RENAULT KRANGE440-P6X4 A/T</x:v>
      </x:c>
      <x:c r="J155" s="16" t="n">
        <x:v>111</x:v>
      </x:c>
      <x:c r="K155" s="16" t="n">
        <x:v>3612</x:v>
      </x:c>
      <x:c r="L155" s="16" t="n">
        <x:v>3618</x:v>
      </x:c>
      <x:c r="M155" s="16" t="n">
        <x:v>6</x:v>
      </x:c>
      <x:c r="N155" s="16" t="n">
        <x:v>18.5</x:v>
      </x:c>
      <x:c r="O155" s="12" t="str">
        <x:v>FTRL44G004</x:v>
      </x:c>
      <x:c r="P155" s="12" t="str">
        <x:v>STRL44G152</x:v>
      </x:c>
      <x:c r="Q155" s="12" t="str"/>
      <x:c r="R155" s="12" t="str"/>
      <x:c r="S155" s="12" t="str"/>
      <x:c r="T155" s="12" t="str">
        <x:v>ABM</x:v>
      </x:c>
      <x:c r="U155" s="12" t="str"/>
      <x:c r="V155" s="12" t="str"/>
      <x:c r="W155" s="12" t="str"/>
      <x:c r="X155" s="12" t="str">
        <x:v>STRL44</x:v>
      </x:c>
      <x:c r="Y155" s="12" t="str">
        <x:v>FANGKI &amp; ACUNG</x:v>
      </x:c>
      <x:c r="Z155" s="12" t="str"/>
      <x:c r="AA155" s="32" t="n">
        <x:f>IFERROR(VLOOKUP(G155,Master_Unit!$A$2:$N$78,7,FALSE),"")</x:f>
        <x:v>20</x:v>
      </x:c>
      <x:c r="AB155" s="32" t="n">
        <x:f>IF(OR(N155="",AA155=""),"",N155-AA155)</x:f>
        <x:v>-1.5</x:v>
      </x:c>
      <x:c r="AC155" s="20" t="n">
        <x:f>IF(OR(N155="",AA155="",AA155=0),"",AB155/AA155)</x:f>
        <x:v>-0.075</x:v>
      </x:c>
      <x:c r="AD155" t="str">
        <x:f>IF(AA155="","NO STANDARD",IF(AC155&lt;=Config_Status!$B$2,"EFFICIENT",IF(AC155&lt;=Config_Status!$B$3,"NORMAL",IF(AC155&lt;=Config_Status!$B$4,"WARNING","OVER CONSUMPTION"))))</x:f>
        <x:v>NORMAL</x:v>
      </x:c>
      <x:c r="AE155" t="str">
        <x:f>IFERROR(VLOOKUP(G155,Master_Unit!$A$2:$N$78,13,FALSE),"UNIT NOT FOUND")</x:f>
        <x:v>Matched</x:v>
      </x:c>
    </x:row>
    <x:row r="156">
      <x:c r="A156" s="12" t="str">
        <x:v>FU-20260602-00155</x:v>
      </x:c>
      <x:c r="B156" s="12" t="n">
        <x:v>285</x:v>
      </x:c>
      <x:c r="C156" s="14" t="n">
        <x:v>46175</x:v>
      </x:c>
      <x:c r="D156" s="12" t="str">
        <x:v>Selasa</x:v>
      </x:c>
      <x:c r="E156" s="12" t="str">
        <x:v>19:06:00</x:v>
      </x:c>
      <x:c r="F156" s="12" t="str">
        <x:v>All Shift Night</x:v>
      </x:c>
      <x:c r="G156" s="12" t="str">
        <x:v>MGSD20G007</x:v>
      </x:c>
      <x:c r="H156" s="12" t="str">
        <x:v>Other</x:v>
      </x:c>
      <x:c r="I156" s="12" t="str">
        <x:v>MOTOR GRADER SDLG GD9220F</x:v>
      </x:c>
      <x:c r="J156" s="16" t="n">
        <x:v>71</x:v>
      </x:c>
      <x:c r="K156" s="16" t="n">
        <x:v>3683.4</x:v>
      </x:c>
      <x:c r="L156" s="16" t="n">
        <x:v>3689.5</x:v>
      </x:c>
      <x:c r="M156" s="16" t="n">
        <x:v>6.099999999999909</x:v>
      </x:c>
      <x:c r="N156" s="16" t="n">
        <x:v>11.639344262295255</x:v>
      </x:c>
      <x:c r="O156" s="12" t="str">
        <x:v>FTRL44G004</x:v>
      </x:c>
      <x:c r="P156" s="12" t="str">
        <x:v>MGSD20G007</x:v>
      </x:c>
      <x:c r="Q156" s="12" t="str"/>
      <x:c r="R156" s="12" t="str"/>
      <x:c r="S156" s="12" t="str"/>
      <x:c r="T156" s="12" t="str">
        <x:v>ABM</x:v>
      </x:c>
      <x:c r="U156" s="12" t="str"/>
      <x:c r="V156" s="12" t="str"/>
      <x:c r="W156" s="12" t="str"/>
      <x:c r="X156" s="12" t="str">
        <x:v>MGSD20</x:v>
      </x:c>
      <x:c r="Y156" s="12" t="str">
        <x:v>FANGKI &amp; ACUNG</x:v>
      </x:c>
      <x:c r="Z156" s="12" t="str"/>
      <x:c r="AA156" s="32" t="n">
        <x:f>IFERROR(VLOOKUP(G156,Master_Unit!$A$2:$N$78,7,FALSE),"")</x:f>
        <x:v>20</x:v>
      </x:c>
      <x:c r="AB156" s="32" t="n">
        <x:f>IF(OR(N156="",AA156=""),"",N156-AA156)</x:f>
        <x:v>-8.360655737704745</x:v>
      </x:c>
      <x:c r="AC156" s="20" t="n">
        <x:f>IF(OR(N156="",AA156="",AA156=0),"",AB156/AA156)</x:f>
        <x:v>-0.41803278688523726</x:v>
      </x:c>
      <x:c r="AD156" t="str">
        <x:f>IF(AA156="","NO STANDARD",IF(AC156&lt;=Config_Status!$B$2,"EFFICIENT",IF(AC156&lt;=Config_Status!$B$3,"NORMAL",IF(AC156&lt;=Config_Status!$B$4,"WARNING","OVER CONSUMPTION"))))</x:f>
        <x:v>EFFICIENT</x:v>
      </x:c>
      <x:c r="AE156" t="str">
        <x:f>IFERROR(VLOOKUP(G156,Master_Unit!$A$2:$N$78,13,FALSE),"UNIT NOT FOUND")</x:f>
        <x:v>Matched</x:v>
      </x:c>
    </x:row>
    <x:row r="157">
      <x:c r="A157" s="12" t="str">
        <x:v>FU-20260602-00156</x:v>
      </x:c>
      <x:c r="B157" s="12" t="n">
        <x:v>286</x:v>
      </x:c>
      <x:c r="C157" s="14" t="n">
        <x:v>46175</x:v>
      </x:c>
      <x:c r="D157" s="12" t="str">
        <x:v>Selasa</x:v>
      </x:c>
      <x:c r="E157" s="12" t="str">
        <x:v>19:09:00</x:v>
      </x:c>
      <x:c r="F157" s="12" t="str">
        <x:v>All Shift Night</x:v>
      </x:c>
      <x:c r="G157" s="12" t="str">
        <x:v>STRL44G138</x:v>
      </x:c>
      <x:c r="H157" s="12" t="str">
        <x:v>Dump Truck</x:v>
      </x:c>
      <x:c r="I157" s="12" t="str">
        <x:v>DUMP TRUCK RENAULT KRANGE440-P6X4 A/T</x:v>
      </x:c>
      <x:c r="J157" s="16" t="n">
        <x:v>92</x:v>
      </x:c>
      <x:c r="K157" s="16" t="n">
        <x:v>5218</x:v>
      </x:c>
      <x:c r="L157" s="16" t="n">
        <x:v>5224</x:v>
      </x:c>
      <x:c r="M157" s="16" t="n">
        <x:v>6</x:v>
      </x:c>
      <x:c r="N157" s="16" t="n">
        <x:v>15.333333333333334</x:v>
      </x:c>
      <x:c r="O157" s="12" t="str">
        <x:v>FTRL44G004</x:v>
      </x:c>
      <x:c r="P157" s="12" t="str">
        <x:v>STRL44G138</x:v>
      </x:c>
      <x:c r="Q157" s="12" t="str"/>
      <x:c r="R157" s="12" t="str"/>
      <x:c r="S157" s="12" t="str"/>
      <x:c r="T157" s="12" t="str">
        <x:v>ABM</x:v>
      </x:c>
      <x:c r="U157" s="12" t="str"/>
      <x:c r="V157" s="12" t="str"/>
      <x:c r="W157" s="12" t="str"/>
      <x:c r="X157" s="12" t="str">
        <x:v>STRL44</x:v>
      </x:c>
      <x:c r="Y157" s="12" t="str">
        <x:v>FANGKI &amp; ACUNG</x:v>
      </x:c>
      <x:c r="Z157" s="12" t="str"/>
      <x:c r="AA157" s="32" t="n">
        <x:f>IFERROR(VLOOKUP(G157,Master_Unit!$A$2:$N$78,7,FALSE),"")</x:f>
        <x:v>20</x:v>
      </x:c>
      <x:c r="AB157" s="32" t="n">
        <x:f>IF(OR(N157="",AA157=""),"",N157-AA157)</x:f>
        <x:v>-4.666666666666666</x:v>
      </x:c>
      <x:c r="AC157" s="20" t="n">
        <x:f>IF(OR(N157="",AA157="",AA157=0),"",AB157/AA157)</x:f>
        <x:v>-0.2333333333333333</x:v>
      </x:c>
      <x:c r="AD157" t="str">
        <x:f>IF(AA157="","NO STANDARD",IF(AC157&lt;=Config_Status!$B$2,"EFFICIENT",IF(AC157&lt;=Config_Status!$B$3,"NORMAL",IF(AC157&lt;=Config_Status!$B$4,"WARNING","OVER CONSUMPTION"))))</x:f>
        <x:v>EFFICIENT</x:v>
      </x:c>
      <x:c r="AE157" t="str">
        <x:f>IFERROR(VLOOKUP(G157,Master_Unit!$A$2:$N$78,13,FALSE),"UNIT NOT FOUND")</x:f>
        <x:v>Matched</x:v>
      </x:c>
    </x:row>
    <x:row r="158">
      <x:c r="A158" s="12" t="str">
        <x:v>FU-20260602-00157</x:v>
      </x:c>
      <x:c r="B158" s="12" t="n">
        <x:v>287</x:v>
      </x:c>
      <x:c r="C158" s="14" t="n">
        <x:v>46175</x:v>
      </x:c>
      <x:c r="D158" s="12" t="str">
        <x:v>Selasa</x:v>
      </x:c>
      <x:c r="E158" s="12" t="str">
        <x:v>19:11:00</x:v>
      </x:c>
      <x:c r="F158" s="12" t="str">
        <x:v>All Shift Night</x:v>
      </x:c>
      <x:c r="G158" s="12" t="str">
        <x:v>EXVV21G036</x:v>
      </x:c>
      <x:c r="H158" s="12" t="str">
        <x:v>Excavator</x:v>
      </x:c>
      <x:c r="I158" s="12" t="str">
        <x:v>EXCAVATOR VOLVO EC210D</x:v>
      </x:c>
      <x:c r="J158" s="16" t="n">
        <x:v>166</x:v>
      </x:c>
      <x:c r="K158" s="16" t="n">
        <x:v>7456.6</x:v>
      </x:c>
      <x:c r="L158" s="16" t="n">
        <x:v>7465.2</x:v>
      </x:c>
      <x:c r="M158" s="16" t="n">
        <x:v>8.599999999999454</x:v>
      </x:c>
      <x:c r="N158" s="16" t="n">
        <x:v>19.302325581396573</x:v>
      </x:c>
      <x:c r="O158" s="12" t="str">
        <x:v>FTRL44G004</x:v>
      </x:c>
      <x:c r="P158" s="12" t="str">
        <x:v>EXVV21G036</x:v>
      </x:c>
      <x:c r="Q158" s="12" t="str"/>
      <x:c r="R158" s="12" t="str"/>
      <x:c r="S158" s="12" t="str"/>
      <x:c r="T158" s="12" t="str">
        <x:v>ABM</x:v>
      </x:c>
      <x:c r="U158" s="12" t="str"/>
      <x:c r="V158" s="12" t="str"/>
      <x:c r="W158" s="12" t="str"/>
      <x:c r="X158" s="12" t="str">
        <x:v>EXVV21</x:v>
      </x:c>
      <x:c r="Y158" s="12" t="str">
        <x:v>FANGKI &amp; ACUNG</x:v>
      </x:c>
      <x:c r="Z158" s="12" t="str"/>
      <x:c r="AA158" s="32" t="n">
        <x:f>IFERROR(VLOOKUP(G158,Master_Unit!$A$2:$N$78,7,FALSE),"")</x:f>
        <x:v>20</x:v>
      </x:c>
      <x:c r="AB158" s="32" t="n">
        <x:f>IF(OR(N158="",AA158=""),"",N158-AA158)</x:f>
        <x:v>-0.6976744186034267</x:v>
      </x:c>
      <x:c r="AC158" s="20" t="n">
        <x:f>IF(OR(N158="",AA158="",AA158=0),"",AB158/AA158)</x:f>
        <x:v>-0.034883720930171336</x:v>
      </x:c>
      <x:c r="AD158" t="str">
        <x:f>IF(AA158="","NO STANDARD",IF(AC158&lt;=Config_Status!$B$2,"EFFICIENT",IF(AC158&lt;=Config_Status!$B$3,"NORMAL",IF(AC158&lt;=Config_Status!$B$4,"WARNING","OVER CONSUMPTION"))))</x:f>
        <x:v>NORMAL</x:v>
      </x:c>
      <x:c r="AE158" t="str">
        <x:f>IFERROR(VLOOKUP(G158,Master_Unit!$A$2:$N$78,13,FALSE),"UNIT NOT FOUND")</x:f>
        <x:v>Matched</x:v>
      </x:c>
    </x:row>
    <x:row r="159">
      <x:c r="A159" s="12" t="str">
        <x:v>FU-20260602-00158</x:v>
      </x:c>
      <x:c r="B159" s="12" t="n">
        <x:v>288</x:v>
      </x:c>
      <x:c r="C159" s="14" t="n">
        <x:v>46175</x:v>
      </x:c>
      <x:c r="D159" s="12" t="str">
        <x:v>Selasa</x:v>
      </x:c>
      <x:c r="E159" s="12" t="str">
        <x:v>19:14:00</x:v>
      </x:c>
      <x:c r="F159" s="12" t="str">
        <x:v>All Shift Night</x:v>
      </x:c>
      <x:c r="G159" s="12" t="str">
        <x:v>STRL44G135</x:v>
      </x:c>
      <x:c r="H159" s="12" t="str">
        <x:v>Dump Truck</x:v>
      </x:c>
      <x:c r="I159" s="12" t="str">
        <x:v>DUMP TRUCK RENAULT KRANGE440-P6X4 A/T</x:v>
      </x:c>
      <x:c r="J159" s="16" t="n">
        <x:v>123</x:v>
      </x:c>
      <x:c r="K159" s="16" t="n">
        <x:v>5727</x:v>
      </x:c>
      <x:c r="L159" s="16" t="n">
        <x:v>5745</x:v>
      </x:c>
      <x:c r="M159" s="16" t="n">
        <x:v>18</x:v>
      </x:c>
      <x:c r="N159" s="16" t="n">
        <x:v>6.833333333333333</x:v>
      </x:c>
      <x:c r="O159" s="12" t="str">
        <x:v>FTRL44G004</x:v>
      </x:c>
      <x:c r="P159" s="12" t="str">
        <x:v>STRL44G135</x:v>
      </x:c>
      <x:c r="Q159" s="12" t="str"/>
      <x:c r="R159" s="12" t="str"/>
      <x:c r="S159" s="12" t="str"/>
      <x:c r="T159" s="12" t="str">
        <x:v>ABM</x:v>
      </x:c>
      <x:c r="U159" s="12" t="str"/>
      <x:c r="V159" s="12" t="str"/>
      <x:c r="W159" s="12" t="str"/>
      <x:c r="X159" s="12" t="str">
        <x:v>STRL44</x:v>
      </x:c>
      <x:c r="Y159" s="12" t="str">
        <x:v>FANGKI &amp; ACUNG</x:v>
      </x:c>
      <x:c r="Z159" s="12" t="str"/>
      <x:c r="AA159" s="32" t="n">
        <x:f>IFERROR(VLOOKUP(G159,Master_Unit!$A$2:$N$78,7,FALSE),"")</x:f>
        <x:v>20</x:v>
      </x:c>
      <x:c r="AB159" s="32" t="n">
        <x:f>IF(OR(N159="",AA159=""),"",N159-AA159)</x:f>
        <x:v>-13.166666666666668</x:v>
      </x:c>
      <x:c r="AC159" s="20" t="n">
        <x:f>IF(OR(N159="",AA159="",AA159=0),"",AB159/AA159)</x:f>
        <x:v>-0.6583333333333334</x:v>
      </x:c>
      <x:c r="AD159" t="str">
        <x:f>IF(AA159="","NO STANDARD",IF(AC159&lt;=Config_Status!$B$2,"EFFICIENT",IF(AC159&lt;=Config_Status!$B$3,"NORMAL",IF(AC159&lt;=Config_Status!$B$4,"WARNING","OVER CONSUMPTION"))))</x:f>
        <x:v>EFFICIENT</x:v>
      </x:c>
      <x:c r="AE159" t="str">
        <x:f>IFERROR(VLOOKUP(G159,Master_Unit!$A$2:$N$78,13,FALSE),"UNIT NOT FOUND")</x:f>
        <x:v>Matched</x:v>
      </x:c>
    </x:row>
    <x:row r="160">
      <x:c r="A160" s="12" t="str">
        <x:v>FU-20260602-00159</x:v>
      </x:c>
      <x:c r="B160" s="12" t="n">
        <x:v>289</x:v>
      </x:c>
      <x:c r="C160" s="14" t="n">
        <x:v>46175</x:v>
      </x:c>
      <x:c r="D160" s="12" t="str">
        <x:v>Selasa</x:v>
      </x:c>
      <x:c r="E160" s="12" t="str">
        <x:v>19:19:00</x:v>
      </x:c>
      <x:c r="F160" s="12" t="str">
        <x:v>All Shift Night</x:v>
      </x:c>
      <x:c r="G160" s="12" t="str">
        <x:v>LVTH24R033</x:v>
      </x:c>
      <x:c r="H160" s="12" t="str">
        <x:v>Light Vehicle</x:v>
      </x:c>
      <x:c r="I160" s="12" t="str">
        <x:v>LIGHT VEHICLE TOYOTA HILUX</x:v>
      </x:c>
      <x:c r="J160" s="16" t="n">
        <x:v>20</x:v>
      </x:c>
      <x:c r="K160" s="16" t="n">
        <x:v>137133</x:v>
      </x:c>
      <x:c r="L160" s="16" t="n">
        <x:v>137339</x:v>
      </x:c>
      <x:c r="M160" s="16" t="n">
        <x:v>206</x:v>
      </x:c>
      <x:c r="N160" s="16" t="n">
        <x:v>0.0970873786407767</x:v>
      </x:c>
      <x:c r="O160" s="12" t="str">
        <x:v>FTRL44G004</x:v>
      </x:c>
      <x:c r="P160" s="12" t="str">
        <x:v>LVTH24R033</x:v>
      </x:c>
      <x:c r="Q160" s="12" t="str"/>
      <x:c r="R160" s="12" t="str"/>
      <x:c r="S160" s="12" t="str"/>
      <x:c r="T160" s="12" t="str">
        <x:v>ABM</x:v>
      </x:c>
      <x:c r="U160" s="12" t="str"/>
      <x:c r="V160" s="12" t="str"/>
      <x:c r="W160" s="12" t="str"/>
      <x:c r="X160" s="12" t="str">
        <x:v>LVTH24</x:v>
      </x:c>
      <x:c r="Y160" s="12" t="str">
        <x:v>FANGKI &amp; ACUNG</x:v>
      </x:c>
      <x:c r="Z160" s="12" t="str"/>
      <x:c r="AA160" s="32" t="n">
        <x:f>IFERROR(VLOOKUP(G160,Master_Unit!$A$2:$N$78,7,FALSE),"")</x:f>
        <x:v>0.2</x:v>
      </x:c>
      <x:c r="AB160" s="32" t="n">
        <x:f>IF(OR(N160="",AA160=""),"",N160-AA160)</x:f>
        <x:v>-0.10291262135922331</x:v>
      </x:c>
      <x:c r="AC160" s="20" t="n">
        <x:f>IF(OR(N160="",AA160="",AA160=0),"",AB160/AA160)</x:f>
        <x:v>-0.5145631067961165</x:v>
      </x:c>
      <x:c r="AD160" t="str">
        <x:f>IF(AA160="","NO STANDARD",IF(AC160&lt;=Config_Status!$B$2,"EFFICIENT",IF(AC160&lt;=Config_Status!$B$3,"NORMAL",IF(AC160&lt;=Config_Status!$B$4,"WARNING","OVER CONSUMPTION"))))</x:f>
        <x:v>EFFICIENT</x:v>
      </x:c>
      <x:c r="AE160" t="str">
        <x:f>IFERROR(VLOOKUP(G160,Master_Unit!$A$2:$N$78,13,FALSE),"UNIT NOT FOUND")</x:f>
        <x:v>Matched</x:v>
      </x:c>
    </x:row>
    <x:row r="161">
      <x:c r="A161" s="12" t="str">
        <x:v>FU-20260602-00160</x:v>
      </x:c>
      <x:c r="B161" s="12" t="n">
        <x:v>290</x:v>
      </x:c>
      <x:c r="C161" s="14" t="n">
        <x:v>46175</x:v>
      </x:c>
      <x:c r="D161" s="12" t="str">
        <x:v>Selasa</x:v>
      </x:c>
      <x:c r="E161" s="12" t="str">
        <x:v>19:25:00</x:v>
      </x:c>
      <x:c r="F161" s="12" t="str">
        <x:v>All Shift Night</x:v>
      </x:c>
      <x:c r="G161" s="12" t="str">
        <x:v>STRL44G137</x:v>
      </x:c>
      <x:c r="H161" s="12" t="str">
        <x:v>Dump Truck</x:v>
      </x:c>
      <x:c r="I161" s="12" t="str">
        <x:v>DUMP TRUCK RENAULT KRANGE440-P6X4 A/T</x:v>
      </x:c>
      <x:c r="J161" s="16" t="n">
        <x:v>110</x:v>
      </x:c>
      <x:c r="K161" s="16" t="n">
        <x:v>6341</x:v>
      </x:c>
      <x:c r="L161" s="16" t="n">
        <x:v>6350</x:v>
      </x:c>
      <x:c r="M161" s="16" t="n">
        <x:v>9</x:v>
      </x:c>
      <x:c r="N161" s="16" t="n">
        <x:v>12.222222222222221</x:v>
      </x:c>
      <x:c r="O161" s="12" t="str">
        <x:v>FTRL44G004</x:v>
      </x:c>
      <x:c r="P161" s="12" t="str">
        <x:v>STRL44G137</x:v>
      </x:c>
      <x:c r="Q161" s="12" t="str"/>
      <x:c r="R161" s="12" t="str"/>
      <x:c r="S161" s="12" t="str"/>
      <x:c r="T161" s="12" t="str">
        <x:v>ABM</x:v>
      </x:c>
      <x:c r="U161" s="12" t="str"/>
      <x:c r="V161" s="12" t="str"/>
      <x:c r="W161" s="12" t="str"/>
      <x:c r="X161" s="12" t="str">
        <x:v>STRL44</x:v>
      </x:c>
      <x:c r="Y161" s="12" t="str">
        <x:v>FANGKI &amp; ACUNG</x:v>
      </x:c>
      <x:c r="Z161" s="12" t="str"/>
      <x:c r="AA161" s="32" t="n">
        <x:f>IFERROR(VLOOKUP(G161,Master_Unit!$A$2:$N$78,7,FALSE),"")</x:f>
        <x:v>20</x:v>
      </x:c>
      <x:c r="AB161" s="32" t="n">
        <x:f>IF(OR(N161="",AA161=""),"",N161-AA161)</x:f>
        <x:v>-7.777777777777779</x:v>
      </x:c>
      <x:c r="AC161" s="20" t="n">
        <x:f>IF(OR(N161="",AA161="",AA161=0),"",AB161/AA161)</x:f>
        <x:v>-0.38888888888888895</x:v>
      </x:c>
      <x:c r="AD161" t="str">
        <x:f>IF(AA161="","NO STANDARD",IF(AC161&lt;=Config_Status!$B$2,"EFFICIENT",IF(AC161&lt;=Config_Status!$B$3,"NORMAL",IF(AC161&lt;=Config_Status!$B$4,"WARNING","OVER CONSUMPTION"))))</x:f>
        <x:v>EFFICIENT</x:v>
      </x:c>
      <x:c r="AE161" t="str">
        <x:f>IFERROR(VLOOKUP(G161,Master_Unit!$A$2:$N$78,13,FALSE),"UNIT NOT FOUND")</x:f>
        <x:v>Matched</x:v>
      </x:c>
    </x:row>
    <x:row r="162">
      <x:c r="A162" s="12" t="str">
        <x:v>FU-20260602-00161</x:v>
      </x:c>
      <x:c r="B162" s="12" t="n">
        <x:v>291</x:v>
      </x:c>
      <x:c r="C162" s="14" t="n">
        <x:v>46175</x:v>
      </x:c>
      <x:c r="D162" s="12" t="str">
        <x:v>Selasa</x:v>
      </x:c>
      <x:c r="E162" s="12" t="str">
        <x:v>19:29:00</x:v>
      </x:c>
      <x:c r="F162" s="12" t="str">
        <x:v>All Shift Night</x:v>
      </x:c>
      <x:c r="G162" s="12" t="str">
        <x:v>STRL44G134</x:v>
      </x:c>
      <x:c r="H162" s="12" t="str">
        <x:v>Dump Truck</x:v>
      </x:c>
      <x:c r="I162" s="12" t="str">
        <x:v>DUMP TRUCK RENAULT KRANGE440-P6X4 A/T</x:v>
      </x:c>
      <x:c r="J162" s="16" t="n">
        <x:v>113</x:v>
      </x:c>
      <x:c r="K162" s="16" t="n">
        <x:v>5589</x:v>
      </x:c>
      <x:c r="L162" s="16" t="n">
        <x:v>5604</x:v>
      </x:c>
      <x:c r="M162" s="16" t="n">
        <x:v>15</x:v>
      </x:c>
      <x:c r="N162" s="16" t="n">
        <x:v>7.533333333333333</x:v>
      </x:c>
      <x:c r="O162" s="12" t="str">
        <x:v>FTRL44G004</x:v>
      </x:c>
      <x:c r="P162" s="12" t="str">
        <x:v>STRL44G134</x:v>
      </x:c>
      <x:c r="Q162" s="12" t="str"/>
      <x:c r="R162" s="12" t="str"/>
      <x:c r="S162" s="12" t="str"/>
      <x:c r="T162" s="12" t="str">
        <x:v>ABM</x:v>
      </x:c>
      <x:c r="U162" s="12" t="str"/>
      <x:c r="V162" s="12" t="str"/>
      <x:c r="W162" s="12" t="str"/>
      <x:c r="X162" s="12" t="str">
        <x:v>STRL44</x:v>
      </x:c>
      <x:c r="Y162" s="12" t="str">
        <x:v>FANGKI &amp; ACUNG</x:v>
      </x:c>
      <x:c r="Z162" s="12" t="str"/>
      <x:c r="AA162" s="32" t="n">
        <x:f>IFERROR(VLOOKUP(G162,Master_Unit!$A$2:$N$78,7,FALSE),"")</x:f>
        <x:v>20</x:v>
      </x:c>
      <x:c r="AB162" s="32" t="n">
        <x:f>IF(OR(N162="",AA162=""),"",N162-AA162)</x:f>
        <x:v>-12.466666666666667</x:v>
      </x:c>
      <x:c r="AC162" s="20" t="n">
        <x:f>IF(OR(N162="",AA162="",AA162=0),"",AB162/AA162)</x:f>
        <x:v>-0.6233333333333333</x:v>
      </x:c>
      <x:c r="AD162" t="str">
        <x:f>IF(AA162="","NO STANDARD",IF(AC162&lt;=Config_Status!$B$2,"EFFICIENT",IF(AC162&lt;=Config_Status!$B$3,"NORMAL",IF(AC162&lt;=Config_Status!$B$4,"WARNING","OVER CONSUMPTION"))))</x:f>
        <x:v>EFFICIENT</x:v>
      </x:c>
      <x:c r="AE162" t="str">
        <x:f>IFERROR(VLOOKUP(G162,Master_Unit!$A$2:$N$78,13,FALSE),"UNIT NOT FOUND")</x:f>
        <x:v>Matched</x:v>
      </x:c>
    </x:row>
    <x:row r="163">
      <x:c r="A163" s="12" t="str">
        <x:v>FU-20260602-00162</x:v>
      </x:c>
      <x:c r="B163" s="12" t="n">
        <x:v>292</x:v>
      </x:c>
      <x:c r="C163" s="14" t="n">
        <x:v>46175</x:v>
      </x:c>
      <x:c r="D163" s="12" t="str">
        <x:v>Selasa</x:v>
      </x:c>
      <x:c r="E163" s="12" t="str">
        <x:v>19:34:00</x:v>
      </x:c>
      <x:c r="F163" s="12" t="str">
        <x:v>All Shift Night</x:v>
      </x:c>
      <x:c r="G163" s="12" t="str">
        <x:v>STRL44G136</x:v>
      </x:c>
      <x:c r="H163" s="12" t="str">
        <x:v>Dump Truck</x:v>
      </x:c>
      <x:c r="I163" s="12" t="str">
        <x:v>DUMP TRUCK RENAULT KRANGE440-P6X4 A/T</x:v>
      </x:c>
      <x:c r="J163" s="16" t="n">
        <x:v>88</x:v>
      </x:c>
      <x:c r="K163" s="16" t="n">
        <x:v>5762</x:v>
      </x:c>
      <x:c r="L163" s="16" t="n">
        <x:v>5771</x:v>
      </x:c>
      <x:c r="M163" s="16" t="n">
        <x:v>9</x:v>
      </x:c>
      <x:c r="N163" s="16" t="n">
        <x:v>9.777777777777779</x:v>
      </x:c>
      <x:c r="O163" s="12" t="str">
        <x:v>FTRL44G004</x:v>
      </x:c>
      <x:c r="P163" s="12" t="str">
        <x:v>STRL44G136</x:v>
      </x:c>
      <x:c r="Q163" s="12" t="str"/>
      <x:c r="R163" s="12" t="str"/>
      <x:c r="S163" s="12" t="str"/>
      <x:c r="T163" s="12" t="str">
        <x:v>ABM</x:v>
      </x:c>
      <x:c r="U163" s="12" t="str"/>
      <x:c r="V163" s="12" t="str"/>
      <x:c r="W163" s="12" t="str"/>
      <x:c r="X163" s="12" t="str">
        <x:v>STRL44</x:v>
      </x:c>
      <x:c r="Y163" s="12" t="str">
        <x:v>FANGKI &amp; ACUNG</x:v>
      </x:c>
      <x:c r="Z163" s="12" t="str"/>
      <x:c r="AA163" s="32" t="n">
        <x:f>IFERROR(VLOOKUP(G163,Master_Unit!$A$2:$N$78,7,FALSE),"")</x:f>
        <x:v>20</x:v>
      </x:c>
      <x:c r="AB163" s="32" t="n">
        <x:f>IF(OR(N163="",AA163=""),"",N163-AA163)</x:f>
        <x:v>-10.222222222222221</x:v>
      </x:c>
      <x:c r="AC163" s="20" t="n">
        <x:f>IF(OR(N163="",AA163="",AA163=0),"",AB163/AA163)</x:f>
        <x:v>-0.5111111111111111</x:v>
      </x:c>
      <x:c r="AD163" t="str">
        <x:f>IF(AA163="","NO STANDARD",IF(AC163&lt;=Config_Status!$B$2,"EFFICIENT",IF(AC163&lt;=Config_Status!$B$3,"NORMAL",IF(AC163&lt;=Config_Status!$B$4,"WARNING","OVER CONSUMPTION"))))</x:f>
        <x:v>EFFICIENT</x:v>
      </x:c>
      <x:c r="AE163" t="str">
        <x:f>IFERROR(VLOOKUP(G163,Master_Unit!$A$2:$N$78,13,FALSE),"UNIT NOT FOUND")</x:f>
        <x:v>Matched</x:v>
      </x:c>
    </x:row>
    <x:row r="164">
      <x:c r="A164" s="12" t="str">
        <x:v>FU-20260602-00163</x:v>
      </x:c>
      <x:c r="B164" s="12" t="n">
        <x:v>293</x:v>
      </x:c>
      <x:c r="C164" s="14" t="n">
        <x:v>46175</x:v>
      </x:c>
      <x:c r="D164" s="12" t="str">
        <x:v>Selasa</x:v>
      </x:c>
      <x:c r="E164" s="12" t="str">
        <x:v>19:57:00</x:v>
      </x:c>
      <x:c r="F164" s="12" t="str">
        <x:v>All Shift Night</x:v>
      </x:c>
      <x:c r="G164" s="12" t="str">
        <x:v>EXVV21G035</x:v>
      </x:c>
      <x:c r="H164" s="12" t="str">
        <x:v>Excavator</x:v>
      </x:c>
      <x:c r="I164" s="12" t="str">
        <x:v>EXCAVATOR VOLVO EC210D</x:v>
      </x:c>
      <x:c r="J164" s="16" t="n">
        <x:v>158</x:v>
      </x:c>
      <x:c r="K164" s="16" t="n">
        <x:v>8282.4</x:v>
      </x:c>
      <x:c r="L164" s="16" t="n">
        <x:v>8294.2</x:v>
      </x:c>
      <x:c r="M164" s="16" t="n">
        <x:v>11.800000000001091</x:v>
      </x:c>
      <x:c r="N164" s="16" t="n">
        <x:v>13.389830508473338</x:v>
      </x:c>
      <x:c r="O164" s="12" t="str">
        <x:v>FTRL44G004</x:v>
      </x:c>
      <x:c r="P164" s="12" t="str">
        <x:v>EXVV21G035</x:v>
      </x:c>
      <x:c r="Q164" s="12" t="str"/>
      <x:c r="R164" s="12" t="str"/>
      <x:c r="S164" s="12" t="str"/>
      <x:c r="T164" s="12" t="str">
        <x:v>ABM</x:v>
      </x:c>
      <x:c r="U164" s="12" t="str"/>
      <x:c r="V164" s="12" t="str"/>
      <x:c r="W164" s="12" t="str"/>
      <x:c r="X164" s="12" t="str">
        <x:v>EXVV21</x:v>
      </x:c>
      <x:c r="Y164" s="12" t="str">
        <x:v>FANGKI &amp; ACUNG</x:v>
      </x:c>
      <x:c r="Z164" s="12" t="str"/>
      <x:c r="AA164" s="32" t="n">
        <x:f>IFERROR(VLOOKUP(G164,Master_Unit!$A$2:$N$78,7,FALSE),"")</x:f>
        <x:v>20</x:v>
      </x:c>
      <x:c r="AB164" s="32" t="n">
        <x:f>IF(OR(N164="",AA164=""),"",N164-AA164)</x:f>
        <x:v>-6.610169491526662</x:v>
      </x:c>
      <x:c r="AC164" s="20" t="n">
        <x:f>IF(OR(N164="",AA164="",AA164=0),"",AB164/AA164)</x:f>
        <x:v>-0.3305084745763331</x:v>
      </x:c>
      <x:c r="AD164" t="str">
        <x:f>IF(AA164="","NO STANDARD",IF(AC164&lt;=Config_Status!$B$2,"EFFICIENT",IF(AC164&lt;=Config_Status!$B$3,"NORMAL",IF(AC164&lt;=Config_Status!$B$4,"WARNING","OVER CONSUMPTION"))))</x:f>
        <x:v>EFFICIENT</x:v>
      </x:c>
      <x:c r="AE164" t="str">
        <x:f>IFERROR(VLOOKUP(G164,Master_Unit!$A$2:$N$78,13,FALSE),"UNIT NOT FOUND")</x:f>
        <x:v>Matched</x:v>
      </x:c>
    </x:row>
    <x:row r="165">
      <x:c r="A165" s="12" t="str">
        <x:v>FU-20260602-00164</x:v>
      </x:c>
      <x:c r="B165" s="12" t="n">
        <x:v>294</x:v>
      </x:c>
      <x:c r="C165" s="14" t="n">
        <x:v>46175</x:v>
      </x:c>
      <x:c r="D165" s="12" t="str">
        <x:v>Selasa</x:v>
      </x:c>
      <x:c r="E165" s="12" t="str">
        <x:v>20:02:00</x:v>
      </x:c>
      <x:c r="F165" s="12" t="str">
        <x:v>All Shift Night</x:v>
      </x:c>
      <x:c r="G165" s="12" t="str">
        <x:v>EXVV21G032</x:v>
      </x:c>
      <x:c r="H165" s="12" t="str">
        <x:v>Excavator</x:v>
      </x:c>
      <x:c r="I165" s="12" t="str">
        <x:v>EXCAVATOR VOLVO EC210D</x:v>
      </x:c>
      <x:c r="J165" s="16" t="n">
        <x:v>158</x:v>
      </x:c>
      <x:c r="K165" s="16" t="n">
        <x:v>7412.2</x:v>
      </x:c>
      <x:c r="L165" s="16" t="n">
        <x:v>7422.8</x:v>
      </x:c>
      <x:c r="M165" s="16" t="n">
        <x:v>10.600000000000364</x:v>
      </x:c>
      <x:c r="N165" s="16" t="n">
        <x:v>14.905660377357979</x:v>
      </x:c>
      <x:c r="O165" s="12" t="str">
        <x:v>FTRL44G004</x:v>
      </x:c>
      <x:c r="P165" s="12" t="str">
        <x:v>EXVV21G032</x:v>
      </x:c>
      <x:c r="Q165" s="12" t="str"/>
      <x:c r="R165" s="12" t="str"/>
      <x:c r="S165" s="12" t="str"/>
      <x:c r="T165" s="12" t="str">
        <x:v>ABM</x:v>
      </x:c>
      <x:c r="U165" s="12" t="str"/>
      <x:c r="V165" s="12" t="str"/>
      <x:c r="W165" s="12" t="str"/>
      <x:c r="X165" s="12" t="str">
        <x:v>EXVV21</x:v>
      </x:c>
      <x:c r="Y165" s="12" t="str">
        <x:v>FANGKI &amp; ACUNG</x:v>
      </x:c>
      <x:c r="Z165" s="12" t="str"/>
      <x:c r="AA165" s="32" t="n">
        <x:f>IFERROR(VLOOKUP(G165,Master_Unit!$A$2:$N$78,7,FALSE),"")</x:f>
        <x:v>20</x:v>
      </x:c>
      <x:c r="AB165" s="32" t="n">
        <x:f>IF(OR(N165="",AA165=""),"",N165-AA165)</x:f>
        <x:v>-5.094339622642021</x:v>
      </x:c>
      <x:c r="AC165" s="20" t="n">
        <x:f>IF(OR(N165="",AA165="",AA165=0),"",AB165/AA165)</x:f>
        <x:v>-0.25471698113210106</x:v>
      </x:c>
      <x:c r="AD165" t="str">
        <x:f>IF(AA165="","NO STANDARD",IF(AC165&lt;=Config_Status!$B$2,"EFFICIENT",IF(AC165&lt;=Config_Status!$B$3,"NORMAL",IF(AC165&lt;=Config_Status!$B$4,"WARNING","OVER CONSUMPTION"))))</x:f>
        <x:v>EFFICIENT</x:v>
      </x:c>
      <x:c r="AE165" t="str">
        <x:f>IFERROR(VLOOKUP(G165,Master_Unit!$A$2:$N$78,13,FALSE),"UNIT NOT FOUND")</x:f>
        <x:v>Matched</x:v>
      </x:c>
    </x:row>
    <x:row r="166">
      <x:c r="A166" s="12" t="str">
        <x:v>FU-20260602-00165</x:v>
      </x:c>
      <x:c r="B166" s="12" t="n">
        <x:v>295</x:v>
      </x:c>
      <x:c r="C166" s="14" t="n">
        <x:v>46175</x:v>
      </x:c>
      <x:c r="D166" s="12" t="str">
        <x:v>Selasa</x:v>
      </x:c>
      <x:c r="E166" s="12" t="str">
        <x:v>20:11:00</x:v>
      </x:c>
      <x:c r="F166" s="12" t="str">
        <x:v>All Shift Night</x:v>
      </x:c>
      <x:c r="G166" s="12" t="str">
        <x:v>EXVV21G042</x:v>
      </x:c>
      <x:c r="H166" s="12" t="str">
        <x:v>Excavator</x:v>
      </x:c>
      <x:c r="I166" s="12" t="str">
        <x:v>EXCAVATOR VOLVO EC210D</x:v>
      </x:c>
      <x:c r="J166" s="16" t="n">
        <x:v>159</x:v>
      </x:c>
      <x:c r="K166" s="16" t="n">
        <x:v>7608.3</x:v>
      </x:c>
      <x:c r="L166" s="16" t="n">
        <x:v>7619.9</x:v>
      </x:c>
      <x:c r="M166" s="16" t="n">
        <x:v>11.599999999999454</x:v>
      </x:c>
      <x:c r="N166" s="16" t="n">
        <x:v>13.706896551724784</x:v>
      </x:c>
      <x:c r="O166" s="12" t="str">
        <x:v>FTRL44G004</x:v>
      </x:c>
      <x:c r="P166" s="12" t="str">
        <x:v>EXVV21G042</x:v>
      </x:c>
      <x:c r="Q166" s="12" t="str"/>
      <x:c r="R166" s="12" t="str"/>
      <x:c r="S166" s="12" t="str"/>
      <x:c r="T166" s="12" t="str">
        <x:v>ABM</x:v>
      </x:c>
      <x:c r="U166" s="12" t="str"/>
      <x:c r="V166" s="12" t="str"/>
      <x:c r="W166" s="12" t="str"/>
      <x:c r="X166" s="12" t="str">
        <x:v>EXVV21</x:v>
      </x:c>
      <x:c r="Y166" s="12" t="str">
        <x:v>FANGKI &amp; ACUNG</x:v>
      </x:c>
      <x:c r="Z166" s="12" t="str"/>
      <x:c r="AA166" s="32" t="n">
        <x:f>IFERROR(VLOOKUP(G166,Master_Unit!$A$2:$N$78,7,FALSE),"")</x:f>
        <x:v>20</x:v>
      </x:c>
      <x:c r="AB166" s="32" t="n">
        <x:f>IF(OR(N166="",AA166=""),"",N166-AA166)</x:f>
        <x:v>-6.293103448275216</x:v>
      </x:c>
      <x:c r="AC166" s="20" t="n">
        <x:f>IF(OR(N166="",AA166="",AA166=0),"",AB166/AA166)</x:f>
        <x:v>-0.31465517241376084</x:v>
      </x:c>
      <x:c r="AD166" t="str">
        <x:f>IF(AA166="","NO STANDARD",IF(AC166&lt;=Config_Status!$B$2,"EFFICIENT",IF(AC166&lt;=Config_Status!$B$3,"NORMAL",IF(AC166&lt;=Config_Status!$B$4,"WARNING","OVER CONSUMPTION"))))</x:f>
        <x:v>EFFICIENT</x:v>
      </x:c>
      <x:c r="AE166" t="str">
        <x:f>IFERROR(VLOOKUP(G166,Master_Unit!$A$2:$N$78,13,FALSE),"UNIT NOT FOUND")</x:f>
        <x:v>Matched</x:v>
      </x:c>
    </x:row>
    <x:row r="167">
      <x:c r="A167" s="12" t="str">
        <x:v>FU-20260602-00166</x:v>
      </x:c>
      <x:c r="B167" s="12" t="n">
        <x:v>296</x:v>
      </x:c>
      <x:c r="C167" s="14" t="n">
        <x:v>46175</x:v>
      </x:c>
      <x:c r="D167" s="12" t="str">
        <x:v>Selasa</x:v>
      </x:c>
      <x:c r="E167" s="12" t="str">
        <x:v>20:16:00</x:v>
      </x:c>
      <x:c r="F167" s="12" t="str">
        <x:v>All Shift Night</x:v>
      </x:c>
      <x:c r="G167" s="12" t="str">
        <x:v>EXVV21G037</x:v>
      </x:c>
      <x:c r="H167" s="12" t="str">
        <x:v>Excavator</x:v>
      </x:c>
      <x:c r="I167" s="12" t="str">
        <x:v>EXCAVATOR VOLVO EC210D</x:v>
      </x:c>
      <x:c r="J167" s="16" t="n">
        <x:v>132</x:v>
      </x:c>
      <x:c r="K167" s="16" t="n">
        <x:v>6758.8</x:v>
      </x:c>
      <x:c r="L167" s="16" t="n">
        <x:v>6768.6</x:v>
      </x:c>
      <x:c r="M167" s="16" t="n">
        <x:v>9.800000000000182</x:v>
      </x:c>
      <x:c r="N167" s="16" t="n">
        <x:v>13.46938775510179</x:v>
      </x:c>
      <x:c r="O167" s="12" t="str">
        <x:v>FTRL44G004</x:v>
      </x:c>
      <x:c r="P167" s="12" t="str">
        <x:v>EXVV21G037</x:v>
      </x:c>
      <x:c r="Q167" s="12" t="str"/>
      <x:c r="R167" s="12" t="str"/>
      <x:c r="S167" s="12" t="str"/>
      <x:c r="T167" s="12" t="str">
        <x:v>ABM</x:v>
      </x:c>
      <x:c r="U167" s="12" t="str"/>
      <x:c r="V167" s="12" t="str"/>
      <x:c r="W167" s="12" t="str"/>
      <x:c r="X167" s="12" t="str">
        <x:v>EXVV21</x:v>
      </x:c>
      <x:c r="Y167" s="12" t="str">
        <x:v>FANGKI &amp; ACUNG</x:v>
      </x:c>
      <x:c r="Z167" s="12" t="str"/>
      <x:c r="AA167" s="32" t="n">
        <x:f>IFERROR(VLOOKUP(G167,Master_Unit!$A$2:$N$78,7,FALSE),"")</x:f>
        <x:v>20</x:v>
      </x:c>
      <x:c r="AB167" s="32" t="n">
        <x:f>IF(OR(N167="",AA167=""),"",N167-AA167)</x:f>
        <x:v>-6.53061224489821</x:v>
      </x:c>
      <x:c r="AC167" s="20" t="n">
        <x:f>IF(OR(N167="",AA167="",AA167=0),"",AB167/AA167)</x:f>
        <x:v>-0.3265306122449105</x:v>
      </x:c>
      <x:c r="AD167" t="str">
        <x:f>IF(AA167="","NO STANDARD",IF(AC167&lt;=Config_Status!$B$2,"EFFICIENT",IF(AC167&lt;=Config_Status!$B$3,"NORMAL",IF(AC167&lt;=Config_Status!$B$4,"WARNING","OVER CONSUMPTION"))))</x:f>
        <x:v>EFFICIENT</x:v>
      </x:c>
      <x:c r="AE167" t="str">
        <x:f>IFERROR(VLOOKUP(G167,Master_Unit!$A$2:$N$78,13,FALSE),"UNIT NOT FOUND")</x:f>
        <x:v>Matched</x:v>
      </x:c>
    </x:row>
    <x:row r="168">
      <x:c r="A168" s="12" t="str">
        <x:v>FU-20260602-00167</x:v>
      </x:c>
      <x:c r="B168" s="12" t="n">
        <x:v>297</x:v>
      </x:c>
      <x:c r="C168" s="14" t="n">
        <x:v>46175</x:v>
      </x:c>
      <x:c r="D168" s="12" t="str">
        <x:v>Selasa</x:v>
      </x:c>
      <x:c r="E168" s="12" t="str">
        <x:v>20:32:00</x:v>
      </x:c>
      <x:c r="F168" s="12" t="str">
        <x:v>All Shift Night</x:v>
      </x:c>
      <x:c r="G168" s="12" t="str">
        <x:v>EXVV21G039</x:v>
      </x:c>
      <x:c r="H168" s="12" t="str">
        <x:v>Excavator</x:v>
      </x:c>
      <x:c r="I168" s="12" t="str">
        <x:v>EXCAVATOR VOLVO EC210D</x:v>
      </x:c>
      <x:c r="J168" s="16" t="n">
        <x:v>158</x:v>
      </x:c>
      <x:c r="K168" s="16" t="n">
        <x:v>6173.1</x:v>
      </x:c>
      <x:c r="L168" s="16" t="n">
        <x:v>6181.6</x:v>
      </x:c>
      <x:c r="M168" s="16" t="n">
        <x:v>8.5</x:v>
      </x:c>
      <x:c r="N168" s="16" t="n">
        <x:v>18.58823529411765</x:v>
      </x:c>
      <x:c r="O168" s="12" t="str">
        <x:v>FTRL44G004</x:v>
      </x:c>
      <x:c r="P168" s="12" t="str">
        <x:v>EXVV21G039</x:v>
      </x:c>
      <x:c r="Q168" s="12" t="str"/>
      <x:c r="R168" s="12" t="str"/>
      <x:c r="S168" s="12" t="str"/>
      <x:c r="T168" s="12" t="str">
        <x:v>ABM</x:v>
      </x:c>
      <x:c r="U168" s="12" t="str"/>
      <x:c r="V168" s="12" t="str"/>
      <x:c r="W168" s="12" t="str"/>
      <x:c r="X168" s="12" t="str">
        <x:v>EXVV21</x:v>
      </x:c>
      <x:c r="Y168" s="12" t="str">
        <x:v>FANGKI &amp; ACUNG</x:v>
      </x:c>
      <x:c r="Z168" s="12" t="str"/>
      <x:c r="AA168" s="32" t="n">
        <x:f>IFERROR(VLOOKUP(G168,Master_Unit!$A$2:$N$78,7,FALSE),"")</x:f>
        <x:v>20</x:v>
      </x:c>
      <x:c r="AB168" s="32" t="n">
        <x:f>IF(OR(N168="",AA168=""),"",N168-AA168)</x:f>
        <x:v>-1.4117647058823515</x:v>
      </x:c>
      <x:c r="AC168" s="20" t="n">
        <x:f>IF(OR(N168="",AA168="",AA168=0),"",AB168/AA168)</x:f>
        <x:v>-0.07058823529411758</x:v>
      </x:c>
      <x:c r="AD168" t="str">
        <x:f>IF(AA168="","NO STANDARD",IF(AC168&lt;=Config_Status!$B$2,"EFFICIENT",IF(AC168&lt;=Config_Status!$B$3,"NORMAL",IF(AC168&lt;=Config_Status!$B$4,"WARNING","OVER CONSUMPTION"))))</x:f>
        <x:v>NORMAL</x:v>
      </x:c>
      <x:c r="AE168" t="str">
        <x:f>IFERROR(VLOOKUP(G168,Master_Unit!$A$2:$N$78,13,FALSE),"UNIT NOT FOUND")</x:f>
        <x:v>Matched</x:v>
      </x:c>
    </x:row>
    <x:row r="169">
      <x:c r="A169" s="12" t="str">
        <x:v>FU-20260602-00168</x:v>
      </x:c>
      <x:c r="B169" s="12" t="n">
        <x:v>298</x:v>
      </x:c>
      <x:c r="C169" s="14" t="n">
        <x:v>46175</x:v>
      </x:c>
      <x:c r="D169" s="12" t="str">
        <x:v>Selasa</x:v>
      </x:c>
      <x:c r="E169" s="12" t="str">
        <x:v>20:39:00</x:v>
      </x:c>
      <x:c r="F169" s="12" t="str">
        <x:v>All Shift Night</x:v>
      </x:c>
      <x:c r="G169" s="12" t="str">
        <x:v>EXVV21G043</x:v>
      </x:c>
      <x:c r="H169" s="12" t="str">
        <x:v>Excavator</x:v>
      </x:c>
      <x:c r="I169" s="12" t="str">
        <x:v>EXCAVATOR VOLVO EC210D</x:v>
      </x:c>
      <x:c r="J169" s="16" t="n">
        <x:v>73</x:v>
      </x:c>
      <x:c r="K169" s="16" t="n">
        <x:v>5287.8</x:v>
      </x:c>
      <x:c r="L169" s="16" t="n">
        <x:v>5292.5</x:v>
      </x:c>
      <x:c r="M169" s="16" t="n">
        <x:v>4.699999999999818</x:v>
      </x:c>
      <x:c r="N169" s="16" t="n">
        <x:v>15.531914893617623</x:v>
      </x:c>
      <x:c r="O169" s="12" t="str">
        <x:v>FTRL44G004</x:v>
      </x:c>
      <x:c r="P169" s="12" t="str">
        <x:v>EXVV21G043</x:v>
      </x:c>
      <x:c r="Q169" s="12" t="str"/>
      <x:c r="R169" s="12" t="str"/>
      <x:c r="S169" s="12" t="str"/>
      <x:c r="T169" s="12" t="str">
        <x:v>ABM</x:v>
      </x:c>
      <x:c r="U169" s="12" t="str"/>
      <x:c r="V169" s="12" t="str"/>
      <x:c r="W169" s="12" t="str"/>
      <x:c r="X169" s="12" t="str">
        <x:v>EXVV21</x:v>
      </x:c>
      <x:c r="Y169" s="12" t="str">
        <x:v>FANGKI &amp; ACUNG</x:v>
      </x:c>
      <x:c r="Z169" s="12" t="str"/>
      <x:c r="AA169" s="32" t="n">
        <x:f>IFERROR(VLOOKUP(G169,Master_Unit!$A$2:$N$78,7,FALSE),"")</x:f>
        <x:v>20</x:v>
      </x:c>
      <x:c r="AB169" s="32" t="n">
        <x:f>IF(OR(N169="",AA169=""),"",N169-AA169)</x:f>
        <x:v>-4.468085106382377</x:v>
      </x:c>
      <x:c r="AC169" s="20" t="n">
        <x:f>IF(OR(N169="",AA169="",AA169=0),"",AB169/AA169)</x:f>
        <x:v>-0.22340425531911884</x:v>
      </x:c>
      <x:c r="AD169" t="str">
        <x:f>IF(AA169="","NO STANDARD",IF(AC169&lt;=Config_Status!$B$2,"EFFICIENT",IF(AC169&lt;=Config_Status!$B$3,"NORMAL",IF(AC169&lt;=Config_Status!$B$4,"WARNING","OVER CONSUMPTION"))))</x:f>
        <x:v>EFFICIENT</x:v>
      </x:c>
      <x:c r="AE169" t="str">
        <x:f>IFERROR(VLOOKUP(G169,Master_Unit!$A$2:$N$78,13,FALSE),"UNIT NOT FOUND")</x:f>
        <x:v>Matched</x:v>
      </x:c>
    </x:row>
    <x:row r="170">
      <x:c r="A170" s="12" t="str">
        <x:v>FU-20260603-00169</x:v>
      </x:c>
      <x:c r="B170" s="12" t="n">
        <x:v>299</x:v>
      </x:c>
      <x:c r="C170" s="14" t="n">
        <x:v>46176</x:v>
      </x:c>
      <x:c r="D170" s="12" t="str">
        <x:v>Rabu</x:v>
      </x:c>
      <x:c r="E170" s="12" t="str">
        <x:v>06:25:00</x:v>
      </x:c>
      <x:c r="F170" s="12" t="str">
        <x:v>All Shift Day</x:v>
      </x:c>
      <x:c r="G170" s="12" t="str">
        <x:v>GSHT40G002</x:v>
      </x:c>
      <x:c r="H170" s="12" t="str">
        <x:v>Genset</x:v>
      </x:c>
      <x:c r="I170" s="12" t="str">
        <x:v>GENSET HARTECH HT-400-V</x:v>
      </x:c>
      <x:c r="J170" s="16" t="n">
        <x:v>239</x:v>
      </x:c>
      <x:c r="K170" s="16" t="n">
        <x:v>14531.3</x:v>
      </x:c>
      <x:c r="L170" s="16" t="n">
        <x:v>14555.11</x:v>
      </x:c>
      <x:c r="M170" s="16" t="n">
        <x:v>23.81000000000131</x:v>
      </x:c>
      <x:c r="N170" s="16" t="n">
        <x:v>10.037799244014568</x:v>
      </x:c>
      <x:c r="O170" s="12" t="str">
        <x:v>FTRL44G004</x:v>
      </x:c>
      <x:c r="P170" s="12" t="str">
        <x:v>GSHT40G002</x:v>
      </x:c>
      <x:c r="Q170" s="12" t="str"/>
      <x:c r="R170" s="12" t="str"/>
      <x:c r="S170" s="12" t="str"/>
      <x:c r="T170" s="12" t="str">
        <x:v>ABM</x:v>
      </x:c>
      <x:c r="U170" s="12" t="str"/>
      <x:c r="V170" s="12" t="str"/>
      <x:c r="W170" s="12" t="str"/>
      <x:c r="X170" s="12" t="str">
        <x:v>GSHT40</x:v>
      </x:c>
      <x:c r="Y170" s="12" t="str">
        <x:v>BADRI &amp; KAMRAN</x:v>
      </x:c>
      <x:c r="Z170" s="12" t="str"/>
      <x:c r="AA170" s="32" t="n">
        <x:f>IFERROR(VLOOKUP(G170,Master_Unit!$A$2:$N$78,7,FALSE),"")</x:f>
        <x:v>25</x:v>
      </x:c>
      <x:c r="AB170" s="32" t="n">
        <x:f>IF(OR(N170="",AA170=""),"",N170-AA170)</x:f>
        <x:v>-14.962200755985432</x:v>
      </x:c>
      <x:c r="AC170" s="20" t="n">
        <x:f>IF(OR(N170="",AA170="",AA170=0),"",AB170/AA170)</x:f>
        <x:v>-0.5984880302394173</x:v>
      </x:c>
      <x:c r="AD170" t="str">
        <x:f>IF(AA170="","NO STANDARD",IF(AC170&lt;=Config_Status!$B$2,"EFFICIENT",IF(AC170&lt;=Config_Status!$B$3,"NORMAL",IF(AC170&lt;=Config_Status!$B$4,"WARNING","OVER CONSUMPTION"))))</x:f>
        <x:v>EFFICIENT</x:v>
      </x:c>
      <x:c r="AE170" t="str">
        <x:f>IFERROR(VLOOKUP(G170,Master_Unit!$A$2:$N$78,13,FALSE),"UNIT NOT FOUND")</x:f>
        <x:v>Matched</x:v>
      </x:c>
    </x:row>
    <x:row r="171">
      <x:c r="A171" s="12" t="str">
        <x:v>FU-20260603-00170</x:v>
      </x:c>
      <x:c r="B171" s="12" t="n">
        <x:v>300</x:v>
      </x:c>
      <x:c r="C171" s="14" t="n">
        <x:v>46176</x:v>
      </x:c>
      <x:c r="D171" s="12" t="str">
        <x:v>Rabu</x:v>
      </x:c>
      <x:c r="E171" s="12" t="str">
        <x:v>06:32:00</x:v>
      </x:c>
      <x:c r="F171" s="12" t="str">
        <x:v>All Shift Day</x:v>
      </x:c>
      <x:c r="G171" s="12" t="str">
        <x:v>FTRL44G004</x:v>
      </x:c>
      <x:c r="H171" s="12" t="str">
        <x:v>Fuel Truck</x:v>
      </x:c>
      <x:c r="I171" s="12" t="str">
        <x:v>FUEL TRUCK RENAULT KRANGE440-P6X4 A/T</x:v>
      </x:c>
      <x:c r="J171" s="16" t="n">
        <x:v>67</x:v>
      </x:c>
      <x:c r="K171" s="16" t="n">
        <x:v>3820</x:v>
      </x:c>
      <x:c r="L171" s="16" t="n">
        <x:v>3828</x:v>
      </x:c>
      <x:c r="M171" s="16" t="n">
        <x:v>8</x:v>
      </x:c>
      <x:c r="N171" s="16" t="n">
        <x:v>8.375</x:v>
      </x:c>
      <x:c r="O171" s="12" t="str">
        <x:v>FTRL44G004</x:v>
      </x:c>
      <x:c r="P171" s="12" t="str">
        <x:v>FTRL44G004</x:v>
      </x:c>
      <x:c r="Q171" s="12" t="str"/>
      <x:c r="R171" s="12" t="str"/>
      <x:c r="S171" s="12" t="str"/>
      <x:c r="T171" s="12" t="str">
        <x:v>ABM</x:v>
      </x:c>
      <x:c r="U171" s="12" t="str"/>
      <x:c r="V171" s="12" t="str"/>
      <x:c r="W171" s="12" t="str"/>
      <x:c r="X171" s="12" t="str">
        <x:v>FTRL44</x:v>
      </x:c>
      <x:c r="Y171" s="12" t="str">
        <x:v>BADRI &amp; KAMRAN</x:v>
      </x:c>
      <x:c r="Z171" s="12" t="str"/>
      <x:c r="AA171" s="32" t="n">
        <x:f>IFERROR(VLOOKUP(G171,Master_Unit!$A$2:$N$78,7,FALSE),"")</x:f>
        <x:v>13</x:v>
      </x:c>
      <x:c r="AB171" s="32" t="n">
        <x:f>IF(OR(N171="",AA171=""),"",N171-AA171)</x:f>
        <x:v>-4.625</x:v>
      </x:c>
      <x:c r="AC171" s="20" t="n">
        <x:f>IF(OR(N171="",AA171="",AA171=0),"",AB171/AA171)</x:f>
        <x:v>-0.3557692307692308</x:v>
      </x:c>
      <x:c r="AD171" t="str">
        <x:f>IF(AA171="","NO STANDARD",IF(AC171&lt;=Config_Status!$B$2,"EFFICIENT",IF(AC171&lt;=Config_Status!$B$3,"NORMAL",IF(AC171&lt;=Config_Status!$B$4,"WARNING","OVER CONSUMPTION"))))</x:f>
        <x:v>EFFICIENT</x:v>
      </x:c>
      <x:c r="AE171" t="str">
        <x:f>IFERROR(VLOOKUP(G171,Master_Unit!$A$2:$N$78,13,FALSE),"UNIT NOT FOUND")</x:f>
        <x:v>Matched</x:v>
      </x:c>
    </x:row>
    <x:row r="172">
      <x:c r="A172" s="12" t="str">
        <x:v>FU-20260603-00171</x:v>
      </x:c>
      <x:c r="B172" s="12" t="n">
        <x:v>301</x:v>
      </x:c>
      <x:c r="C172" s="14" t="n">
        <x:v>46176</x:v>
      </x:c>
      <x:c r="D172" s="12" t="str">
        <x:v>Rabu</x:v>
      </x:c>
      <x:c r="E172" s="12" t="str">
        <x:v>08:55:00</x:v>
      </x:c>
      <x:c r="F172" s="12" t="str">
        <x:v>All Shift Day</x:v>
      </x:c>
      <x:c r="G172" s="12" t="str">
        <x:v>LVTH24R053</x:v>
      </x:c>
      <x:c r="H172" s="12" t="str">
        <x:v>Light Vehicle</x:v>
      </x:c>
      <x:c r="I172" s="12" t="str">
        <x:v>LIGHT VEHICLE TOYOTA HILUX</x:v>
      </x:c>
      <x:c r="J172" s="16" t="n">
        <x:v>56</x:v>
      </x:c>
      <x:c r="K172" s="16" t="n">
        <x:v>23562</x:v>
      </x:c>
      <x:c r="L172" s="16" t="n">
        <x:v>24011</x:v>
      </x:c>
      <x:c r="M172" s="16" t="n">
        <x:v>449</x:v>
      </x:c>
      <x:c r="N172" s="16" t="n">
        <x:v>0.12472160356347439</x:v>
      </x:c>
      <x:c r="O172" s="12" t="str">
        <x:v>FTRL44G004</x:v>
      </x:c>
      <x:c r="P172" s="12" t="str">
        <x:v>LVTH24R053</x:v>
      </x:c>
      <x:c r="Q172" s="12" t="str"/>
      <x:c r="R172" s="12" t="str"/>
      <x:c r="S172" s="12" t="str"/>
      <x:c r="T172" s="12" t="str">
        <x:v>ABM</x:v>
      </x:c>
      <x:c r="U172" s="12" t="str"/>
      <x:c r="V172" s="12" t="str"/>
      <x:c r="W172" s="12" t="str"/>
      <x:c r="X172" s="12" t="str">
        <x:v>LVTH24</x:v>
      </x:c>
      <x:c r="Y172" s="12" t="str">
        <x:v>BADRI &amp; KAMRAN</x:v>
      </x:c>
      <x:c r="Z172" s="12" t="str"/>
      <x:c r="AA172" s="32" t="n">
        <x:f>IFERROR(VLOOKUP(G172,Master_Unit!$A$2:$N$78,7,FALSE),"")</x:f>
        <x:v>0.2</x:v>
      </x:c>
      <x:c r="AB172" s="32" t="n">
        <x:f>IF(OR(N172="",AA172=""),"",N172-AA172)</x:f>
        <x:v>-0.07527839643652562</x:v>
      </x:c>
      <x:c r="AC172" s="20" t="n">
        <x:f>IF(OR(N172="",AA172="",AA172=0),"",AB172/AA172)</x:f>
        <x:v>-0.3763919821826281</x:v>
      </x:c>
      <x:c r="AD172" t="str">
        <x:f>IF(AA172="","NO STANDARD",IF(AC172&lt;=Config_Status!$B$2,"EFFICIENT",IF(AC172&lt;=Config_Status!$B$3,"NORMAL",IF(AC172&lt;=Config_Status!$B$4,"WARNING","OVER CONSUMPTION"))))</x:f>
        <x:v>EFFICIENT</x:v>
      </x:c>
      <x:c r="AE172" t="str">
        <x:f>IFERROR(VLOOKUP(G172,Master_Unit!$A$2:$N$78,13,FALSE),"UNIT NOT FOUND")</x:f>
        <x:v>Matched</x:v>
      </x:c>
    </x:row>
    <x:row r="173">
      <x:c r="A173" s="12" t="str">
        <x:v>FU-20260603-00172</x:v>
      </x:c>
      <x:c r="B173" s="12" t="n">
        <x:v>302</x:v>
      </x:c>
      <x:c r="C173" s="14" t="n">
        <x:v>46176</x:v>
      </x:c>
      <x:c r="D173" s="12" t="str">
        <x:v>Rabu</x:v>
      </x:c>
      <x:c r="E173" s="12" t="str">
        <x:v>10:05:00</x:v>
      </x:c>
      <x:c r="F173" s="12" t="str">
        <x:v>All Shift Day</x:v>
      </x:c>
      <x:c r="G173" s="12" t="str">
        <x:v>TLYM50G020</x:v>
      </x:c>
      <x:c r="H173" s="12" t="str">
        <x:v>Other</x:v>
      </x:c>
      <x:c r="I173" s="12" t="str">
        <x:v>TOWERLAMP YAMAGEN YDG5001SE-D-TLD4</x:v>
      </x:c>
      <x:c r="J173" s="16" t="n">
        <x:v>17</x:v>
      </x:c>
      <x:c r="K173" s="16" t="n">
        <x:v>4469.99</x:v>
      </x:c>
      <x:c r="L173" s="16" t="n">
        <x:v>4489.66</x:v>
      </x:c>
      <x:c r="M173" s="16" t="n">
        <x:v>19.670000000000073</x:v>
      </x:c>
      <x:c r="N173" s="16" t="n">
        <x:v>0.8642602948652739</x:v>
      </x:c>
      <x:c r="O173" s="12" t="str">
        <x:v>FTRL44G004</x:v>
      </x:c>
      <x:c r="P173" s="12" t="str">
        <x:v>TLYM50G020</x:v>
      </x:c>
      <x:c r="Q173" s="12" t="str"/>
      <x:c r="R173" s="12" t="str"/>
      <x:c r="S173" s="12" t="str"/>
      <x:c r="T173" s="12" t="str">
        <x:v>ABM</x:v>
      </x:c>
      <x:c r="U173" s="12" t="str"/>
      <x:c r="V173" s="12" t="str"/>
      <x:c r="W173" s="12" t="str"/>
      <x:c r="X173" s="12" t="str">
        <x:v>TLYM50</x:v>
      </x:c>
      <x:c r="Y173" s="12" t="str">
        <x:v>BADRI &amp; KAMRAN</x:v>
      </x:c>
      <x:c r="Z173" s="12" t="str"/>
      <x:c r="AA173" s="32" t="n">
        <x:f>IFERROR(VLOOKUP(G173,Master_Unit!$A$2:$N$78,7,FALSE),"")</x:f>
        <x:v>2</x:v>
      </x:c>
      <x:c r="AB173" s="32" t="n">
        <x:f>IF(OR(N173="",AA173=""),"",N173-AA173)</x:f>
        <x:v>-1.1357397051347262</x:v>
      </x:c>
      <x:c r="AC173" s="20" t="n">
        <x:f>IF(OR(N173="",AA173="",AA173=0),"",AB173/AA173)</x:f>
        <x:v>-0.5678698525673631</x:v>
      </x:c>
      <x:c r="AD173" t="str">
        <x:f>IF(AA173="","NO STANDARD",IF(AC173&lt;=Config_Status!$B$2,"EFFICIENT",IF(AC173&lt;=Config_Status!$B$3,"NORMAL",IF(AC173&lt;=Config_Status!$B$4,"WARNING","OVER CONSUMPTION"))))</x:f>
        <x:v>EFFICIENT</x:v>
      </x:c>
      <x:c r="AE173" t="str">
        <x:f>IFERROR(VLOOKUP(G173,Master_Unit!$A$2:$N$78,13,FALSE),"UNIT NOT FOUND")</x:f>
        <x:v>Matched</x:v>
      </x:c>
    </x:row>
    <x:row r="174">
      <x:c r="A174" s="12" t="str">
        <x:v>FU-20260603-00173</x:v>
      </x:c>
      <x:c r="B174" s="12" t="n">
        <x:v>303</x:v>
      </x:c>
      <x:c r="C174" s="14" t="n">
        <x:v>46176</x:v>
      </x:c>
      <x:c r="D174" s="12" t="str">
        <x:v>Rabu</x:v>
      </x:c>
      <x:c r="E174" s="12" t="str">
        <x:v>10:11:00</x:v>
      </x:c>
      <x:c r="F174" s="12" t="str">
        <x:v>All Shift Day</x:v>
      </x:c>
      <x:c r="G174" s="12" t="str">
        <x:v>TLYM50G019</x:v>
      </x:c>
      <x:c r="H174" s="12" t="str">
        <x:v>Other</x:v>
      </x:c>
      <x:c r="I174" s="12" t="str">
        <x:v>TOWERLAMP YAMAGEN YDG5001SE-D-TLD4</x:v>
      </x:c>
      <x:c r="J174" s="16" t="n">
        <x:v>17</x:v>
      </x:c>
      <x:c r="K174" s="16" t="n">
        <x:v>4611.969999999999</x:v>
      </x:c>
      <x:c r="L174" s="16" t="n">
        <x:v>4631.849999999999</x:v>
      </x:c>
      <x:c r="M174" s="16" t="n">
        <x:v>19.88000000000011</x:v>
      </x:c>
      <x:c r="N174" s="16" t="n">
        <x:v>0.8551307847082448</x:v>
      </x:c>
      <x:c r="O174" s="12" t="str">
        <x:v>FTRL44G004</x:v>
      </x:c>
      <x:c r="P174" s="12" t="str">
        <x:v>TLYM50G019</x:v>
      </x:c>
      <x:c r="Q174" s="12" t="str"/>
      <x:c r="R174" s="12" t="str"/>
      <x:c r="S174" s="12" t="str"/>
      <x:c r="T174" s="12" t="str">
        <x:v>ABM</x:v>
      </x:c>
      <x:c r="U174" s="12" t="str"/>
      <x:c r="V174" s="12" t="str"/>
      <x:c r="W174" s="12" t="str"/>
      <x:c r="X174" s="12" t="str">
        <x:v>TLYM50</x:v>
      </x:c>
      <x:c r="Y174" s="12" t="str">
        <x:v>BADRI &amp; KAMRAN</x:v>
      </x:c>
      <x:c r="Z174" s="12" t="str"/>
      <x:c r="AA174" s="32" t="n">
        <x:f>IFERROR(VLOOKUP(G174,Master_Unit!$A$2:$N$78,7,FALSE),"")</x:f>
        <x:v>2</x:v>
      </x:c>
      <x:c r="AB174" s="32" t="n">
        <x:f>IF(OR(N174="",AA174=""),"",N174-AA174)</x:f>
        <x:v>-1.1448692152917552</x:v>
      </x:c>
      <x:c r="AC174" s="20" t="n">
        <x:f>IF(OR(N174="",AA174="",AA174=0),"",AB174/AA174)</x:f>
        <x:v>-0.5724346076458776</x:v>
      </x:c>
      <x:c r="AD174" t="str">
        <x:f>IF(AA174="","NO STANDARD",IF(AC174&lt;=Config_Status!$B$2,"EFFICIENT",IF(AC174&lt;=Config_Status!$B$3,"NORMAL",IF(AC174&lt;=Config_Status!$B$4,"WARNING","OVER CONSUMPTION"))))</x:f>
        <x:v>EFFICIENT</x:v>
      </x:c>
      <x:c r="AE174" t="str">
        <x:f>IFERROR(VLOOKUP(G174,Master_Unit!$A$2:$N$78,13,FALSE),"UNIT NOT FOUND")</x:f>
        <x:v>Matched</x:v>
      </x:c>
    </x:row>
    <x:row r="175">
      <x:c r="A175" s="12" t="str">
        <x:v>FU-20260603-00174</x:v>
      </x:c>
      <x:c r="B175" s="12" t="n">
        <x:v>304</x:v>
      </x:c>
      <x:c r="C175" s="14" t="n">
        <x:v>46176</x:v>
      </x:c>
      <x:c r="D175" s="12" t="str">
        <x:v>Rabu</x:v>
      </x:c>
      <x:c r="E175" s="12" t="str">
        <x:v>10:16:00</x:v>
      </x:c>
      <x:c r="F175" s="12" t="str">
        <x:v>All Shift Day</x:v>
      </x:c>
      <x:c r="G175" s="12" t="str">
        <x:v>TLYM50G023</x:v>
      </x:c>
      <x:c r="H175" s="12" t="str">
        <x:v>Other</x:v>
      </x:c>
      <x:c r="I175" s="12" t="str">
        <x:v>TOWERLAMP YAMAGEN YDG5001SE-D-TLD4</x:v>
      </x:c>
      <x:c r="J175" s="16" t="n">
        <x:v>21</x:v>
      </x:c>
      <x:c r="K175" s="16" t="n">
        <x:v>4420.32</x:v>
      </x:c>
      <x:c r="L175" s="16" t="n">
        <x:v>4439.74</x:v>
      </x:c>
      <x:c r="M175" s="16" t="n">
        <x:v>19.420000000000073</x:v>
      </x:c>
      <x:c r="N175" s="16" t="n">
        <x:v>1.0813594232749701</x:v>
      </x:c>
      <x:c r="O175" s="12" t="str">
        <x:v>FTRL44G004</x:v>
      </x:c>
      <x:c r="P175" s="12" t="str">
        <x:v>TLYM50G023</x:v>
      </x:c>
      <x:c r="Q175" s="12" t="str"/>
      <x:c r="R175" s="12" t="str"/>
      <x:c r="S175" s="12" t="str"/>
      <x:c r="T175" s="12" t="str">
        <x:v>ABM</x:v>
      </x:c>
      <x:c r="U175" s="12" t="str"/>
      <x:c r="V175" s="12" t="str"/>
      <x:c r="W175" s="12" t="str"/>
      <x:c r="X175" s="12" t="str">
        <x:v>TLYM50</x:v>
      </x:c>
      <x:c r="Y175" s="12" t="str">
        <x:v>BADRI &amp; KAMRAN</x:v>
      </x:c>
      <x:c r="Z175" s="12" t="str"/>
      <x:c r="AA175" s="32" t="n">
        <x:f>IFERROR(VLOOKUP(G175,Master_Unit!$A$2:$N$78,7,FALSE),"")</x:f>
        <x:v>2</x:v>
      </x:c>
      <x:c r="AB175" s="32" t="n">
        <x:f>IF(OR(N175="",AA175=""),"",N175-AA175)</x:f>
        <x:v>-0.9186405767250299</x:v>
      </x:c>
      <x:c r="AC175" s="20" t="n">
        <x:f>IF(OR(N175="",AA175="",AA175=0),"",AB175/AA175)</x:f>
        <x:v>-0.45932028836251493</x:v>
      </x:c>
      <x:c r="AD175" t="str">
        <x:f>IF(AA175="","NO STANDARD",IF(AC175&lt;=Config_Status!$B$2,"EFFICIENT",IF(AC175&lt;=Config_Status!$B$3,"NORMAL",IF(AC175&lt;=Config_Status!$B$4,"WARNING","OVER CONSUMPTION"))))</x:f>
        <x:v>EFFICIENT</x:v>
      </x:c>
      <x:c r="AE175" t="str">
        <x:f>IFERROR(VLOOKUP(G175,Master_Unit!$A$2:$N$78,13,FALSE),"UNIT NOT FOUND")</x:f>
        <x:v>Matched</x:v>
      </x:c>
    </x:row>
    <x:row r="176">
      <x:c r="A176" s="12" t="str">
        <x:v>FU-20260603-00175</x:v>
      </x:c>
      <x:c r="B176" s="12" t="n">
        <x:v>305</x:v>
      </x:c>
      <x:c r="C176" s="14" t="n">
        <x:v>46176</x:v>
      </x:c>
      <x:c r="D176" s="12" t="str">
        <x:v>Rabu</x:v>
      </x:c>
      <x:c r="E176" s="12" t="str">
        <x:v>10:27:00</x:v>
      </x:c>
      <x:c r="F176" s="12" t="str">
        <x:v>All Shift Day</x:v>
      </x:c>
      <x:c r="G176" s="12" t="str">
        <x:v>ACKS50G001</x:v>
      </x:c>
      <x:c r="H176" s="12" t="str">
        <x:v>Air Compressor</x:v>
      </x:c>
      <x:c r="I176" s="12" t="str">
        <x:v>AIR COMPRESSOR MOBILAR MOBILAIR M50</x:v>
      </x:c>
      <x:c r="J176" s="16" t="n">
        <x:v>58</x:v>
      </x:c>
      <x:c r="K176" s="16" t="n">
        <x:v>1151.62</x:v>
      </x:c>
      <x:c r="L176" s="16" t="n">
        <x:v>1163.1</x:v>
      </x:c>
      <x:c r="M176" s="16" t="n">
        <x:v>11.480000000000018</x:v>
      </x:c>
      <x:c r="N176" s="16" t="n">
        <x:v>5.052264808362361</x:v>
      </x:c>
      <x:c r="O176" s="12" t="str">
        <x:v>FTRL44G004</x:v>
      </x:c>
      <x:c r="P176" s="12" t="str">
        <x:v>ACKS50G001</x:v>
      </x:c>
      <x:c r="Q176" s="12" t="str"/>
      <x:c r="R176" s="12" t="str"/>
      <x:c r="S176" s="12" t="str"/>
      <x:c r="T176" s="12" t="str">
        <x:v>ABM</x:v>
      </x:c>
      <x:c r="U176" s="12" t="str"/>
      <x:c r="V176" s="12" t="str"/>
      <x:c r="W176" s="12" t="str"/>
      <x:c r="X176" s="12" t="str">
        <x:v>ACKS50</x:v>
      </x:c>
      <x:c r="Y176" s="12" t="str">
        <x:v>BADRI &amp; KAMRAN</x:v>
      </x:c>
      <x:c r="Z176" s="12" t="str"/>
      <x:c r="AA176" s="32" t="n">
        <x:f>IFERROR(VLOOKUP(G176,Master_Unit!$A$2:$N$78,7,FALSE),"")</x:f>
        <x:v>8</x:v>
      </x:c>
      <x:c r="AB176" s="32" t="n">
        <x:f>IF(OR(N176="",AA176=""),"",N176-AA176)</x:f>
        <x:v>-2.947735191637639</x:v>
      </x:c>
      <x:c r="AC176" s="20" t="n">
        <x:f>IF(OR(N176="",AA176="",AA176=0),"",AB176/AA176)</x:f>
        <x:v>-0.36846689895470486</x:v>
      </x:c>
      <x:c r="AD176" t="str">
        <x:f>IF(AA176="","NO STANDARD",IF(AC176&lt;=Config_Status!$B$2,"EFFICIENT",IF(AC176&lt;=Config_Status!$B$3,"NORMAL",IF(AC176&lt;=Config_Status!$B$4,"WARNING","OVER CONSUMPTION"))))</x:f>
        <x:v>EFFICIENT</x:v>
      </x:c>
      <x:c r="AE176" t="str">
        <x:f>IFERROR(VLOOKUP(G176,Master_Unit!$A$2:$N$78,13,FALSE),"UNIT NOT FOUND")</x:f>
        <x:v>Matched</x:v>
      </x:c>
    </x:row>
    <x:row r="177">
      <x:c r="A177" s="12" t="str">
        <x:v>FU-20260603-00176</x:v>
      </x:c>
      <x:c r="B177" s="12" t="n">
        <x:v>306</x:v>
      </x:c>
      <x:c r="C177" s="14" t="n">
        <x:v>46176</x:v>
      </x:c>
      <x:c r="D177" s="12" t="str">
        <x:v>Rabu</x:v>
      </x:c>
      <x:c r="E177" s="12" t="str">
        <x:v>11:48:00</x:v>
      </x:c>
      <x:c r="F177" s="12" t="str">
        <x:v>All Shift Day</x:v>
      </x:c>
      <x:c r="G177" s="12" t="str">
        <x:v>EXVV35G007</x:v>
      </x:c>
      <x:c r="H177" s="12" t="str">
        <x:v>Excavator</x:v>
      </x:c>
      <x:c r="I177" s="12" t="str">
        <x:v>EXCAVATOR VOLVO EC350D</x:v>
      </x:c>
      <x:c r="J177" s="16" t="n">
        <x:v>228</x:v>
      </x:c>
      <x:c r="K177" s="16" t="n">
        <x:v>537.8</x:v>
      </x:c>
      <x:c r="L177" s="16" t="n">
        <x:v>543.2</x:v>
      </x:c>
      <x:c r="M177" s="16" t="n">
        <x:v>5.400000000000091</x:v>
      </x:c>
      <x:c r="N177" s="16" t="n">
        <x:v>42.22222222222151</x:v>
      </x:c>
      <x:c r="O177" s="12" t="str">
        <x:v>FTRL44G004</x:v>
      </x:c>
      <x:c r="P177" s="12" t="str">
        <x:v>EXVV35G007</x:v>
      </x:c>
      <x:c r="Q177" s="12" t="str"/>
      <x:c r="R177" s="12" t="str"/>
      <x:c r="S177" s="12" t="str"/>
      <x:c r="T177" s="12" t="str">
        <x:v>ABM</x:v>
      </x:c>
      <x:c r="U177" s="12" t="str"/>
      <x:c r="V177" s="12" t="str"/>
      <x:c r="W177" s="12" t="str"/>
      <x:c r="X177" s="12" t="str">
        <x:v>EXVV35</x:v>
      </x:c>
      <x:c r="Y177" s="12" t="str">
        <x:v>BADRI &amp; KAMRAN</x:v>
      </x:c>
      <x:c r="Z177" s="12" t="str"/>
      <x:c r="AA177" s="32" t="n">
        <x:f>IFERROR(VLOOKUP(G177,Master_Unit!$A$2:$N$78,7,FALSE),"")</x:f>
        <x:v>25</x:v>
      </x:c>
      <x:c r="AB177" s="32" t="n">
        <x:f>IF(OR(N177="",AA177=""),"",N177-AA177)</x:f>
        <x:v>17.22222222222151</x:v>
      </x:c>
      <x:c r="AC177" s="20" t="n">
        <x:f>IF(OR(N177="",AA177="",AA177=0),"",AB177/AA177)</x:f>
        <x:v>0.6888888888888605</x:v>
      </x:c>
      <x:c r="AD177" t="str">
        <x:f>IF(AA177="","NO STANDARD",IF(AC177&lt;=Config_Status!$B$2,"EFFICIENT",IF(AC177&lt;=Config_Status!$B$3,"NORMAL",IF(AC177&lt;=Config_Status!$B$4,"WARNING","OVER CONSUMPTION"))))</x:f>
        <x:v>OVER CONSUMPTION</x:v>
      </x:c>
      <x:c r="AE177" t="str">
        <x:f>IFERROR(VLOOKUP(G177,Master_Unit!$A$2:$N$78,13,FALSE),"UNIT NOT FOUND")</x:f>
        <x:v>Matched</x:v>
      </x:c>
    </x:row>
    <x:row r="178">
      <x:c r="A178" s="12" t="str">
        <x:v>FU-20260603-00177</x:v>
      </x:c>
      <x:c r="B178" s="12" t="n">
        <x:v>307</x:v>
      </x:c>
      <x:c r="C178" s="14" t="n">
        <x:v>46176</x:v>
      </x:c>
      <x:c r="D178" s="12" t="str">
        <x:v>Rabu</x:v>
      </x:c>
      <x:c r="E178" s="12" t="str">
        <x:v>11:57:00</x:v>
      </x:c>
      <x:c r="F178" s="12" t="str">
        <x:v>All Shift Day</x:v>
      </x:c>
      <x:c r="G178" s="12" t="str">
        <x:v>EXVV35G006</x:v>
      </x:c>
      <x:c r="H178" s="12" t="str">
        <x:v>Excavator</x:v>
      </x:c>
      <x:c r="I178" s="12" t="str">
        <x:v>EXCAVATOR VOLVO EC350D</x:v>
      </x:c>
      <x:c r="J178" s="16" t="n">
        <x:v>213</x:v>
      </x:c>
      <x:c r="K178" s="16" t="n">
        <x:v>3080.1</x:v>
      </x:c>
      <x:c r="L178" s="16" t="n">
        <x:v>3087</x:v>
      </x:c>
      <x:c r="M178" s="16" t="n">
        <x:v>6.900000000000091</x:v>
      </x:c>
      <x:c r="N178" s="16" t="n">
        <x:v>30.869565217390896</x:v>
      </x:c>
      <x:c r="O178" s="12" t="str">
        <x:v>FTRL44G004</x:v>
      </x:c>
      <x:c r="P178" s="12" t="str">
        <x:v>EXVV35G006</x:v>
      </x:c>
      <x:c r="Q178" s="12" t="str"/>
      <x:c r="R178" s="12" t="str"/>
      <x:c r="S178" s="12" t="str"/>
      <x:c r="T178" s="12" t="str">
        <x:v>ABM</x:v>
      </x:c>
      <x:c r="U178" s="12" t="str"/>
      <x:c r="V178" s="12" t="str"/>
      <x:c r="W178" s="12" t="str"/>
      <x:c r="X178" s="12" t="str">
        <x:v>EXVV35</x:v>
      </x:c>
      <x:c r="Y178" s="12" t="str">
        <x:v>BADRI &amp; KAMRAN</x:v>
      </x:c>
      <x:c r="Z178" s="12" t="str"/>
      <x:c r="AA178" s="32" t="n">
        <x:f>IFERROR(VLOOKUP(G178,Master_Unit!$A$2:$N$78,7,FALSE),"")</x:f>
        <x:v>25</x:v>
      </x:c>
      <x:c r="AB178" s="32" t="n">
        <x:f>IF(OR(N178="",AA178=""),"",N178-AA178)</x:f>
        <x:v>5.869565217390896</x:v>
      </x:c>
      <x:c r="AC178" s="20" t="n">
        <x:f>IF(OR(N178="",AA178="",AA178=0),"",AB178/AA178)</x:f>
        <x:v>0.23478260869563583</x:v>
      </x:c>
      <x:c r="AD178" t="str">
        <x:f>IF(AA178="","NO STANDARD",IF(AC178&lt;=Config_Status!$B$2,"EFFICIENT",IF(AC178&lt;=Config_Status!$B$3,"NORMAL",IF(AC178&lt;=Config_Status!$B$4,"WARNING","OVER CONSUMPTION"))))</x:f>
        <x:v>OVER CONSUMPTION</x:v>
      </x:c>
      <x:c r="AE178" t="str">
        <x:f>IFERROR(VLOOKUP(G178,Master_Unit!$A$2:$N$78,13,FALSE),"UNIT NOT FOUND")</x:f>
        <x:v>Matched</x:v>
      </x:c>
    </x:row>
    <x:row r="179">
      <x:c r="A179" s="12" t="str">
        <x:v>FU-20260603-00178</x:v>
      </x:c>
      <x:c r="B179" s="12" t="n">
        <x:v>308</x:v>
      </x:c>
      <x:c r="C179" s="14" t="n">
        <x:v>46176</x:v>
      </x:c>
      <x:c r="D179" s="12" t="str">
        <x:v>Rabu</x:v>
      </x:c>
      <x:c r="E179" s="12" t="str">
        <x:v>06:19:00</x:v>
      </x:c>
      <x:c r="F179" s="12" t="str">
        <x:v>All Shift Day</x:v>
      </x:c>
      <x:c r="G179" s="12" t="str">
        <x:v>EXVV21G043</x:v>
      </x:c>
      <x:c r="H179" s="12" t="str">
        <x:v>Excavator</x:v>
      </x:c>
      <x:c r="I179" s="12" t="str">
        <x:v>EXCAVATOR VOLVO EC210D</x:v>
      </x:c>
      <x:c r="J179" s="16" t="n">
        <x:v>148</x:v>
      </x:c>
      <x:c r="K179" s="16" t="n">
        <x:v>5292.5</x:v>
      </x:c>
      <x:c r="L179" s="16" t="n">
        <x:v>5299.6</x:v>
      </x:c>
      <x:c r="M179" s="16" t="n">
        <x:v>7.100000000000364</x:v>
      </x:c>
      <x:c r="N179" s="16" t="n">
        <x:v>20.845070422534143</x:v>
      </x:c>
      <x:c r="O179" s="12" t="str">
        <x:v>FTRL44G005</x:v>
      </x:c>
      <x:c r="P179" s="12" t="str">
        <x:v>EXVV21G043</x:v>
      </x:c>
      <x:c r="Q179" s="12" t="str"/>
      <x:c r="R179" s="12" t="str"/>
      <x:c r="S179" s="12" t="str"/>
      <x:c r="T179" s="12" t="str">
        <x:v>ABM</x:v>
      </x:c>
      <x:c r="U179" s="12" t="str"/>
      <x:c r="V179" s="12" t="str"/>
      <x:c r="W179" s="12" t="str"/>
      <x:c r="X179" s="12" t="str">
        <x:v>EXVV21</x:v>
      </x:c>
      <x:c r="Y179" s="12" t="str">
        <x:v>WAYAN &amp; YOGI</x:v>
      </x:c>
      <x:c r="Z179" s="12" t="str"/>
      <x:c r="AA179" s="32" t="n">
        <x:f>IFERROR(VLOOKUP(G179,Master_Unit!$A$2:$N$78,7,FALSE),"")</x:f>
        <x:v>20</x:v>
      </x:c>
      <x:c r="AB179" s="32" t="n">
        <x:f>IF(OR(N179="",AA179=""),"",N179-AA179)</x:f>
        <x:v>0.8450704225341426</x:v>
      </x:c>
      <x:c r="AC179" s="20" t="n">
        <x:f>IF(OR(N179="",AA179="",AA179=0),"",AB179/AA179)</x:f>
        <x:v>0.042253521126707126</x:v>
      </x:c>
      <x:c r="AD179" t="str">
        <x:f>IF(AA179="","NO STANDARD",IF(AC179&lt;=Config_Status!$B$2,"EFFICIENT",IF(AC179&lt;=Config_Status!$B$3,"NORMAL",IF(AC179&lt;=Config_Status!$B$4,"WARNING","OVER CONSUMPTION"))))</x:f>
        <x:v>NORMAL</x:v>
      </x:c>
      <x:c r="AE179" t="str">
        <x:f>IFERROR(VLOOKUP(G179,Master_Unit!$A$2:$N$78,13,FALSE),"UNIT NOT FOUND")</x:f>
        <x:v>Matched</x:v>
      </x:c>
    </x:row>
    <x:row r="180">
      <x:c r="A180" s="12" t="str">
        <x:v>FU-20260603-00179</x:v>
      </x:c>
      <x:c r="B180" s="12" t="n">
        <x:v>309</x:v>
      </x:c>
      <x:c r="C180" s="14" t="n">
        <x:v>46176</x:v>
      </x:c>
      <x:c r="D180" s="12" t="str">
        <x:v>Rabu</x:v>
      </x:c>
      <x:c r="E180" s="12" t="str">
        <x:v>06:21:00</x:v>
      </x:c>
      <x:c r="F180" s="12" t="str">
        <x:v>All Shift Day</x:v>
      </x:c>
      <x:c r="G180" s="12" t="str">
        <x:v>EXVV21G039</x:v>
      </x:c>
      <x:c r="H180" s="12" t="str">
        <x:v>Excavator</x:v>
      </x:c>
      <x:c r="I180" s="12" t="str">
        <x:v>EXCAVATOR VOLVO EC210D</x:v>
      </x:c>
      <x:c r="J180" s="16" t="n">
        <x:v>159</x:v>
      </x:c>
      <x:c r="K180" s="16" t="n">
        <x:v>6181.6</x:v>
      </x:c>
      <x:c r="L180" s="16" t="n">
        <x:v>6186.7</x:v>
      </x:c>
      <x:c r="M180" s="16" t="n">
        <x:v>5.099999999999454</x:v>
      </x:c>
      <x:c r="N180" s="16" t="n">
        <x:v>31.17647058823863</x:v>
      </x:c>
      <x:c r="O180" s="12" t="str">
        <x:v>FTRL44G005</x:v>
      </x:c>
      <x:c r="P180" s="12" t="str">
        <x:v>EXVV21G039</x:v>
      </x:c>
      <x:c r="Q180" s="12" t="str"/>
      <x:c r="R180" s="12" t="str"/>
      <x:c r="S180" s="12" t="str"/>
      <x:c r="T180" s="12" t="str">
        <x:v>ABM</x:v>
      </x:c>
      <x:c r="U180" s="12" t="str"/>
      <x:c r="V180" s="12" t="str"/>
      <x:c r="W180" s="12" t="str"/>
      <x:c r="X180" s="12" t="str">
        <x:v>EXVV21</x:v>
      </x:c>
      <x:c r="Y180" s="12" t="str">
        <x:v>WAYAN &amp; YOGI</x:v>
      </x:c>
      <x:c r="Z180" s="12" t="str"/>
      <x:c r="AA180" s="32" t="n">
        <x:f>IFERROR(VLOOKUP(G180,Master_Unit!$A$2:$N$78,7,FALSE),"")</x:f>
        <x:v>20</x:v>
      </x:c>
      <x:c r="AB180" s="32" t="n">
        <x:f>IF(OR(N180="",AA180=""),"",N180-AA180)</x:f>
        <x:v>11.17647058823863</x:v>
      </x:c>
      <x:c r="AC180" s="20" t="n">
        <x:f>IF(OR(N180="",AA180="",AA180=0),"",AB180/AA180)</x:f>
        <x:v>0.5588235294119315</x:v>
      </x:c>
      <x:c r="AD180" t="str">
        <x:f>IF(AA180="","NO STANDARD",IF(AC180&lt;=Config_Status!$B$2,"EFFICIENT",IF(AC180&lt;=Config_Status!$B$3,"NORMAL",IF(AC180&lt;=Config_Status!$B$4,"WARNING","OVER CONSUMPTION"))))</x:f>
        <x:v>OVER CONSUMPTION</x:v>
      </x:c>
      <x:c r="AE180" t="str">
        <x:f>IFERROR(VLOOKUP(G180,Master_Unit!$A$2:$N$78,13,FALSE),"UNIT NOT FOUND")</x:f>
        <x:v>Matched</x:v>
      </x:c>
    </x:row>
    <x:row r="181">
      <x:c r="A181" s="12" t="str">
        <x:v>FU-20260603-00180</x:v>
      </x:c>
      <x:c r="B181" s="12" t="n">
        <x:v>310</x:v>
      </x:c>
      <x:c r="C181" s="14" t="n">
        <x:v>46176</x:v>
      </x:c>
      <x:c r="D181" s="12" t="str">
        <x:v>Rabu</x:v>
      </x:c>
      <x:c r="E181" s="12" t="str">
        <x:v>06:25:00</x:v>
      </x:c>
      <x:c r="F181" s="12" t="str">
        <x:v>All Shift Day</x:v>
      </x:c>
      <x:c r="G181" s="12" t="str">
        <x:v>BDKM85G039</x:v>
      </x:c>
      <x:c r="H181" s="12" t="str">
        <x:v>Dozer</x:v>
      </x:c>
      <x:c r="I181" s="12" t="str">
        <x:v>BULDOZER KOMATSU D85ESS-2</x:v>
      </x:c>
      <x:c r="J181" s="16" t="n">
        <x:v>149</x:v>
      </x:c>
      <x:c r="K181" s="16" t="n">
        <x:v>7026.5</x:v>
      </x:c>
      <x:c r="L181" s="16" t="n">
        <x:v>7034.7</x:v>
      </x:c>
      <x:c r="M181" s="16" t="n">
        <x:v>8.199999999999818</x:v>
      </x:c>
      <x:c r="N181" s="16" t="n">
        <x:v>18.170731707317476</x:v>
      </x:c>
      <x:c r="O181" s="12" t="str">
        <x:v>FTRL44G005</x:v>
      </x:c>
      <x:c r="P181" s="12" t="str">
        <x:v>BDKM85G039</x:v>
      </x:c>
      <x:c r="Q181" s="12" t="str"/>
      <x:c r="R181" s="12" t="str"/>
      <x:c r="S181" s="12" t="str"/>
      <x:c r="T181" s="12" t="str">
        <x:v>ABM</x:v>
      </x:c>
      <x:c r="U181" s="12" t="str"/>
      <x:c r="V181" s="12" t="str"/>
      <x:c r="W181" s="12" t="str"/>
      <x:c r="X181" s="12" t="str">
        <x:v>BDKM85</x:v>
      </x:c>
      <x:c r="Y181" s="12" t="str">
        <x:v>WAYAN &amp; YOGI</x:v>
      </x:c>
      <x:c r="Z181" s="12" t="str"/>
      <x:c r="AA181" s="32" t="n">
        <x:f>IFERROR(VLOOKUP(G181,Master_Unit!$A$2:$N$78,7,FALSE),"")</x:f>
        <x:v>30</x:v>
      </x:c>
      <x:c r="AB181" s="32" t="n">
        <x:f>IF(OR(N181="",AA181=""),"",N181-AA181)</x:f>
        <x:v>-11.829268292682524</x:v>
      </x:c>
      <x:c r="AC181" s="20" t="n">
        <x:f>IF(OR(N181="",AA181="",AA181=0),"",AB181/AA181)</x:f>
        <x:v>-0.3943089430894175</x:v>
      </x:c>
      <x:c r="AD181" t="str">
        <x:f>IF(AA181="","NO STANDARD",IF(AC181&lt;=Config_Status!$B$2,"EFFICIENT",IF(AC181&lt;=Config_Status!$B$3,"NORMAL",IF(AC181&lt;=Config_Status!$B$4,"WARNING","OVER CONSUMPTION"))))</x:f>
        <x:v>EFFICIENT</x:v>
      </x:c>
      <x:c r="AE181" t="str">
        <x:f>IFERROR(VLOOKUP(G181,Master_Unit!$A$2:$N$78,13,FALSE),"UNIT NOT FOUND")</x:f>
        <x:v>Matched</x:v>
      </x:c>
    </x:row>
    <x:row r="182">
      <x:c r="A182" s="12" t="str">
        <x:v>FU-20260603-00181</x:v>
      </x:c>
      <x:c r="B182" s="12" t="n">
        <x:v>311</x:v>
      </x:c>
      <x:c r="C182" s="14" t="n">
        <x:v>46176</x:v>
      </x:c>
      <x:c r="D182" s="12" t="str">
        <x:v>Rabu</x:v>
      </x:c>
      <x:c r="E182" s="12" t="str">
        <x:v>06:27:00</x:v>
      </x:c>
      <x:c r="F182" s="12" t="str">
        <x:v>All Shift Day</x:v>
      </x:c>
      <x:c r="G182" s="12" t="str">
        <x:v>GSHT10G001</x:v>
      </x:c>
      <x:c r="H182" s="12" t="str">
        <x:v>Genset</x:v>
      </x:c>
      <x:c r="I182" s="12" t="str">
        <x:v>GENSET HARTECH HT-10</x:v>
      </x:c>
      <x:c r="J182" s="16" t="n">
        <x:v>11</x:v>
      </x:c>
      <x:c r="K182" s="16" t="n">
        <x:v>5884.35</x:v>
      </x:c>
      <x:c r="L182" s="16" t="n">
        <x:v>5895.1</x:v>
      </x:c>
      <x:c r="M182" s="16" t="n">
        <x:v>10.75</x:v>
      </x:c>
      <x:c r="N182" s="16" t="n">
        <x:v>1.0232558139534884</x:v>
      </x:c>
      <x:c r="O182" s="12" t="str">
        <x:v>FTRL44G005</x:v>
      </x:c>
      <x:c r="P182" s="12" t="str">
        <x:v>GSHT10G001</x:v>
      </x:c>
      <x:c r="Q182" s="12" t="str"/>
      <x:c r="R182" s="12" t="str"/>
      <x:c r="S182" s="12" t="str"/>
      <x:c r="T182" s="12" t="str">
        <x:v>ABM</x:v>
      </x:c>
      <x:c r="U182" s="12" t="str"/>
      <x:c r="V182" s="12" t="str"/>
      <x:c r="W182" s="12" t="str"/>
      <x:c r="X182" s="12" t="str">
        <x:v>GSHT10</x:v>
      </x:c>
      <x:c r="Y182" s="12" t="str">
        <x:v>WAYAN &amp; YOGI</x:v>
      </x:c>
      <x:c r="Z182" s="12" t="str"/>
      <x:c r="AA182" s="32" t="n">
        <x:f>IFERROR(VLOOKUP(G182,Master_Unit!$A$2:$N$78,7,FALSE),"")</x:f>
        <x:v>3</x:v>
      </x:c>
      <x:c r="AB182" s="32" t="n">
        <x:f>IF(OR(N182="",AA182=""),"",N182-AA182)</x:f>
        <x:v>-1.9767441860465116</x:v>
      </x:c>
      <x:c r="AC182" s="20" t="n">
        <x:f>IF(OR(N182="",AA182="",AA182=0),"",AB182/AA182)</x:f>
        <x:v>-0.6589147286821705</x:v>
      </x:c>
      <x:c r="AD182" t="str">
        <x:f>IF(AA182="","NO STANDARD",IF(AC182&lt;=Config_Status!$B$2,"EFFICIENT",IF(AC182&lt;=Config_Status!$B$3,"NORMAL",IF(AC182&lt;=Config_Status!$B$4,"WARNING","OVER CONSUMPTION"))))</x:f>
        <x:v>EFFICIENT</x:v>
      </x:c>
      <x:c r="AE182" t="str">
        <x:f>IFERROR(VLOOKUP(G182,Master_Unit!$A$2:$N$78,13,FALSE),"UNIT NOT FOUND")</x:f>
        <x:v>Matched</x:v>
      </x:c>
    </x:row>
    <x:row r="183">
      <x:c r="A183" s="12" t="str">
        <x:v>FU-20260603-00182</x:v>
      </x:c>
      <x:c r="B183" s="12" t="n">
        <x:v>312</x:v>
      </x:c>
      <x:c r="C183" s="14" t="n">
        <x:v>46176</x:v>
      </x:c>
      <x:c r="D183" s="12" t="str">
        <x:v>Rabu</x:v>
      </x:c>
      <x:c r="E183" s="12" t="str">
        <x:v>06:32:00</x:v>
      </x:c>
      <x:c r="F183" s="12" t="str">
        <x:v>All Shift Day</x:v>
      </x:c>
      <x:c r="G183" s="12" t="str">
        <x:v>EXVV35G005</x:v>
      </x:c>
      <x:c r="H183" s="12" t="str">
        <x:v>Excavator</x:v>
      </x:c>
      <x:c r="I183" s="12" t="str">
        <x:v>EXCAVATOR VOLVO EC350D</x:v>
      </x:c>
      <x:c r="J183" s="16" t="n">
        <x:v>214</x:v>
      </x:c>
      <x:c r="K183" s="16" t="n">
        <x:v>5103.2</x:v>
      </x:c>
      <x:c r="L183" s="16" t="n">
        <x:v>5112.2</x:v>
      </x:c>
      <x:c r="M183" s="16" t="n">
        <x:v>9</x:v>
      </x:c>
      <x:c r="N183" s="16" t="n">
        <x:v>23.77777777777778</x:v>
      </x:c>
      <x:c r="O183" s="12" t="str">
        <x:v>FTRL44G005</x:v>
      </x:c>
      <x:c r="P183" s="12" t="str">
        <x:v>EXVV35G005</x:v>
      </x:c>
      <x:c r="Q183" s="12" t="str"/>
      <x:c r="R183" s="12" t="str"/>
      <x:c r="S183" s="12" t="str"/>
      <x:c r="T183" s="12" t="str">
        <x:v>ABM</x:v>
      </x:c>
      <x:c r="U183" s="12" t="str"/>
      <x:c r="V183" s="12" t="str"/>
      <x:c r="W183" s="12" t="str"/>
      <x:c r="X183" s="12" t="str">
        <x:v>EXVV35</x:v>
      </x:c>
      <x:c r="Y183" s="12" t="str">
        <x:v>WAYAN &amp; YOGI</x:v>
      </x:c>
      <x:c r="Z183" s="12" t="str"/>
      <x:c r="AA183" s="32" t="n">
        <x:f>IFERROR(VLOOKUP(G183,Master_Unit!$A$2:$N$78,7,FALSE),"")</x:f>
        <x:v>25</x:v>
      </x:c>
      <x:c r="AB183" s="32" t="n">
        <x:f>IF(OR(N183="",AA183=""),"",N183-AA183)</x:f>
        <x:v>-1.2222222222222214</x:v>
      </x:c>
      <x:c r="AC183" s="20" t="n">
        <x:f>IF(OR(N183="",AA183="",AA183=0),"",AB183/AA183)</x:f>
        <x:v>-0.04888888888888886</x:v>
      </x:c>
      <x:c r="AD183" t="str">
        <x:f>IF(AA183="","NO STANDARD",IF(AC183&lt;=Config_Status!$B$2,"EFFICIENT",IF(AC183&lt;=Config_Status!$B$3,"NORMAL",IF(AC183&lt;=Config_Status!$B$4,"WARNING","OVER CONSUMPTION"))))</x:f>
        <x:v>NORMAL</x:v>
      </x:c>
      <x:c r="AE183" t="str">
        <x:f>IFERROR(VLOOKUP(G183,Master_Unit!$A$2:$N$78,13,FALSE),"UNIT NOT FOUND")</x:f>
        <x:v>Matched</x:v>
      </x:c>
    </x:row>
    <x:row r="184">
      <x:c r="A184" s="12" t="str">
        <x:v>FU-20260603-00183</x:v>
      </x:c>
      <x:c r="B184" s="12" t="n">
        <x:v>313</x:v>
      </x:c>
      <x:c r="C184" s="14" t="n">
        <x:v>46176</x:v>
      </x:c>
      <x:c r="D184" s="12" t="str">
        <x:v>Rabu</x:v>
      </x:c>
      <x:c r="E184" s="12" t="str">
        <x:v>06:35:00</x:v>
      </x:c>
      <x:c r="F184" s="12" t="str">
        <x:v>All Shift Day</x:v>
      </x:c>
      <x:c r="G184" s="12" t="str">
        <x:v>EXVV21G037</x:v>
      </x:c>
      <x:c r="H184" s="12" t="str">
        <x:v>Excavator</x:v>
      </x:c>
      <x:c r="I184" s="12" t="str">
        <x:v>EXCAVATOR VOLVO EC210D</x:v>
      </x:c>
      <x:c r="J184" s="16" t="n">
        <x:v>136</x:v>
      </x:c>
      <x:c r="K184" s="16" t="n">
        <x:v>6768.6</x:v>
      </x:c>
      <x:c r="L184" s="16" t="n">
        <x:v>6776.1</x:v>
      </x:c>
      <x:c r="M184" s="16" t="n">
        <x:v>7.5</x:v>
      </x:c>
      <x:c r="N184" s="16" t="n">
        <x:v>18.133333333333333</x:v>
      </x:c>
      <x:c r="O184" s="12" t="str">
        <x:v>FTRL44G005</x:v>
      </x:c>
      <x:c r="P184" s="12" t="str">
        <x:v>EXVV21G037</x:v>
      </x:c>
      <x:c r="Q184" s="12" t="str"/>
      <x:c r="R184" s="12" t="str"/>
      <x:c r="S184" s="12" t="str"/>
      <x:c r="T184" s="12" t="str">
        <x:v>ABM</x:v>
      </x:c>
      <x:c r="U184" s="12" t="str"/>
      <x:c r="V184" s="12" t="str"/>
      <x:c r="W184" s="12" t="str"/>
      <x:c r="X184" s="12" t="str">
        <x:v>EXVV21</x:v>
      </x:c>
      <x:c r="Y184" s="12" t="str">
        <x:v>WAYAN &amp; YOGI</x:v>
      </x:c>
      <x:c r="Z184" s="12" t="str"/>
      <x:c r="AA184" s="32" t="n">
        <x:f>IFERROR(VLOOKUP(G184,Master_Unit!$A$2:$N$78,7,FALSE),"")</x:f>
        <x:v>20</x:v>
      </x:c>
      <x:c r="AB184" s="32" t="n">
        <x:f>IF(OR(N184="",AA184=""),"",N184-AA184)</x:f>
        <x:v>-1.8666666666666671</x:v>
      </x:c>
      <x:c r="AC184" s="20" t="n">
        <x:f>IF(OR(N184="",AA184="",AA184=0),"",AB184/AA184)</x:f>
        <x:v>-0.09333333333333335</x:v>
      </x:c>
      <x:c r="AD184" t="str">
        <x:f>IF(AA184="","NO STANDARD",IF(AC184&lt;=Config_Status!$B$2,"EFFICIENT",IF(AC184&lt;=Config_Status!$B$3,"NORMAL",IF(AC184&lt;=Config_Status!$B$4,"WARNING","OVER CONSUMPTION"))))</x:f>
        <x:v>NORMAL</x:v>
      </x:c>
      <x:c r="AE184" t="str">
        <x:f>IFERROR(VLOOKUP(G184,Master_Unit!$A$2:$N$78,13,FALSE),"UNIT NOT FOUND")</x:f>
        <x:v>Matched</x:v>
      </x:c>
    </x:row>
    <x:row r="185">
      <x:c r="A185" s="12" t="str">
        <x:v>FU-20260603-00184</x:v>
      </x:c>
      <x:c r="B185" s="12" t="n">
        <x:v>314</x:v>
      </x:c>
      <x:c r="C185" s="14" t="n">
        <x:v>46176</x:v>
      </x:c>
      <x:c r="D185" s="12" t="str">
        <x:v>Rabu</x:v>
      </x:c>
      <x:c r="E185" s="12" t="str">
        <x:v>06:44:00</x:v>
      </x:c>
      <x:c r="F185" s="12" t="str">
        <x:v>All Shift Day</x:v>
      </x:c>
      <x:c r="G185" s="12" t="str">
        <x:v>EXVV21G035</x:v>
      </x:c>
      <x:c r="H185" s="12" t="str">
        <x:v>Excavator</x:v>
      </x:c>
      <x:c r="I185" s="12" t="str">
        <x:v>EXCAVATOR VOLVO EC210D</x:v>
      </x:c>
      <x:c r="J185" s="16" t="n">
        <x:v>153</x:v>
      </x:c>
      <x:c r="K185" s="16" t="n">
        <x:v>8294.2</x:v>
      </x:c>
      <x:c r="L185" s="16" t="n">
        <x:v>8301.9</x:v>
      </x:c>
      <x:c r="M185" s="16" t="n">
        <x:v>7.699999999998909</x:v>
      </x:c>
      <x:c r="N185" s="16" t="n">
        <x:v>19.870129870132686</x:v>
      </x:c>
      <x:c r="O185" s="12" t="str">
        <x:v>FTRL44G005</x:v>
      </x:c>
      <x:c r="P185" s="12" t="str">
        <x:v>EXVV21G035</x:v>
      </x:c>
      <x:c r="Q185" s="12" t="str"/>
      <x:c r="R185" s="12" t="str"/>
      <x:c r="S185" s="12" t="str"/>
      <x:c r="T185" s="12" t="str">
        <x:v>ABM</x:v>
      </x:c>
      <x:c r="U185" s="12" t="str"/>
      <x:c r="V185" s="12" t="str"/>
      <x:c r="W185" s="12" t="str"/>
      <x:c r="X185" s="12" t="str">
        <x:v>EXVV21</x:v>
      </x:c>
      <x:c r="Y185" s="12" t="str">
        <x:v>WAYAN &amp; YOGI</x:v>
      </x:c>
      <x:c r="Z185" s="12" t="str"/>
      <x:c r="AA185" s="32" t="n">
        <x:f>IFERROR(VLOOKUP(G185,Master_Unit!$A$2:$N$78,7,FALSE),"")</x:f>
        <x:v>20</x:v>
      </x:c>
      <x:c r="AB185" s="32" t="n">
        <x:f>IF(OR(N185="",AA185=""),"",N185-AA185)</x:f>
        <x:v>-0.12987012986731372</x:v>
      </x:c>
      <x:c r="AC185" s="20" t="n">
        <x:f>IF(OR(N185="",AA185="",AA185=0),"",AB185/AA185)</x:f>
        <x:v>-0.006493506493365686</x:v>
      </x:c>
      <x:c r="AD185" t="str">
        <x:f>IF(AA185="","NO STANDARD",IF(AC185&lt;=Config_Status!$B$2,"EFFICIENT",IF(AC185&lt;=Config_Status!$B$3,"NORMAL",IF(AC185&lt;=Config_Status!$B$4,"WARNING","OVER CONSUMPTION"))))</x:f>
        <x:v>NORMAL</x:v>
      </x:c>
      <x:c r="AE185" t="str">
        <x:f>IFERROR(VLOOKUP(G185,Master_Unit!$A$2:$N$78,13,FALSE),"UNIT NOT FOUND")</x:f>
        <x:v>Matched</x:v>
      </x:c>
    </x:row>
    <x:row r="186">
      <x:c r="A186" s="12" t="str">
        <x:v>FU-20260603-00185</x:v>
      </x:c>
      <x:c r="B186" s="12" t="n">
        <x:v>315</x:v>
      </x:c>
      <x:c r="C186" s="14" t="n">
        <x:v>46176</x:v>
      </x:c>
      <x:c r="D186" s="12" t="str">
        <x:v>Rabu</x:v>
      </x:c>
      <x:c r="E186" s="12" t="str">
        <x:v>06:52:00</x:v>
      </x:c>
      <x:c r="F186" s="12" t="str">
        <x:v>All Shift Day</x:v>
      </x:c>
      <x:c r="G186" s="12" t="str">
        <x:v>EXVV21G036</x:v>
      </x:c>
      <x:c r="H186" s="12" t="str">
        <x:v>Excavator</x:v>
      </x:c>
      <x:c r="I186" s="12" t="str">
        <x:v>EXCAVATOR VOLVO EC210D</x:v>
      </x:c>
      <x:c r="J186" s="16" t="n">
        <x:v>208</x:v>
      </x:c>
      <x:c r="K186" s="16" t="n">
        <x:v>7465.2</x:v>
      </x:c>
      <x:c r="L186" s="16" t="n">
        <x:v>7474.3</x:v>
      </x:c>
      <x:c r="M186" s="16" t="n">
        <x:v>9.100000000000364</x:v>
      </x:c>
      <x:c r="N186" s="16" t="n">
        <x:v>22.857142857141945</x:v>
      </x:c>
      <x:c r="O186" s="12" t="str">
        <x:v>FTRL44G005</x:v>
      </x:c>
      <x:c r="P186" s="12" t="str">
        <x:v>EXVV21G036</x:v>
      </x:c>
      <x:c r="Q186" s="12" t="str"/>
      <x:c r="R186" s="12" t="str"/>
      <x:c r="S186" s="12" t="str"/>
      <x:c r="T186" s="12" t="str">
        <x:v>ABM</x:v>
      </x:c>
      <x:c r="U186" s="12" t="str"/>
      <x:c r="V186" s="12" t="str"/>
      <x:c r="W186" s="12" t="str"/>
      <x:c r="X186" s="12" t="str">
        <x:v>EXVV21</x:v>
      </x:c>
      <x:c r="Y186" s="12" t="str">
        <x:v>WAYAN &amp; YOGI</x:v>
      </x:c>
      <x:c r="Z186" s="12" t="str"/>
      <x:c r="AA186" s="32" t="n">
        <x:f>IFERROR(VLOOKUP(G186,Master_Unit!$A$2:$N$78,7,FALSE),"")</x:f>
        <x:v>20</x:v>
      </x:c>
      <x:c r="AB186" s="32" t="n">
        <x:f>IF(OR(N186="",AA186=""),"",N186-AA186)</x:f>
        <x:v>2.8571428571419446</x:v>
      </x:c>
      <x:c r="AC186" s="20" t="n">
        <x:f>IF(OR(N186="",AA186="",AA186=0),"",AB186/AA186)</x:f>
        <x:v>0.14285714285709722</x:v>
      </x:c>
      <x:c r="AD186" t="str">
        <x:f>IF(AA186="","NO STANDARD",IF(AC186&lt;=Config_Status!$B$2,"EFFICIENT",IF(AC186&lt;=Config_Status!$B$3,"NORMAL",IF(AC186&lt;=Config_Status!$B$4,"WARNING","OVER CONSUMPTION"))))</x:f>
        <x:v>WARNING</x:v>
      </x:c>
      <x:c r="AE186" t="str">
        <x:f>IFERROR(VLOOKUP(G186,Master_Unit!$A$2:$N$78,13,FALSE),"UNIT NOT FOUND")</x:f>
        <x:v>Matched</x:v>
      </x:c>
    </x:row>
    <x:row r="187">
      <x:c r="A187" s="12" t="str">
        <x:v>FU-20260603-00186</x:v>
      </x:c>
      <x:c r="B187" s="12" t="n">
        <x:v>316</x:v>
      </x:c>
      <x:c r="C187" s="14" t="n">
        <x:v>46176</x:v>
      </x:c>
      <x:c r="D187" s="12" t="str">
        <x:v>Rabu</x:v>
      </x:c>
      <x:c r="E187" s="12" t="str">
        <x:v>07:00:00</x:v>
      </x:c>
      <x:c r="F187" s="12" t="str">
        <x:v>All Shift Day</x:v>
      </x:c>
      <x:c r="G187" s="12" t="str">
        <x:v>EXVV21G040</x:v>
      </x:c>
      <x:c r="H187" s="12" t="str">
        <x:v>Excavator</x:v>
      </x:c>
      <x:c r="I187" s="12" t="str">
        <x:v>EXCAVATOR VOLVO EC210D</x:v>
      </x:c>
      <x:c r="J187" s="16" t="n">
        <x:v>161</x:v>
      </x:c>
      <x:c r="K187" s="16" t="n">
        <x:v>6488.8</x:v>
      </x:c>
      <x:c r="L187" s="16" t="n">
        <x:v>6498.4</x:v>
      </x:c>
      <x:c r="M187" s="16" t="n">
        <x:v>9.599999999999454</x:v>
      </x:c>
      <x:c r="N187" s="16" t="n">
        <x:v>16.770833333334288</x:v>
      </x:c>
      <x:c r="O187" s="12" t="str">
        <x:v>FTRL44G005</x:v>
      </x:c>
      <x:c r="P187" s="12" t="str">
        <x:v>EXVV21G040</x:v>
      </x:c>
      <x:c r="Q187" s="12" t="str"/>
      <x:c r="R187" s="12" t="str"/>
      <x:c r="S187" s="12" t="str"/>
      <x:c r="T187" s="12" t="str">
        <x:v>ABM</x:v>
      </x:c>
      <x:c r="U187" s="12" t="str"/>
      <x:c r="V187" s="12" t="str"/>
      <x:c r="W187" s="12" t="str"/>
      <x:c r="X187" s="12" t="str">
        <x:v>EXVV21</x:v>
      </x:c>
      <x:c r="Y187" s="12" t="str">
        <x:v>WAYAN &amp; YOGI</x:v>
      </x:c>
      <x:c r="Z187" s="12" t="str"/>
      <x:c r="AA187" s="32" t="n">
        <x:f>IFERROR(VLOOKUP(G187,Master_Unit!$A$2:$N$78,7,FALSE),"")</x:f>
        <x:v>20</x:v>
      </x:c>
      <x:c r="AB187" s="32" t="n">
        <x:f>IF(OR(N187="",AA187=""),"",N187-AA187)</x:f>
        <x:v>-3.229166666665712</x:v>
      </x:c>
      <x:c r="AC187" s="20" t="n">
        <x:f>IF(OR(N187="",AA187="",AA187=0),"",AB187/AA187)</x:f>
        <x:v>-0.1614583333332856</x:v>
      </x:c>
      <x:c r="AD187" t="str">
        <x:f>IF(AA187="","NO STANDARD",IF(AC187&lt;=Config_Status!$B$2,"EFFICIENT",IF(AC187&lt;=Config_Status!$B$3,"NORMAL",IF(AC187&lt;=Config_Status!$B$4,"WARNING","OVER CONSUMPTION"))))</x:f>
        <x:v>EFFICIENT</x:v>
      </x:c>
      <x:c r="AE187" t="str">
        <x:f>IFERROR(VLOOKUP(G187,Master_Unit!$A$2:$N$78,13,FALSE),"UNIT NOT FOUND")</x:f>
        <x:v>Matched</x:v>
      </x:c>
    </x:row>
    <x:row r="188">
      <x:c r="A188" s="12" t="str">
        <x:v>FU-20260603-00187</x:v>
      </x:c>
      <x:c r="B188" s="12" t="n">
        <x:v>317</x:v>
      </x:c>
      <x:c r="C188" s="14" t="n">
        <x:v>46176</x:v>
      </x:c>
      <x:c r="D188" s="12" t="str">
        <x:v>Rabu</x:v>
      </x:c>
      <x:c r="E188" s="12" t="str">
        <x:v>07:03:00</x:v>
      </x:c>
      <x:c r="F188" s="12" t="str">
        <x:v>All Shift Day</x:v>
      </x:c>
      <x:c r="G188" s="12" t="str">
        <x:v>BDKM85G040</x:v>
      </x:c>
      <x:c r="H188" s="12" t="str">
        <x:v>Dozer</x:v>
      </x:c>
      <x:c r="I188" s="12" t="str">
        <x:v>BULDOZER KOMATSU D85ESS-2</x:v>
      </x:c>
      <x:c r="J188" s="16" t="n">
        <x:v>133</x:v>
      </x:c>
      <x:c r="K188" s="16" t="n">
        <x:v>6203.5</x:v>
      </x:c>
      <x:c r="L188" s="16" t="n">
        <x:v>6204.6</x:v>
      </x:c>
      <x:c r="M188" s="16" t="n">
        <x:v>1.1000000000003638</x:v>
      </x:c>
      <x:c r="N188" s="16" t="n">
        <x:v>120.90909090905092</x:v>
      </x:c>
      <x:c r="O188" s="12" t="str">
        <x:v>FTRL44G005</x:v>
      </x:c>
      <x:c r="P188" s="12" t="str">
        <x:v>BDKM85G040</x:v>
      </x:c>
      <x:c r="Q188" s="12" t="str"/>
      <x:c r="R188" s="12" t="str"/>
      <x:c r="S188" s="12" t="str"/>
      <x:c r="T188" s="12" t="str">
        <x:v>ABM</x:v>
      </x:c>
      <x:c r="U188" s="12" t="str"/>
      <x:c r="V188" s="12" t="str"/>
      <x:c r="W188" s="12" t="str"/>
      <x:c r="X188" s="12" t="str">
        <x:v>BDKM85</x:v>
      </x:c>
      <x:c r="Y188" s="12" t="str">
        <x:v>WAYAN &amp; YOGI</x:v>
      </x:c>
      <x:c r="Z188" s="12" t="str"/>
      <x:c r="AA188" s="32" t="n">
        <x:f>IFERROR(VLOOKUP(G188,Master_Unit!$A$2:$N$78,7,FALSE),"")</x:f>
        <x:v>30</x:v>
      </x:c>
      <x:c r="AB188" s="32" t="n">
        <x:f>IF(OR(N188="",AA188=""),"",N188-AA188)</x:f>
        <x:v>90.90909090905092</x:v>
      </x:c>
      <x:c r="AC188" s="20" t="n">
        <x:f>IF(OR(N188="",AA188="",AA188=0),"",AB188/AA188)</x:f>
        <x:v>3.030303030301697</x:v>
      </x:c>
      <x:c r="AD188" t="str">
        <x:f>IF(AA188="","NO STANDARD",IF(AC188&lt;=Config_Status!$B$2,"EFFICIENT",IF(AC188&lt;=Config_Status!$B$3,"NORMAL",IF(AC188&lt;=Config_Status!$B$4,"WARNING","OVER CONSUMPTION"))))</x:f>
        <x:v>OVER CONSUMPTION</x:v>
      </x:c>
      <x:c r="AE188" t="str">
        <x:f>IFERROR(VLOOKUP(G188,Master_Unit!$A$2:$N$78,13,FALSE),"UNIT NOT FOUND")</x:f>
        <x:v>Matched</x:v>
      </x:c>
    </x:row>
    <x:row r="189">
      <x:c r="A189" s="12" t="str">
        <x:v>FU-20260603-00188</x:v>
      </x:c>
      <x:c r="B189" s="12" t="n">
        <x:v>318</x:v>
      </x:c>
      <x:c r="C189" s="14" t="n">
        <x:v>46176</x:v>
      </x:c>
      <x:c r="D189" s="12" t="str">
        <x:v>Rabu</x:v>
      </x:c>
      <x:c r="E189" s="12" t="str">
        <x:v>07:07:00</x:v>
      </x:c>
      <x:c r="F189" s="12" t="str">
        <x:v>All Shift Day</x:v>
      </x:c>
      <x:c r="G189" s="12" t="str">
        <x:v>GSHT10G002</x:v>
      </x:c>
      <x:c r="H189" s="12" t="str">
        <x:v>Genset</x:v>
      </x:c>
      <x:c r="I189" s="12" t="str">
        <x:v>GENSET HARTECH HT-10</x:v>
      </x:c>
      <x:c r="J189" s="16" t="n">
        <x:v>10</x:v>
      </x:c>
      <x:c r="K189" s="16" t="n">
        <x:v>8414.52</x:v>
      </x:c>
      <x:c r="L189" s="16" t="n">
        <x:v>8425.17</x:v>
      </x:c>
      <x:c r="M189" s="16" t="n">
        <x:v>10.649999999999636</x:v>
      </x:c>
      <x:c r="N189" s="16" t="n">
        <x:v>0.9389671361502668</x:v>
      </x:c>
      <x:c r="O189" s="12" t="str">
        <x:v>FTRL44G005</x:v>
      </x:c>
      <x:c r="P189" s="12" t="str">
        <x:v>GSHT10G002</x:v>
      </x:c>
      <x:c r="Q189" s="12" t="str"/>
      <x:c r="R189" s="12" t="str"/>
      <x:c r="S189" s="12" t="str"/>
      <x:c r="T189" s="12" t="str">
        <x:v>ABM</x:v>
      </x:c>
      <x:c r="U189" s="12" t="str"/>
      <x:c r="V189" s="12" t="str"/>
      <x:c r="W189" s="12" t="str"/>
      <x:c r="X189" s="12" t="str">
        <x:v>GSHT10</x:v>
      </x:c>
      <x:c r="Y189" s="12" t="str">
        <x:v>WAYAN &amp; YOGI</x:v>
      </x:c>
      <x:c r="Z189" s="12" t="str"/>
      <x:c r="AA189" s="32" t="n">
        <x:f>IFERROR(VLOOKUP(G189,Master_Unit!$A$2:$N$78,7,FALSE),"")</x:f>
        <x:v>3</x:v>
      </x:c>
      <x:c r="AB189" s="32" t="n">
        <x:f>IF(OR(N189="",AA189=""),"",N189-AA189)</x:f>
        <x:v>-2.061032863849733</x:v>
      </x:c>
      <x:c r="AC189" s="20" t="n">
        <x:f>IF(OR(N189="",AA189="",AA189=0),"",AB189/AA189)</x:f>
        <x:v>-0.6870109546165777</x:v>
      </x:c>
      <x:c r="AD189" t="str">
        <x:f>IF(AA189="","NO STANDARD",IF(AC189&lt;=Config_Status!$B$2,"EFFICIENT",IF(AC189&lt;=Config_Status!$B$3,"NORMAL",IF(AC189&lt;=Config_Status!$B$4,"WARNING","OVER CONSUMPTION"))))</x:f>
        <x:v>EFFICIENT</x:v>
      </x:c>
      <x:c r="AE189" t="str">
        <x:f>IFERROR(VLOOKUP(G189,Master_Unit!$A$2:$N$78,13,FALSE),"UNIT NOT FOUND")</x:f>
        <x:v>Matched</x:v>
      </x:c>
    </x:row>
    <x:row r="190">
      <x:c r="A190" s="12" t="str">
        <x:v>FU-20260603-00189</x:v>
      </x:c>
      <x:c r="B190" s="12" t="n">
        <x:v>319</x:v>
      </x:c>
      <x:c r="C190" s="14" t="n">
        <x:v>46176</x:v>
      </x:c>
      <x:c r="D190" s="12" t="str">
        <x:v>Rabu</x:v>
      </x:c>
      <x:c r="E190" s="12" t="str">
        <x:v>07:13:00</x:v>
      </x:c>
      <x:c r="F190" s="12" t="str">
        <x:v>All Shift Day</x:v>
      </x:c>
      <x:c r="G190" s="12" t="str">
        <x:v>EXVV35G002</x:v>
      </x:c>
      <x:c r="H190" s="12" t="str">
        <x:v>Excavator</x:v>
      </x:c>
      <x:c r="I190" s="12" t="str">
        <x:v>EXCAVATOR VOLVO EC350D</x:v>
      </x:c>
      <x:c r="J190" s="16" t="n">
        <x:v>219</x:v>
      </x:c>
      <x:c r="K190" s="16" t="n">
        <x:v>4919.5</x:v>
      </x:c>
      <x:c r="L190" s="16" t="n">
        <x:v>4934</x:v>
      </x:c>
      <x:c r="M190" s="16" t="n">
        <x:v>14.5</x:v>
      </x:c>
      <x:c r="N190" s="16" t="n">
        <x:v>15.10344827586207</x:v>
      </x:c>
      <x:c r="O190" s="12" t="str">
        <x:v>FTRL44G005</x:v>
      </x:c>
      <x:c r="P190" s="12" t="str">
        <x:v>EXVV35G002</x:v>
      </x:c>
      <x:c r="Q190" s="12" t="str"/>
      <x:c r="R190" s="12" t="str"/>
      <x:c r="S190" s="12" t="str"/>
      <x:c r="T190" s="12" t="str">
        <x:v>ABM</x:v>
      </x:c>
      <x:c r="U190" s="12" t="str"/>
      <x:c r="V190" s="12" t="str"/>
      <x:c r="W190" s="12" t="str"/>
      <x:c r="X190" s="12" t="str">
        <x:v>EXVV35</x:v>
      </x:c>
      <x:c r="Y190" s="12" t="str">
        <x:v>WAYAN &amp; YOGI</x:v>
      </x:c>
      <x:c r="Z190" s="12" t="str"/>
      <x:c r="AA190" s="32" t="n">
        <x:f>IFERROR(VLOOKUP(G190,Master_Unit!$A$2:$N$78,7,FALSE),"")</x:f>
        <x:v>25</x:v>
      </x:c>
      <x:c r="AB190" s="32" t="n">
        <x:f>IF(OR(N190="",AA190=""),"",N190-AA190)</x:f>
        <x:v>-9.89655172413793</x:v>
      </x:c>
      <x:c r="AC190" s="20" t="n">
        <x:f>IF(OR(N190="",AA190="",AA190=0),"",AB190/AA190)</x:f>
        <x:v>-0.39586206896551723</x:v>
      </x:c>
      <x:c r="AD190" t="str">
        <x:f>IF(AA190="","NO STANDARD",IF(AC190&lt;=Config_Status!$B$2,"EFFICIENT",IF(AC190&lt;=Config_Status!$B$3,"NORMAL",IF(AC190&lt;=Config_Status!$B$4,"WARNING","OVER CONSUMPTION"))))</x:f>
        <x:v>EFFICIENT</x:v>
      </x:c>
      <x:c r="AE190" t="str">
        <x:f>IFERROR(VLOOKUP(G190,Master_Unit!$A$2:$N$78,13,FALSE),"UNIT NOT FOUND")</x:f>
        <x:v>Matched</x:v>
      </x:c>
    </x:row>
    <x:row r="191">
      <x:c r="A191" s="12" t="str">
        <x:v>FU-20260603-00190</x:v>
      </x:c>
      <x:c r="B191" s="12" t="n">
        <x:v>320</x:v>
      </x:c>
      <x:c r="C191" s="14" t="n">
        <x:v>46176</x:v>
      </x:c>
      <x:c r="D191" s="12" t="str">
        <x:v>Rabu</x:v>
      </x:c>
      <x:c r="E191" s="12" t="str">
        <x:v>07:23:00</x:v>
      </x:c>
      <x:c r="F191" s="12" t="str">
        <x:v>All Shift Day</x:v>
      </x:c>
      <x:c r="G191" s="12" t="str">
        <x:v>EXVV21G042</x:v>
      </x:c>
      <x:c r="H191" s="12" t="str">
        <x:v>Excavator</x:v>
      </x:c>
      <x:c r="I191" s="12" t="str">
        <x:v>EXCAVATOR VOLVO EC210D</x:v>
      </x:c>
      <x:c r="J191" s="16" t="n">
        <x:v>163</x:v>
      </x:c>
      <x:c r="K191" s="16" t="n">
        <x:v>7619.9</x:v>
      </x:c>
      <x:c r="L191" s="16" t="n">
        <x:v>7626.9</x:v>
      </x:c>
      <x:c r="M191" s="16" t="n">
        <x:v>7</x:v>
      </x:c>
      <x:c r="N191" s="16" t="n">
        <x:v>23.285714285714285</x:v>
      </x:c>
      <x:c r="O191" s="12" t="str">
        <x:v>FTRL44G005</x:v>
      </x:c>
      <x:c r="P191" s="12" t="str">
        <x:v>EXVV21G042</x:v>
      </x:c>
      <x:c r="Q191" s="12" t="str"/>
      <x:c r="R191" s="12" t="str"/>
      <x:c r="S191" s="12" t="str"/>
      <x:c r="T191" s="12" t="str">
        <x:v>ABM</x:v>
      </x:c>
      <x:c r="U191" s="12" t="str"/>
      <x:c r="V191" s="12" t="str"/>
      <x:c r="W191" s="12" t="str"/>
      <x:c r="X191" s="12" t="str">
        <x:v>EXVV21</x:v>
      </x:c>
      <x:c r="Y191" s="12" t="str">
        <x:v>WAYAN &amp; YOGI</x:v>
      </x:c>
      <x:c r="Z191" s="12" t="str"/>
      <x:c r="AA191" s="32" t="n">
        <x:f>IFERROR(VLOOKUP(G191,Master_Unit!$A$2:$N$78,7,FALSE),"")</x:f>
        <x:v>20</x:v>
      </x:c>
      <x:c r="AB191" s="32" t="n">
        <x:f>IF(OR(N191="",AA191=""),"",N191-AA191)</x:f>
        <x:v>3.2857142857142847</x:v>
      </x:c>
      <x:c r="AC191" s="20" t="n">
        <x:f>IF(OR(N191="",AA191="",AA191=0),"",AB191/AA191)</x:f>
        <x:v>0.16428571428571423</x:v>
      </x:c>
      <x:c r="AD191" t="str">
        <x:f>IF(AA191="","NO STANDARD",IF(AC191&lt;=Config_Status!$B$2,"EFFICIENT",IF(AC191&lt;=Config_Status!$B$3,"NORMAL",IF(AC191&lt;=Config_Status!$B$4,"WARNING","OVER CONSUMPTION"))))</x:f>
        <x:v>WARNING</x:v>
      </x:c>
      <x:c r="AE191" t="str">
        <x:f>IFERROR(VLOOKUP(G191,Master_Unit!$A$2:$N$78,13,FALSE),"UNIT NOT FOUND")</x:f>
        <x:v>Matched</x:v>
      </x:c>
    </x:row>
    <x:row r="192">
      <x:c r="A192" s="12" t="str">
        <x:v>FU-20260603-00191</x:v>
      </x:c>
      <x:c r="B192" s="12" t="n">
        <x:v>321</x:v>
      </x:c>
      <x:c r="C192" s="14" t="n">
        <x:v>46176</x:v>
      </x:c>
      <x:c r="D192" s="12" t="str">
        <x:v>Rabu</x:v>
      </x:c>
      <x:c r="E192" s="12" t="str">
        <x:v>07:26:00</x:v>
      </x:c>
      <x:c r="F192" s="12" t="str">
        <x:v>All Shift Day</x:v>
      </x:c>
      <x:c r="G192" s="12" t="str">
        <x:v>LVMP25R005</x:v>
      </x:c>
      <x:c r="H192" s="12" t="str">
        <x:v>Light Vehicle</x:v>
      </x:c>
      <x:c r="I192" s="12" t="str">
        <x:v>LIGHT VEHICLE MITSUBISHI PAJERO</x:v>
      </x:c>
      <x:c r="J192" s="16" t="n">
        <x:v>21</x:v>
      </x:c>
      <x:c r="K192" s="16" t="n">
        <x:v>58524</x:v>
      </x:c>
      <x:c r="L192" s="16" t="n">
        <x:v>58797</x:v>
      </x:c>
      <x:c r="M192" s="16" t="n">
        <x:v>273</x:v>
      </x:c>
      <x:c r="N192" s="16" t="n">
        <x:v>0.07692307692307693</x:v>
      </x:c>
      <x:c r="O192" s="12" t="str">
        <x:v>FTRL44G005</x:v>
      </x:c>
      <x:c r="P192" s="12" t="str">
        <x:v>LVMP25R005</x:v>
      </x:c>
      <x:c r="Q192" s="12" t="str"/>
      <x:c r="R192" s="12" t="str"/>
      <x:c r="S192" s="12" t="str"/>
      <x:c r="T192" s="12" t="str">
        <x:v>ABM</x:v>
      </x:c>
      <x:c r="U192" s="12" t="str"/>
      <x:c r="V192" s="12" t="str"/>
      <x:c r="W192" s="12" t="str"/>
      <x:c r="X192" s="12" t="str">
        <x:v>LVMP25</x:v>
      </x:c>
      <x:c r="Y192" s="12" t="str">
        <x:v>WAYAN &amp; YOGI</x:v>
      </x:c>
      <x:c r="Z192" s="12" t="str"/>
      <x:c r="AA192" s="32" t="str">
        <x:f>IFERROR(VLOOKUP(G192,Master_Unit!$A$2:$N$78,7,FALSE),"")</x:f>
      </x:c>
      <x:c r="AB192" s="32" t="str">
        <x:f>IF(OR(N192="",AA192=""),"",N192-AA192)</x:f>
      </x:c>
      <x:c r="AC192" s="20" t="str">
        <x:f>IF(OR(N192="",AA192="",AA192=0),"",AB192/AA192)</x:f>
      </x:c>
      <x:c r="AD192" t="str">
        <x:f>IF(AA192="","NO STANDARD",IF(AC192&lt;=Config_Status!$B$2,"EFFICIENT",IF(AC192&lt;=Config_Status!$B$3,"NORMAL",IF(AC192&lt;=Config_Status!$B$4,"WARNING","OVER CONSUMPTION"))))</x:f>
        <x:v>NO STANDARD</x:v>
      </x:c>
      <x:c r="AE192" t="str">
        <x:f>IFERROR(VLOOKUP(G192,Master_Unit!$A$2:$N$78,13,FALSE),"UNIT NOT FOUND")</x:f>
        <x:v>No Standard</x:v>
      </x:c>
    </x:row>
    <x:row r="193">
      <x:c r="A193" s="12" t="str">
        <x:v>FU-20260603-00192</x:v>
      </x:c>
      <x:c r="B193" s="12" t="n">
        <x:v>322</x:v>
      </x:c>
      <x:c r="C193" s="14" t="n">
        <x:v>46176</x:v>
      </x:c>
      <x:c r="D193" s="12" t="str">
        <x:v>Rabu</x:v>
      </x:c>
      <x:c r="E193" s="12" t="str">
        <x:v>07:34:00</x:v>
      </x:c>
      <x:c r="F193" s="12" t="str">
        <x:v>All Shift Day</x:v>
      </x:c>
      <x:c r="G193" s="12" t="str">
        <x:v>STRL44G134</x:v>
      </x:c>
      <x:c r="H193" s="12" t="str">
        <x:v>Dump Truck</x:v>
      </x:c>
      <x:c r="I193" s="12" t="str">
        <x:v>DUMP TRUCK RENAULT KRANGE440-P6X4 A/T</x:v>
      </x:c>
      <x:c r="J193" s="16" t="n">
        <x:v>109</x:v>
      </x:c>
      <x:c r="K193" s="16" t="n">
        <x:v>5604</x:v>
      </x:c>
      <x:c r="L193" s="16" t="n">
        <x:v>5613</x:v>
      </x:c>
      <x:c r="M193" s="16" t="n">
        <x:v>9</x:v>
      </x:c>
      <x:c r="N193" s="16" t="n">
        <x:v>12.11111111111111</x:v>
      </x:c>
      <x:c r="O193" s="12" t="str">
        <x:v>FTRL44G005</x:v>
      </x:c>
      <x:c r="P193" s="12" t="str">
        <x:v>STRL44G134</x:v>
      </x:c>
      <x:c r="Q193" s="12" t="str"/>
      <x:c r="R193" s="12" t="str"/>
      <x:c r="S193" s="12" t="str"/>
      <x:c r="T193" s="12" t="str">
        <x:v>ABM</x:v>
      </x:c>
      <x:c r="U193" s="12" t="str"/>
      <x:c r="V193" s="12" t="str"/>
      <x:c r="W193" s="12" t="str"/>
      <x:c r="X193" s="12" t="str">
        <x:v>STRL44</x:v>
      </x:c>
      <x:c r="Y193" s="12" t="str">
        <x:v>WAYAN &amp; YOGI</x:v>
      </x:c>
      <x:c r="Z193" s="12" t="str"/>
      <x:c r="AA193" s="32" t="n">
        <x:f>IFERROR(VLOOKUP(G193,Master_Unit!$A$2:$N$78,7,FALSE),"")</x:f>
        <x:v>20</x:v>
      </x:c>
      <x:c r="AB193" s="32" t="n">
        <x:f>IF(OR(N193="",AA193=""),"",N193-AA193)</x:f>
        <x:v>-7.888888888888889</x:v>
      </x:c>
      <x:c r="AC193" s="20" t="n">
        <x:f>IF(OR(N193="",AA193="",AA193=0),"",AB193/AA193)</x:f>
        <x:v>-0.3944444444444445</x:v>
      </x:c>
      <x:c r="AD193" t="str">
        <x:f>IF(AA193="","NO STANDARD",IF(AC193&lt;=Config_Status!$B$2,"EFFICIENT",IF(AC193&lt;=Config_Status!$B$3,"NORMAL",IF(AC193&lt;=Config_Status!$B$4,"WARNING","OVER CONSUMPTION"))))</x:f>
        <x:v>EFFICIENT</x:v>
      </x:c>
      <x:c r="AE193" t="str">
        <x:f>IFERROR(VLOOKUP(G193,Master_Unit!$A$2:$N$78,13,FALSE),"UNIT NOT FOUND")</x:f>
        <x:v>Matched</x:v>
      </x:c>
    </x:row>
    <x:row r="194">
      <x:c r="A194" s="12" t="str">
        <x:v>FU-20260603-00193</x:v>
      </x:c>
      <x:c r="B194" s="12" t="n">
        <x:v>323</x:v>
      </x:c>
      <x:c r="C194" s="14" t="n">
        <x:v>46176</x:v>
      </x:c>
      <x:c r="D194" s="12" t="str">
        <x:v>Rabu</x:v>
      </x:c>
      <x:c r="E194" s="12" t="str">
        <x:v>07:37:00</x:v>
      </x:c>
      <x:c r="F194" s="12" t="str">
        <x:v>All Shift Day</x:v>
      </x:c>
      <x:c r="G194" s="12" t="str">
        <x:v>MGSD20G007</x:v>
      </x:c>
      <x:c r="H194" s="12" t="str">
        <x:v>Other</x:v>
      </x:c>
      <x:c r="I194" s="12" t="str">
        <x:v>MOTOR GRADER SDLG GD9220F</x:v>
      </x:c>
      <x:c r="J194" s="16" t="n">
        <x:v>73</x:v>
      </x:c>
      <x:c r="K194" s="16" t="n">
        <x:v>3689.5</x:v>
      </x:c>
      <x:c r="L194" s="16" t="n">
        <x:v>3694.9</x:v>
      </x:c>
      <x:c r="M194" s="16" t="n">
        <x:v>5.400000000000091</x:v>
      </x:c>
      <x:c r="N194" s="16" t="n">
        <x:v>13.518518518518292</x:v>
      </x:c>
      <x:c r="O194" s="12" t="str">
        <x:v>FTRL44G005</x:v>
      </x:c>
      <x:c r="P194" s="12" t="str">
        <x:v>MGSD20G007</x:v>
      </x:c>
      <x:c r="Q194" s="12" t="str"/>
      <x:c r="R194" s="12" t="str"/>
      <x:c r="S194" s="12" t="str"/>
      <x:c r="T194" s="12" t="str">
        <x:v>ABM</x:v>
      </x:c>
      <x:c r="U194" s="12" t="str"/>
      <x:c r="V194" s="12" t="str"/>
      <x:c r="W194" s="12" t="str"/>
      <x:c r="X194" s="12" t="str">
        <x:v>MGSD20</x:v>
      </x:c>
      <x:c r="Y194" s="12" t="str">
        <x:v>WAYAN &amp; YOGI</x:v>
      </x:c>
      <x:c r="Z194" s="12" t="str"/>
      <x:c r="AA194" s="32" t="n">
        <x:f>IFERROR(VLOOKUP(G194,Master_Unit!$A$2:$N$78,7,FALSE),"")</x:f>
        <x:v>20</x:v>
      </x:c>
      <x:c r="AB194" s="32" t="n">
        <x:f>IF(OR(N194="",AA194=""),"",N194-AA194)</x:f>
        <x:v>-6.481481481481708</x:v>
      </x:c>
      <x:c r="AC194" s="20" t="n">
        <x:f>IF(OR(N194="",AA194="",AA194=0),"",AB194/AA194)</x:f>
        <x:v>-0.3240740740740854</x:v>
      </x:c>
      <x:c r="AD194" t="str">
        <x:f>IF(AA194="","NO STANDARD",IF(AC194&lt;=Config_Status!$B$2,"EFFICIENT",IF(AC194&lt;=Config_Status!$B$3,"NORMAL",IF(AC194&lt;=Config_Status!$B$4,"WARNING","OVER CONSUMPTION"))))</x:f>
        <x:v>EFFICIENT</x:v>
      </x:c>
      <x:c r="AE194" t="str">
        <x:f>IFERROR(VLOOKUP(G194,Master_Unit!$A$2:$N$78,13,FALSE),"UNIT NOT FOUND")</x:f>
        <x:v>Matched</x:v>
      </x:c>
    </x:row>
    <x:row r="195">
      <x:c r="A195" s="12" t="str">
        <x:v>FU-20260603-00194</x:v>
      </x:c>
      <x:c r="B195" s="12" t="n">
        <x:v>324</x:v>
      </x:c>
      <x:c r="C195" s="14" t="n">
        <x:v>46176</x:v>
      </x:c>
      <x:c r="D195" s="12" t="str">
        <x:v>Rabu</x:v>
      </x:c>
      <x:c r="E195" s="12" t="str">
        <x:v>07:43:00</x:v>
      </x:c>
      <x:c r="F195" s="12" t="str">
        <x:v>All Shift Day</x:v>
      </x:c>
      <x:c r="G195" s="12" t="str">
        <x:v>STRL44G135</x:v>
      </x:c>
      <x:c r="H195" s="12" t="str">
        <x:v>Dump Truck</x:v>
      </x:c>
      <x:c r="I195" s="12" t="str">
        <x:v>DUMP TRUCK RENAULT KRANGE440-P6X4 A/T</x:v>
      </x:c>
      <x:c r="J195" s="16" t="n">
        <x:v>90</x:v>
      </x:c>
      <x:c r="K195" s="16" t="n">
        <x:v>5745</x:v>
      </x:c>
      <x:c r="L195" s="16" t="n">
        <x:v>5754</x:v>
      </x:c>
      <x:c r="M195" s="16" t="n">
        <x:v>9</x:v>
      </x:c>
      <x:c r="N195" s="16" t="n">
        <x:v>10</x:v>
      </x:c>
      <x:c r="O195" s="12" t="str">
        <x:v>FTRL44G005</x:v>
      </x:c>
      <x:c r="P195" s="12" t="str">
        <x:v>STRL44G135</x:v>
      </x:c>
      <x:c r="Q195" s="12" t="str"/>
      <x:c r="R195" s="12" t="str"/>
      <x:c r="S195" s="12" t="str"/>
      <x:c r="T195" s="12" t="str">
        <x:v>ABM</x:v>
      </x:c>
      <x:c r="U195" s="12" t="str"/>
      <x:c r="V195" s="12" t="str"/>
      <x:c r="W195" s="12" t="str"/>
      <x:c r="X195" s="12" t="str">
        <x:v>STRL44</x:v>
      </x:c>
      <x:c r="Y195" s="12" t="str">
        <x:v>WAYAN &amp; YOGI</x:v>
      </x:c>
      <x:c r="Z195" s="12" t="str"/>
      <x:c r="AA195" s="32" t="n">
        <x:f>IFERROR(VLOOKUP(G195,Master_Unit!$A$2:$N$78,7,FALSE),"")</x:f>
        <x:v>20</x:v>
      </x:c>
      <x:c r="AB195" s="32" t="n">
        <x:f>IF(OR(N195="",AA195=""),"",N195-AA195)</x:f>
        <x:v>-10</x:v>
      </x:c>
      <x:c r="AC195" s="20" t="n">
        <x:f>IF(OR(N195="",AA195="",AA195=0),"",AB195/AA195)</x:f>
        <x:v>-0.5</x:v>
      </x:c>
      <x:c r="AD195" t="str">
        <x:f>IF(AA195="","NO STANDARD",IF(AC195&lt;=Config_Status!$B$2,"EFFICIENT",IF(AC195&lt;=Config_Status!$B$3,"NORMAL",IF(AC195&lt;=Config_Status!$B$4,"WARNING","OVER CONSUMPTION"))))</x:f>
        <x:v>EFFICIENT</x:v>
      </x:c>
      <x:c r="AE195" t="str">
        <x:f>IFERROR(VLOOKUP(G195,Master_Unit!$A$2:$N$78,13,FALSE),"UNIT NOT FOUND")</x:f>
        <x:v>Matched</x:v>
      </x:c>
    </x:row>
    <x:row r="196">
      <x:c r="A196" s="12" t="str">
        <x:v>FU-20260603-00195</x:v>
      </x:c>
      <x:c r="B196" s="12" t="n">
        <x:v>325</x:v>
      </x:c>
      <x:c r="C196" s="14" t="n">
        <x:v>46176</x:v>
      </x:c>
      <x:c r="D196" s="12" t="str">
        <x:v>Rabu</x:v>
      </x:c>
      <x:c r="E196" s="12" t="str">
        <x:v>07:47:00</x:v>
      </x:c>
      <x:c r="F196" s="12" t="str">
        <x:v>All Shift Day</x:v>
      </x:c>
      <x:c r="G196" s="12" t="str">
        <x:v>STRL44G141</x:v>
      </x:c>
      <x:c r="H196" s="12" t="str">
        <x:v>Dump Truck</x:v>
      </x:c>
      <x:c r="I196" s="12" t="str">
        <x:v>DUMP TRUCK RENAULT KRANGE440-P6X4 A/T</x:v>
      </x:c>
      <x:c r="J196" s="16" t="n">
        <x:v>101</x:v>
      </x:c>
      <x:c r="K196" s="16" t="n">
        <x:v>3100</x:v>
      </x:c>
      <x:c r="L196" s="16" t="n">
        <x:v>3114</x:v>
      </x:c>
      <x:c r="M196" s="16" t="n">
        <x:v>14</x:v>
      </x:c>
      <x:c r="N196" s="16" t="n">
        <x:v>7.214285714285714</x:v>
      </x:c>
      <x:c r="O196" s="12" t="str">
        <x:v>FTRL44G005</x:v>
      </x:c>
      <x:c r="P196" s="12" t="str">
        <x:v>STRL44G141</x:v>
      </x:c>
      <x:c r="Q196" s="12" t="str"/>
      <x:c r="R196" s="12" t="str"/>
      <x:c r="S196" s="12" t="str"/>
      <x:c r="T196" s="12" t="str">
        <x:v>ABM</x:v>
      </x:c>
      <x:c r="U196" s="12" t="str"/>
      <x:c r="V196" s="12" t="str"/>
      <x:c r="W196" s="12" t="str"/>
      <x:c r="X196" s="12" t="str">
        <x:v>STRL44</x:v>
      </x:c>
      <x:c r="Y196" s="12" t="str">
        <x:v>WAYAN &amp; YOGI</x:v>
      </x:c>
      <x:c r="Z196" s="12" t="str"/>
      <x:c r="AA196" s="32" t="n">
        <x:f>IFERROR(VLOOKUP(G196,Master_Unit!$A$2:$N$78,7,FALSE),"")</x:f>
        <x:v>20</x:v>
      </x:c>
      <x:c r="AB196" s="32" t="n">
        <x:f>IF(OR(N196="",AA196=""),"",N196-AA196)</x:f>
        <x:v>-12.785714285714285</x:v>
      </x:c>
      <x:c r="AC196" s="20" t="n">
        <x:f>IF(OR(N196="",AA196="",AA196=0),"",AB196/AA196)</x:f>
        <x:v>-0.6392857142857142</x:v>
      </x:c>
      <x:c r="AD196" t="str">
        <x:f>IF(AA196="","NO STANDARD",IF(AC196&lt;=Config_Status!$B$2,"EFFICIENT",IF(AC196&lt;=Config_Status!$B$3,"NORMAL",IF(AC196&lt;=Config_Status!$B$4,"WARNING","OVER CONSUMPTION"))))</x:f>
        <x:v>EFFICIENT</x:v>
      </x:c>
      <x:c r="AE196" t="str">
        <x:f>IFERROR(VLOOKUP(G196,Master_Unit!$A$2:$N$78,13,FALSE),"UNIT NOT FOUND")</x:f>
        <x:v>Matched</x:v>
      </x:c>
    </x:row>
    <x:row r="197">
      <x:c r="A197" s="12" t="str">
        <x:v>FU-20260603-00196</x:v>
      </x:c>
      <x:c r="B197" s="12" t="n">
        <x:v>326</x:v>
      </x:c>
      <x:c r="C197" s="14" t="n">
        <x:v>46176</x:v>
      </x:c>
      <x:c r="D197" s="12" t="str">
        <x:v>Rabu</x:v>
      </x:c>
      <x:c r="E197" s="12" t="str">
        <x:v>07:51:00</x:v>
      </x:c>
      <x:c r="F197" s="12" t="str">
        <x:v>All Shift Day</x:v>
      </x:c>
      <x:c r="G197" s="12" t="str">
        <x:v>STRL44G137</x:v>
      </x:c>
      <x:c r="H197" s="12" t="str">
        <x:v>Dump Truck</x:v>
      </x:c>
      <x:c r="I197" s="12" t="str">
        <x:v>DUMP TRUCK RENAULT KRANGE440-P6X4 A/T</x:v>
      </x:c>
      <x:c r="J197" s="16" t="n">
        <x:v>111</x:v>
      </x:c>
      <x:c r="K197" s="16" t="n">
        <x:v>6350</x:v>
      </x:c>
      <x:c r="L197" s="16" t="n">
        <x:v>6360</x:v>
      </x:c>
      <x:c r="M197" s="16" t="n">
        <x:v>10</x:v>
      </x:c>
      <x:c r="N197" s="16" t="n">
        <x:v>11.1</x:v>
      </x:c>
      <x:c r="O197" s="12" t="str">
        <x:v>FTRL44G005</x:v>
      </x:c>
      <x:c r="P197" s="12" t="str">
        <x:v>STRL44G137</x:v>
      </x:c>
      <x:c r="Q197" s="12" t="str"/>
      <x:c r="R197" s="12" t="str"/>
      <x:c r="S197" s="12" t="str"/>
      <x:c r="T197" s="12" t="str">
        <x:v>ABM</x:v>
      </x:c>
      <x:c r="U197" s="12" t="str"/>
      <x:c r="V197" s="12" t="str"/>
      <x:c r="W197" s="12" t="str"/>
      <x:c r="X197" s="12" t="str">
        <x:v>STRL44</x:v>
      </x:c>
      <x:c r="Y197" s="12" t="str">
        <x:v>WAYAN &amp; YOGI</x:v>
      </x:c>
      <x:c r="Z197" s="12" t="str"/>
      <x:c r="AA197" s="32" t="n">
        <x:f>IFERROR(VLOOKUP(G197,Master_Unit!$A$2:$N$78,7,FALSE),"")</x:f>
        <x:v>20</x:v>
      </x:c>
      <x:c r="AB197" s="32" t="n">
        <x:f>IF(OR(N197="",AA197=""),"",N197-AA197)</x:f>
        <x:v>-8.9</x:v>
      </x:c>
      <x:c r="AC197" s="20" t="n">
        <x:f>IF(OR(N197="",AA197="",AA197=0),"",AB197/AA197)</x:f>
        <x:v>-0.445</x:v>
      </x:c>
      <x:c r="AD197" t="str">
        <x:f>IF(AA197="","NO STANDARD",IF(AC197&lt;=Config_Status!$B$2,"EFFICIENT",IF(AC197&lt;=Config_Status!$B$3,"NORMAL",IF(AC197&lt;=Config_Status!$B$4,"WARNING","OVER CONSUMPTION"))))</x:f>
        <x:v>EFFICIENT</x:v>
      </x:c>
      <x:c r="AE197" t="str">
        <x:f>IFERROR(VLOOKUP(G197,Master_Unit!$A$2:$N$78,13,FALSE),"UNIT NOT FOUND")</x:f>
        <x:v>Matched</x:v>
      </x:c>
    </x:row>
    <x:row r="198">
      <x:c r="A198" s="12" t="str">
        <x:v>FU-20260603-00197</x:v>
      </x:c>
      <x:c r="B198" s="12" t="n">
        <x:v>327</x:v>
      </x:c>
      <x:c r="C198" s="14" t="n">
        <x:v>46176</x:v>
      </x:c>
      <x:c r="D198" s="12" t="str">
        <x:v>Rabu</x:v>
      </x:c>
      <x:c r="E198" s="12" t="str">
        <x:v>08:31:00</x:v>
      </x:c>
      <x:c r="F198" s="12" t="str">
        <x:v>All Shift Day</x:v>
      </x:c>
      <x:c r="G198" s="12" t="str">
        <x:v>EXVV21G041</x:v>
      </x:c>
      <x:c r="H198" s="12" t="str">
        <x:v>Excavator</x:v>
      </x:c>
      <x:c r="I198" s="12" t="str">
        <x:v>EXCAVATOR VOLVO EC210D</x:v>
      </x:c>
      <x:c r="J198" s="16" t="n">
        <x:v>128</x:v>
      </x:c>
      <x:c r="K198" s="16" t="n">
        <x:v>4414</x:v>
      </x:c>
      <x:c r="L198" s="16" t="n">
        <x:v>4433.1</x:v>
      </x:c>
      <x:c r="M198" s="16" t="n">
        <x:v>19.100000000000364</x:v>
      </x:c>
      <x:c r="N198" s="16" t="n">
        <x:v>6.701570680628144</x:v>
      </x:c>
      <x:c r="O198" s="12" t="str">
        <x:v>FTRL44G005</x:v>
      </x:c>
      <x:c r="P198" s="12" t="str">
        <x:v>EXVV21G041</x:v>
      </x:c>
      <x:c r="Q198" s="12" t="str"/>
      <x:c r="R198" s="12" t="str"/>
      <x:c r="S198" s="12" t="str"/>
      <x:c r="T198" s="12" t="str">
        <x:v>ABM</x:v>
      </x:c>
      <x:c r="U198" s="12" t="str"/>
      <x:c r="V198" s="12" t="str"/>
      <x:c r="W198" s="12" t="str"/>
      <x:c r="X198" s="12" t="str">
        <x:v>EXVV21</x:v>
      </x:c>
      <x:c r="Y198" s="12" t="str">
        <x:v>WAYAN &amp; YOGI</x:v>
      </x:c>
      <x:c r="Z198" s="12" t="str"/>
      <x:c r="AA198" s="32" t="n">
        <x:f>IFERROR(VLOOKUP(G198,Master_Unit!$A$2:$N$78,7,FALSE),"")</x:f>
        <x:v>20</x:v>
      </x:c>
      <x:c r="AB198" s="32" t="n">
        <x:f>IF(OR(N198="",AA198=""),"",N198-AA198)</x:f>
        <x:v>-13.298429319371856</x:v>
      </x:c>
      <x:c r="AC198" s="20" t="n">
        <x:f>IF(OR(N198="",AA198="",AA198=0),"",AB198/AA198)</x:f>
        <x:v>-0.6649214659685928</x:v>
      </x:c>
      <x:c r="AD198" t="str">
        <x:f>IF(AA198="","NO STANDARD",IF(AC198&lt;=Config_Status!$B$2,"EFFICIENT",IF(AC198&lt;=Config_Status!$B$3,"NORMAL",IF(AC198&lt;=Config_Status!$B$4,"WARNING","OVER CONSUMPTION"))))</x:f>
        <x:v>EFFICIENT</x:v>
      </x:c>
      <x:c r="AE198" t="str">
        <x:f>IFERROR(VLOOKUP(G198,Master_Unit!$A$2:$N$78,13,FALSE),"UNIT NOT FOUND")</x:f>
        <x:v>Matched</x:v>
      </x:c>
    </x:row>
    <x:row r="199">
      <x:c r="A199" s="12" t="str">
        <x:v>FU-20260603-00198</x:v>
      </x:c>
      <x:c r="B199" s="12" t="n">
        <x:v>328</x:v>
      </x:c>
      <x:c r="C199" s="14" t="n">
        <x:v>46176</x:v>
      </x:c>
      <x:c r="D199" s="12" t="str">
        <x:v>Rabu</x:v>
      </x:c>
      <x:c r="E199" s="12" t="str">
        <x:v>08:51:00</x:v>
      </x:c>
      <x:c r="F199" s="12" t="str">
        <x:v>All Shift Day</x:v>
      </x:c>
      <x:c r="G199" s="12" t="str">
        <x:v>STRL44G139</x:v>
      </x:c>
      <x:c r="H199" s="12" t="str">
        <x:v>Dump Truck</x:v>
      </x:c>
      <x:c r="I199" s="12" t="str">
        <x:v>DUMP TRUCK RENAULT KRANGE440-P6X4 A/T</x:v>
      </x:c>
      <x:c r="J199" s="16" t="n">
        <x:v>161</x:v>
      </x:c>
      <x:c r="K199" s="16" t="n">
        <x:v>4894</x:v>
      </x:c>
      <x:c r="L199" s="16" t="n">
        <x:v>4898</x:v>
      </x:c>
      <x:c r="M199" s="16" t="n">
        <x:v>4</x:v>
      </x:c>
      <x:c r="N199" s="16" t="n">
        <x:v>40.25</x:v>
      </x:c>
      <x:c r="O199" s="12" t="str">
        <x:v>FTRL44G005</x:v>
      </x:c>
      <x:c r="P199" s="12" t="str">
        <x:v>STRL44G139</x:v>
      </x:c>
      <x:c r="Q199" s="12" t="str"/>
      <x:c r="R199" s="12" t="str"/>
      <x:c r="S199" s="12" t="str"/>
      <x:c r="T199" s="12" t="str">
        <x:v>ABM</x:v>
      </x:c>
      <x:c r="U199" s="12" t="str"/>
      <x:c r="V199" s="12" t="str"/>
      <x:c r="W199" s="12" t="str"/>
      <x:c r="X199" s="12" t="str">
        <x:v>STRL44</x:v>
      </x:c>
      <x:c r="Y199" s="12" t="str">
        <x:v>WAYAN &amp; YOGI</x:v>
      </x:c>
      <x:c r="Z199" s="12" t="str"/>
      <x:c r="AA199" s="32" t="n">
        <x:f>IFERROR(VLOOKUP(G199,Master_Unit!$A$2:$N$78,7,FALSE),"")</x:f>
        <x:v>20</x:v>
      </x:c>
      <x:c r="AB199" s="32" t="n">
        <x:f>IF(OR(N199="",AA199=""),"",N199-AA199)</x:f>
        <x:v>20.25</x:v>
      </x:c>
      <x:c r="AC199" s="20" t="n">
        <x:f>IF(OR(N199="",AA199="",AA199=0),"",AB199/AA199)</x:f>
        <x:v>1.0125</x:v>
      </x:c>
      <x:c r="AD199" t="str">
        <x:f>IF(AA199="","NO STANDARD",IF(AC199&lt;=Config_Status!$B$2,"EFFICIENT",IF(AC199&lt;=Config_Status!$B$3,"NORMAL",IF(AC199&lt;=Config_Status!$B$4,"WARNING","OVER CONSUMPTION"))))</x:f>
        <x:v>OVER CONSUMPTION</x:v>
      </x:c>
      <x:c r="AE199" t="str">
        <x:f>IFERROR(VLOOKUP(G199,Master_Unit!$A$2:$N$78,13,FALSE),"UNIT NOT FOUND")</x:f>
        <x:v>Matched</x:v>
      </x:c>
    </x:row>
    <x:row r="200">
      <x:c r="A200" s="12" t="str">
        <x:v>FU-20260603-00199</x:v>
      </x:c>
      <x:c r="B200" s="12" t="n">
        <x:v>329</x:v>
      </x:c>
      <x:c r="C200" s="14" t="n">
        <x:v>46176</x:v>
      </x:c>
      <x:c r="D200" s="12" t="str">
        <x:v>Rabu</x:v>
      </x:c>
      <x:c r="E200" s="12" t="str">
        <x:v>08:55:00</x:v>
      </x:c>
      <x:c r="F200" s="12" t="str">
        <x:v>All Shift Day</x:v>
      </x:c>
      <x:c r="G200" s="12" t="str">
        <x:v>STRL44G155</x:v>
      </x:c>
      <x:c r="H200" s="12" t="str">
        <x:v>Dump Truck</x:v>
      </x:c>
      <x:c r="I200" s="12" t="str">
        <x:v>DUMP TRUCK RENAULT KRANGE440-P6X4 A/T</x:v>
      </x:c>
      <x:c r="J200" s="16" t="n">
        <x:v>161</x:v>
      </x:c>
      <x:c r="K200" s="16" t="n">
        <x:v>3888</x:v>
      </x:c>
      <x:c r="L200" s="16" t="n">
        <x:v>3896</x:v>
      </x:c>
      <x:c r="M200" s="16" t="n">
        <x:v>8</x:v>
      </x:c>
      <x:c r="N200" s="16" t="n">
        <x:v>20.125</x:v>
      </x:c>
      <x:c r="O200" s="12" t="str">
        <x:v>FTRL44G005</x:v>
      </x:c>
      <x:c r="P200" s="12" t="str">
        <x:v>STRL44G155</x:v>
      </x:c>
      <x:c r="Q200" s="12" t="str"/>
      <x:c r="R200" s="12" t="str"/>
      <x:c r="S200" s="12" t="str"/>
      <x:c r="T200" s="12" t="str">
        <x:v>ABM</x:v>
      </x:c>
      <x:c r="U200" s="12" t="str"/>
      <x:c r="V200" s="12" t="str"/>
      <x:c r="W200" s="12" t="str"/>
      <x:c r="X200" s="12" t="str">
        <x:v>STRL44</x:v>
      </x:c>
      <x:c r="Y200" s="12" t="str">
        <x:v>WAYAN &amp; YOGI</x:v>
      </x:c>
      <x:c r="Z200" s="12" t="str"/>
      <x:c r="AA200" s="32" t="n">
        <x:f>IFERROR(VLOOKUP(G200,Master_Unit!$A$2:$N$78,7,FALSE),"")</x:f>
        <x:v>20</x:v>
      </x:c>
      <x:c r="AB200" s="32" t="n">
        <x:f>IF(OR(N200="",AA200=""),"",N200-AA200)</x:f>
        <x:v>0.125</x:v>
      </x:c>
      <x:c r="AC200" s="20" t="n">
        <x:f>IF(OR(N200="",AA200="",AA200=0),"",AB200/AA200)</x:f>
        <x:v>0.00625</x:v>
      </x:c>
      <x:c r="AD200" t="str">
        <x:f>IF(AA200="","NO STANDARD",IF(AC200&lt;=Config_Status!$B$2,"EFFICIENT",IF(AC200&lt;=Config_Status!$B$3,"NORMAL",IF(AC200&lt;=Config_Status!$B$4,"WARNING","OVER CONSUMPTION"))))</x:f>
        <x:v>NORMAL</x:v>
      </x:c>
      <x:c r="AE200" t="str">
        <x:f>IFERROR(VLOOKUP(G200,Master_Unit!$A$2:$N$78,13,FALSE),"UNIT NOT FOUND")</x:f>
        <x:v>Matched</x:v>
      </x:c>
    </x:row>
    <x:row r="201">
      <x:c r="A201" s="12" t="str">
        <x:v>FU-20260603-00200</x:v>
      </x:c>
      <x:c r="B201" s="12" t="n">
        <x:v>330</x:v>
      </x:c>
      <x:c r="C201" s="14" t="n">
        <x:v>46176</x:v>
      </x:c>
      <x:c r="D201" s="12" t="str">
        <x:v>Rabu</x:v>
      </x:c>
      <x:c r="E201" s="12" t="str">
        <x:v>08:58:00</x:v>
      </x:c>
      <x:c r="F201" s="12" t="str">
        <x:v>All Shift Day</x:v>
      </x:c>
      <x:c r="G201" s="12" t="str">
        <x:v>STRL44G142</x:v>
      </x:c>
      <x:c r="H201" s="12" t="str">
        <x:v>Dump Truck</x:v>
      </x:c>
      <x:c r="I201" s="12" t="str">
        <x:v>DUMP TRUCK RENAULT KRANGE440-P6X4 A/T</x:v>
      </x:c>
      <x:c r="J201" s="16" t="n">
        <x:v>161</x:v>
      </x:c>
      <x:c r="K201" s="16" t="n">
        <x:v>3259</x:v>
      </x:c>
      <x:c r="L201" s="16" t="n">
        <x:v>3267</x:v>
      </x:c>
      <x:c r="M201" s="16" t="n">
        <x:v>8</x:v>
      </x:c>
      <x:c r="N201" s="16" t="n">
        <x:v>20.125</x:v>
      </x:c>
      <x:c r="O201" s="12" t="str">
        <x:v>FTRL44G005</x:v>
      </x:c>
      <x:c r="P201" s="12" t="str">
        <x:v>STRL44G142</x:v>
      </x:c>
      <x:c r="Q201" s="12" t="str"/>
      <x:c r="R201" s="12" t="str"/>
      <x:c r="S201" s="12" t="str"/>
      <x:c r="T201" s="12" t="str">
        <x:v>ABM</x:v>
      </x:c>
      <x:c r="U201" s="12" t="str"/>
      <x:c r="V201" s="12" t="str"/>
      <x:c r="W201" s="12" t="str"/>
      <x:c r="X201" s="12" t="str">
        <x:v>STRL44</x:v>
      </x:c>
      <x:c r="Y201" s="12" t="str">
        <x:v>WAYAN &amp; YOGI</x:v>
      </x:c>
      <x:c r="Z201" s="12" t="str"/>
      <x:c r="AA201" s="32" t="n">
        <x:f>IFERROR(VLOOKUP(G201,Master_Unit!$A$2:$N$78,7,FALSE),"")</x:f>
        <x:v>20</x:v>
      </x:c>
      <x:c r="AB201" s="32" t="n">
        <x:f>IF(OR(N201="",AA201=""),"",N201-AA201)</x:f>
        <x:v>0.125</x:v>
      </x:c>
      <x:c r="AC201" s="20" t="n">
        <x:f>IF(OR(N201="",AA201="",AA201=0),"",AB201/AA201)</x:f>
        <x:v>0.00625</x:v>
      </x:c>
      <x:c r="AD201" t="str">
        <x:f>IF(AA201="","NO STANDARD",IF(AC201&lt;=Config_Status!$B$2,"EFFICIENT",IF(AC201&lt;=Config_Status!$B$3,"NORMAL",IF(AC201&lt;=Config_Status!$B$4,"WARNING","OVER CONSUMPTION"))))</x:f>
        <x:v>NORMAL</x:v>
      </x:c>
      <x:c r="AE201" t="str">
        <x:f>IFERROR(VLOOKUP(G201,Master_Unit!$A$2:$N$78,13,FALSE),"UNIT NOT FOUND")</x:f>
        <x:v>Matched</x:v>
      </x:c>
    </x:row>
    <x:row r="202">
      <x:c r="A202" s="12" t="str">
        <x:v>FU-20260603-00201</x:v>
      </x:c>
      <x:c r="B202" s="12" t="n">
        <x:v>331</x:v>
      </x:c>
      <x:c r="C202" s="14" t="n">
        <x:v>46176</x:v>
      </x:c>
      <x:c r="D202" s="12" t="str">
        <x:v>Rabu</x:v>
      </x:c>
      <x:c r="E202" s="12" t="str">
        <x:v>09:02:00</x:v>
      </x:c>
      <x:c r="F202" s="12" t="str">
        <x:v>All Shift Day</x:v>
      </x:c>
      <x:c r="G202" s="12" t="str">
        <x:v>STRL44G152</x:v>
      </x:c>
      <x:c r="H202" s="12" t="str">
        <x:v>Dump Truck</x:v>
      </x:c>
      <x:c r="I202" s="12" t="str">
        <x:v>DUMP TRUCK RENAULT KRANGE440-P6X4 A/T</x:v>
      </x:c>
      <x:c r="J202" s="16" t="n">
        <x:v>161</x:v>
      </x:c>
      <x:c r="K202" s="16" t="n">
        <x:v>3618</x:v>
      </x:c>
      <x:c r="L202" s="16" t="n">
        <x:v>3628</x:v>
      </x:c>
      <x:c r="M202" s="16" t="n">
        <x:v>10</x:v>
      </x:c>
      <x:c r="N202" s="16" t="n">
        <x:v>16.1</x:v>
      </x:c>
      <x:c r="O202" s="12" t="str">
        <x:v>FTRL44G005</x:v>
      </x:c>
      <x:c r="P202" s="12" t="str">
        <x:v>STRL44G152</x:v>
      </x:c>
      <x:c r="Q202" s="12" t="str"/>
      <x:c r="R202" s="12" t="str"/>
      <x:c r="S202" s="12" t="str"/>
      <x:c r="T202" s="12" t="str">
        <x:v>ABM</x:v>
      </x:c>
      <x:c r="U202" s="12" t="str"/>
      <x:c r="V202" s="12" t="str"/>
      <x:c r="W202" s="12" t="str"/>
      <x:c r="X202" s="12" t="str">
        <x:v>STRL44</x:v>
      </x:c>
      <x:c r="Y202" s="12" t="str">
        <x:v>WAYAN &amp; YOGI</x:v>
      </x:c>
      <x:c r="Z202" s="12" t="str"/>
      <x:c r="AA202" s="32" t="n">
        <x:f>IFERROR(VLOOKUP(G202,Master_Unit!$A$2:$N$78,7,FALSE),"")</x:f>
        <x:v>20</x:v>
      </x:c>
      <x:c r="AB202" s="32" t="n">
        <x:f>IF(OR(N202="",AA202=""),"",N202-AA202)</x:f>
        <x:v>-3.8999999999999986</x:v>
      </x:c>
      <x:c r="AC202" s="20" t="n">
        <x:f>IF(OR(N202="",AA202="",AA202=0),"",AB202/AA202)</x:f>
        <x:v>-0.19499999999999992</x:v>
      </x:c>
      <x:c r="AD202" t="str">
        <x:f>IF(AA202="","NO STANDARD",IF(AC202&lt;=Config_Status!$B$2,"EFFICIENT",IF(AC202&lt;=Config_Status!$B$3,"NORMAL",IF(AC202&lt;=Config_Status!$B$4,"WARNING","OVER CONSUMPTION"))))</x:f>
        <x:v>EFFICIENT</x:v>
      </x:c>
      <x:c r="AE202" t="str">
        <x:f>IFERROR(VLOOKUP(G202,Master_Unit!$A$2:$N$78,13,FALSE),"UNIT NOT FOUND")</x:f>
        <x:v>Matched</x:v>
      </x:c>
    </x:row>
    <x:row r="203">
      <x:c r="A203" s="12" t="str">
        <x:v>FU-20260603-00202</x:v>
      </x:c>
      <x:c r="B203" s="12" t="n">
        <x:v>332</x:v>
      </x:c>
      <x:c r="C203" s="14" t="n">
        <x:v>46176</x:v>
      </x:c>
      <x:c r="D203" s="12" t="str">
        <x:v>Rabu</x:v>
      </x:c>
      <x:c r="E203" s="12" t="str">
        <x:v>09:06:00</x:v>
      </x:c>
      <x:c r="F203" s="12" t="str">
        <x:v>All Shift Day</x:v>
      </x:c>
      <x:c r="G203" s="12" t="str">
        <x:v>WTRL44G007</x:v>
      </x:c>
      <x:c r="H203" s="12" t="str">
        <x:v>Water Truck</x:v>
      </x:c>
      <x:c r="I203" s="12" t="str">
        <x:v>WATER TRUCK RENAULT KRANGE440-P6X4 A/T</x:v>
      </x:c>
      <x:c r="J203" s="16" t="n">
        <x:v>100</x:v>
      </x:c>
      <x:c r="K203" s="16" t="n">
        <x:v>1583</x:v>
      </x:c>
      <x:c r="L203" s="16" t="n">
        <x:v>1591</x:v>
      </x:c>
      <x:c r="M203" s="16" t="n">
        <x:v>8</x:v>
      </x:c>
      <x:c r="N203" s="16" t="n">
        <x:v>12.5</x:v>
      </x:c>
      <x:c r="O203" s="12" t="str">
        <x:v>FTRL44G005</x:v>
      </x:c>
      <x:c r="P203" s="12" t="str">
        <x:v>WTRL44G007</x:v>
      </x:c>
      <x:c r="Q203" s="12" t="str"/>
      <x:c r="R203" s="12" t="str"/>
      <x:c r="S203" s="12" t="str"/>
      <x:c r="T203" s="12" t="str">
        <x:v>ABM</x:v>
      </x:c>
      <x:c r="U203" s="12" t="str"/>
      <x:c r="V203" s="12" t="str"/>
      <x:c r="W203" s="12" t="str"/>
      <x:c r="X203" s="12" t="str">
        <x:v>WTRL44</x:v>
      </x:c>
      <x:c r="Y203" s="12" t="str">
        <x:v>WAYAN &amp; YOGI</x:v>
      </x:c>
      <x:c r="Z203" s="12" t="str"/>
      <x:c r="AA203" s="32" t="n">
        <x:f>IFERROR(VLOOKUP(G203,Master_Unit!$A$2:$N$78,7,FALSE),"")</x:f>
        <x:v>20</x:v>
      </x:c>
      <x:c r="AB203" s="32" t="n">
        <x:f>IF(OR(N203="",AA203=""),"",N203-AA203)</x:f>
        <x:v>-7.5</x:v>
      </x:c>
      <x:c r="AC203" s="20" t="n">
        <x:f>IF(OR(N203="",AA203="",AA203=0),"",AB203/AA203)</x:f>
        <x:v>-0.375</x:v>
      </x:c>
      <x:c r="AD203" t="str">
        <x:f>IF(AA203="","NO STANDARD",IF(AC203&lt;=Config_Status!$B$2,"EFFICIENT",IF(AC203&lt;=Config_Status!$B$3,"NORMAL",IF(AC203&lt;=Config_Status!$B$4,"WARNING","OVER CONSUMPTION"))))</x:f>
        <x:v>EFFICIENT</x:v>
      </x:c>
      <x:c r="AE203" t="str">
        <x:f>IFERROR(VLOOKUP(G203,Master_Unit!$A$2:$N$78,13,FALSE),"UNIT NOT FOUND")</x:f>
        <x:v>Matched</x:v>
      </x:c>
    </x:row>
    <x:row r="204">
      <x:c r="A204" s="12" t="str">
        <x:v>FU-20260603-00203</x:v>
      </x:c>
      <x:c r="B204" s="12" t="n">
        <x:v>333</x:v>
      </x:c>
      <x:c r="C204" s="14" t="n">
        <x:v>46176</x:v>
      </x:c>
      <x:c r="D204" s="12" t="str">
        <x:v>Rabu</x:v>
      </x:c>
      <x:c r="E204" s="12" t="str">
        <x:v>09:09:00</x:v>
      </x:c>
      <x:c r="F204" s="12" t="str">
        <x:v>All Shift Day</x:v>
      </x:c>
      <x:c r="G204" s="12" t="str">
        <x:v>STRL44G138</x:v>
      </x:c>
      <x:c r="H204" s="12" t="str">
        <x:v>Dump Truck</x:v>
      </x:c>
      <x:c r="I204" s="12" t="str">
        <x:v>DUMP TRUCK RENAULT KRANGE440-P6X4 A/T</x:v>
      </x:c>
      <x:c r="J204" s="16" t="n">
        <x:v>161</x:v>
      </x:c>
      <x:c r="K204" s="16" t="n">
        <x:v>5224</x:v>
      </x:c>
      <x:c r="L204" s="16" t="n">
        <x:v>5232</x:v>
      </x:c>
      <x:c r="M204" s="16" t="n">
        <x:v>8</x:v>
      </x:c>
      <x:c r="N204" s="16" t="n">
        <x:v>20.125</x:v>
      </x:c>
      <x:c r="O204" s="12" t="str">
        <x:v>FTRL44G005</x:v>
      </x:c>
      <x:c r="P204" s="12" t="str">
        <x:v>STRL44G138</x:v>
      </x:c>
      <x:c r="Q204" s="12" t="str"/>
      <x:c r="R204" s="12" t="str"/>
      <x:c r="S204" s="12" t="str"/>
      <x:c r="T204" s="12" t="str">
        <x:v>ABM</x:v>
      </x:c>
      <x:c r="U204" s="12" t="str"/>
      <x:c r="V204" s="12" t="str"/>
      <x:c r="W204" s="12" t="str"/>
      <x:c r="X204" s="12" t="str">
        <x:v>STRL44</x:v>
      </x:c>
      <x:c r="Y204" s="12" t="str">
        <x:v>WAYAN &amp; YOGI</x:v>
      </x:c>
      <x:c r="Z204" s="12" t="str"/>
      <x:c r="AA204" s="32" t="n">
        <x:f>IFERROR(VLOOKUP(G204,Master_Unit!$A$2:$N$78,7,FALSE),"")</x:f>
        <x:v>20</x:v>
      </x:c>
      <x:c r="AB204" s="32" t="n">
        <x:f>IF(OR(N204="",AA204=""),"",N204-AA204)</x:f>
        <x:v>0.125</x:v>
      </x:c>
      <x:c r="AC204" s="20" t="n">
        <x:f>IF(OR(N204="",AA204="",AA204=0),"",AB204/AA204)</x:f>
        <x:v>0.00625</x:v>
      </x:c>
      <x:c r="AD204" t="str">
        <x:f>IF(AA204="","NO STANDARD",IF(AC204&lt;=Config_Status!$B$2,"EFFICIENT",IF(AC204&lt;=Config_Status!$B$3,"NORMAL",IF(AC204&lt;=Config_Status!$B$4,"WARNING","OVER CONSUMPTION"))))</x:f>
        <x:v>NORMAL</x:v>
      </x:c>
      <x:c r="AE204" t="str">
        <x:f>IFERROR(VLOOKUP(G204,Master_Unit!$A$2:$N$78,13,FALSE),"UNIT NOT FOUND")</x:f>
        <x:v>Matched</x:v>
      </x:c>
    </x:row>
    <x:row r="205">
      <x:c r="A205" s="12" t="str">
        <x:v>FU-20260603-00204</x:v>
      </x:c>
      <x:c r="B205" s="12" t="n">
        <x:v>334</x:v>
      </x:c>
      <x:c r="C205" s="14" t="n">
        <x:v>46176</x:v>
      </x:c>
      <x:c r="D205" s="12" t="str">
        <x:v>Rabu</x:v>
      </x:c>
      <x:c r="E205" s="12" t="str">
        <x:v>09:11:00</x:v>
      </x:c>
      <x:c r="F205" s="12" t="str">
        <x:v>All Shift Day</x:v>
      </x:c>
      <x:c r="G205" s="12" t="str">
        <x:v>LVTH24R033</x:v>
      </x:c>
      <x:c r="H205" s="12" t="str">
        <x:v>Light Vehicle</x:v>
      </x:c>
      <x:c r="I205" s="12" t="str">
        <x:v>LIGHT VEHICLE TOYOTA HILUX</x:v>
      </x:c>
      <x:c r="J205" s="16" t="n">
        <x:v>34</x:v>
      </x:c>
      <x:c r="K205" s="16" t="n">
        <x:v>137339</x:v>
      </x:c>
      <x:c r="L205" s="16" t="n">
        <x:v>137437</x:v>
      </x:c>
      <x:c r="M205" s="16" t="n">
        <x:v>98</x:v>
      </x:c>
      <x:c r="N205" s="16" t="n">
        <x:v>0.3469387755102041</x:v>
      </x:c>
      <x:c r="O205" s="12" t="str">
        <x:v>FTRL44G005</x:v>
      </x:c>
      <x:c r="P205" s="12" t="str">
        <x:v>LVTH24R033</x:v>
      </x:c>
      <x:c r="Q205" s="12" t="str"/>
      <x:c r="R205" s="12" t="str"/>
      <x:c r="S205" s="12" t="str"/>
      <x:c r="T205" s="12" t="str">
        <x:v>ABM</x:v>
      </x:c>
      <x:c r="U205" s="12" t="str"/>
      <x:c r="V205" s="12" t="str"/>
      <x:c r="W205" s="12" t="str"/>
      <x:c r="X205" s="12" t="str">
        <x:v>LVTH24</x:v>
      </x:c>
      <x:c r="Y205" s="12" t="str">
        <x:v>WAYAN &amp; YOGI</x:v>
      </x:c>
      <x:c r="Z205" s="12" t="str"/>
      <x:c r="AA205" s="32" t="n">
        <x:f>IFERROR(VLOOKUP(G205,Master_Unit!$A$2:$N$78,7,FALSE),"")</x:f>
        <x:v>0.2</x:v>
      </x:c>
      <x:c r="AB205" s="32" t="n">
        <x:f>IF(OR(N205="",AA205=""),"",N205-AA205)</x:f>
        <x:v>0.14693877551020407</x:v>
      </x:c>
      <x:c r="AC205" s="20" t="n">
        <x:f>IF(OR(N205="",AA205="",AA205=0),"",AB205/AA205)</x:f>
        <x:v>0.7346938775510203</x:v>
      </x:c>
      <x:c r="AD205" t="str">
        <x:f>IF(AA205="","NO STANDARD",IF(AC205&lt;=Config_Status!$B$2,"EFFICIENT",IF(AC205&lt;=Config_Status!$B$3,"NORMAL",IF(AC205&lt;=Config_Status!$B$4,"WARNING","OVER CONSUMPTION"))))</x:f>
        <x:v>OVER CONSUMPTION</x:v>
      </x:c>
      <x:c r="AE205" t="str">
        <x:f>IFERROR(VLOOKUP(G205,Master_Unit!$A$2:$N$78,13,FALSE),"UNIT NOT FOUND")</x:f>
        <x:v>Matched</x:v>
      </x:c>
    </x:row>
    <x:row r="206">
      <x:c r="A206" s="12" t="str">
        <x:v>FU-20260603-00205</x:v>
      </x:c>
      <x:c r="B206" s="12" t="n">
        <x:v>335</x:v>
      </x:c>
      <x:c r="C206" s="14" t="n">
        <x:v>46176</x:v>
      </x:c>
      <x:c r="D206" s="12" t="str">
        <x:v>Rabu</x:v>
      </x:c>
      <x:c r="E206" s="12" t="str">
        <x:v>09:14:00</x:v>
      </x:c>
      <x:c r="F206" s="12" t="str">
        <x:v>All Shift Day</x:v>
      </x:c>
      <x:c r="G206" s="12" t="str">
        <x:v>STRL44G153</x:v>
      </x:c>
      <x:c r="H206" s="12" t="str">
        <x:v>Dump Truck</x:v>
      </x:c>
      <x:c r="I206" s="12" t="str">
        <x:v>DUMP TRUCK RENAULT KRANGE440-P6X4 A/T</x:v>
      </x:c>
      <x:c r="J206" s="16" t="n">
        <x:v>161</x:v>
      </x:c>
      <x:c r="K206" s="16" t="n">
        <x:v>3912</x:v>
      </x:c>
      <x:c r="L206" s="16" t="n">
        <x:v>3920</x:v>
      </x:c>
      <x:c r="M206" s="16" t="n">
        <x:v>8</x:v>
      </x:c>
      <x:c r="N206" s="16" t="n">
        <x:v>20.125</x:v>
      </x:c>
      <x:c r="O206" s="12" t="str">
        <x:v>FTRL44G005</x:v>
      </x:c>
      <x:c r="P206" s="12" t="str">
        <x:v>STRL44G153</x:v>
      </x:c>
      <x:c r="Q206" s="12" t="str"/>
      <x:c r="R206" s="12" t="str"/>
      <x:c r="S206" s="12" t="str"/>
      <x:c r="T206" s="12" t="str">
        <x:v>ABM</x:v>
      </x:c>
      <x:c r="U206" s="12" t="str"/>
      <x:c r="V206" s="12" t="str"/>
      <x:c r="W206" s="12" t="str"/>
      <x:c r="X206" s="12" t="str">
        <x:v>STRL44</x:v>
      </x:c>
      <x:c r="Y206" s="12" t="str">
        <x:v>WAYAN &amp; YOGI</x:v>
      </x:c>
      <x:c r="Z206" s="12" t="str"/>
      <x:c r="AA206" s="32" t="n">
        <x:f>IFERROR(VLOOKUP(G206,Master_Unit!$A$2:$N$78,7,FALSE),"")</x:f>
        <x:v>20</x:v>
      </x:c>
      <x:c r="AB206" s="32" t="n">
        <x:f>IF(OR(N206="",AA206=""),"",N206-AA206)</x:f>
        <x:v>0.125</x:v>
      </x:c>
      <x:c r="AC206" s="20" t="n">
        <x:f>IF(OR(N206="",AA206="",AA206=0),"",AB206/AA206)</x:f>
        <x:v>0.00625</x:v>
      </x:c>
      <x:c r="AD206" t="str">
        <x:f>IF(AA206="","NO STANDARD",IF(AC206&lt;=Config_Status!$B$2,"EFFICIENT",IF(AC206&lt;=Config_Status!$B$3,"NORMAL",IF(AC206&lt;=Config_Status!$B$4,"WARNING","OVER CONSUMPTION"))))</x:f>
        <x:v>NORMAL</x:v>
      </x:c>
      <x:c r="AE206" t="str">
        <x:f>IFERROR(VLOOKUP(G206,Master_Unit!$A$2:$N$78,13,FALSE),"UNIT NOT FOUND")</x:f>
        <x:v>Matched</x:v>
      </x:c>
    </x:row>
    <x:row r="207">
      <x:c r="A207" s="12" t="str">
        <x:v>FU-20260603-00206</x:v>
      </x:c>
      <x:c r="B207" s="12" t="n">
        <x:v>336</x:v>
      </x:c>
      <x:c r="C207" s="14" t="n">
        <x:v>46176</x:v>
      </x:c>
      <x:c r="D207" s="12" t="str">
        <x:v>Rabu</x:v>
      </x:c>
      <x:c r="E207" s="12" t="str">
        <x:v>09:20:00</x:v>
      </x:c>
      <x:c r="F207" s="12" t="str">
        <x:v>All Shift Day</x:v>
      </x:c>
      <x:c r="G207" s="12" t="str">
        <x:v>STRL44G144</x:v>
      </x:c>
      <x:c r="H207" s="12" t="str">
        <x:v>Dump Truck</x:v>
      </x:c>
      <x:c r="I207" s="12" t="str">
        <x:v>DUMP TRUCK RENAULT KRANGE440-P6X4 A/T</x:v>
      </x:c>
      <x:c r="J207" s="16" t="n">
        <x:v>161</x:v>
      </x:c>
      <x:c r="K207" s="16" t="n">
        <x:v>1457</x:v>
      </x:c>
      <x:c r="L207" s="16" t="n">
        <x:v>1464</x:v>
      </x:c>
      <x:c r="M207" s="16" t="n">
        <x:v>7</x:v>
      </x:c>
      <x:c r="N207" s="16" t="n">
        <x:v>23</x:v>
      </x:c>
      <x:c r="O207" s="12" t="str">
        <x:v>FTRL44G005</x:v>
      </x:c>
      <x:c r="P207" s="12" t="str">
        <x:v>STRL44G144</x:v>
      </x:c>
      <x:c r="Q207" s="12" t="str"/>
      <x:c r="R207" s="12" t="str"/>
      <x:c r="S207" s="12" t="str"/>
      <x:c r="T207" s="12" t="str">
        <x:v>ABM</x:v>
      </x:c>
      <x:c r="U207" s="12" t="str"/>
      <x:c r="V207" s="12" t="str"/>
      <x:c r="W207" s="12" t="str"/>
      <x:c r="X207" s="12" t="str">
        <x:v>STRL44</x:v>
      </x:c>
      <x:c r="Y207" s="12" t="str">
        <x:v>WAYAN &amp; YOGI</x:v>
      </x:c>
      <x:c r="Z207" s="12" t="str"/>
      <x:c r="AA207" s="32" t="n">
        <x:f>IFERROR(VLOOKUP(G207,Master_Unit!$A$2:$N$78,7,FALSE),"")</x:f>
        <x:v>20</x:v>
      </x:c>
      <x:c r="AB207" s="32" t="n">
        <x:f>IF(OR(N207="",AA207=""),"",N207-AA207)</x:f>
        <x:v>3</x:v>
      </x:c>
      <x:c r="AC207" s="20" t="n">
        <x:f>IF(OR(N207="",AA207="",AA207=0),"",AB207/AA207)</x:f>
        <x:v>0.15</x:v>
      </x:c>
      <x:c r="AD207" t="str">
        <x:f>IF(AA207="","NO STANDARD",IF(AC207&lt;=Config_Status!$B$2,"EFFICIENT",IF(AC207&lt;=Config_Status!$B$3,"NORMAL",IF(AC207&lt;=Config_Status!$B$4,"WARNING","OVER CONSUMPTION"))))</x:f>
        <x:v>WARNING</x:v>
      </x:c>
      <x:c r="AE207" t="str">
        <x:f>IFERROR(VLOOKUP(G207,Master_Unit!$A$2:$N$78,13,FALSE),"UNIT NOT FOUND")</x:f>
        <x:v>Matched</x:v>
      </x:c>
    </x:row>
    <x:row r="208">
      <x:c r="A208" s="12" t="str">
        <x:v>FU-20260603-00207</x:v>
      </x:c>
      <x:c r="B208" s="12" t="n">
        <x:v>337</x:v>
      </x:c>
      <x:c r="C208" s="14" t="n">
        <x:v>46176</x:v>
      </x:c>
      <x:c r="D208" s="12" t="str">
        <x:v>Rabu</x:v>
      </x:c>
      <x:c r="E208" s="12" t="str">
        <x:v>09:33:00</x:v>
      </x:c>
      <x:c r="F208" s="12" t="str">
        <x:v>All Shift Day</x:v>
      </x:c>
      <x:c r="G208" s="12" t="str">
        <x:v>STRL44G151</x:v>
      </x:c>
      <x:c r="H208" s="12" t="str">
        <x:v>Dump Truck</x:v>
      </x:c>
      <x:c r="I208" s="12" t="str">
        <x:v>DUMP TRUCK RENAULT KRANGE440-P6X4 A/T</x:v>
      </x:c>
      <x:c r="J208" s="16" t="n">
        <x:v>161</x:v>
      </x:c>
      <x:c r="K208" s="16" t="n">
        <x:v>4313</x:v>
      </x:c>
      <x:c r="L208" s="16" t="n">
        <x:v>4323</x:v>
      </x:c>
      <x:c r="M208" s="16" t="n">
        <x:v>10</x:v>
      </x:c>
      <x:c r="N208" s="16" t="n">
        <x:v>16.1</x:v>
      </x:c>
      <x:c r="O208" s="12" t="str">
        <x:v>FTRL44G005</x:v>
      </x:c>
      <x:c r="P208" s="12" t="str">
        <x:v>STRL44G151</x:v>
      </x:c>
      <x:c r="Q208" s="12" t="str"/>
      <x:c r="R208" s="12" t="str"/>
      <x:c r="S208" s="12" t="str"/>
      <x:c r="T208" s="12" t="str">
        <x:v>ABM</x:v>
      </x:c>
      <x:c r="U208" s="12" t="str"/>
      <x:c r="V208" s="12" t="str"/>
      <x:c r="W208" s="12" t="str"/>
      <x:c r="X208" s="12" t="str">
        <x:v>STRL44</x:v>
      </x:c>
      <x:c r="Y208" s="12" t="str">
        <x:v>WAYAN &amp; YOGI</x:v>
      </x:c>
      <x:c r="Z208" s="12" t="str"/>
      <x:c r="AA208" s="32" t="n">
        <x:f>IFERROR(VLOOKUP(G208,Master_Unit!$A$2:$N$78,7,FALSE),"")</x:f>
        <x:v>20</x:v>
      </x:c>
      <x:c r="AB208" s="32" t="n">
        <x:f>IF(OR(N208="",AA208=""),"",N208-AA208)</x:f>
        <x:v>-3.8999999999999986</x:v>
      </x:c>
      <x:c r="AC208" s="20" t="n">
        <x:f>IF(OR(N208="",AA208="",AA208=0),"",AB208/AA208)</x:f>
        <x:v>-0.19499999999999992</x:v>
      </x:c>
      <x:c r="AD208" t="str">
        <x:f>IF(AA208="","NO STANDARD",IF(AC208&lt;=Config_Status!$B$2,"EFFICIENT",IF(AC208&lt;=Config_Status!$B$3,"NORMAL",IF(AC208&lt;=Config_Status!$B$4,"WARNING","OVER CONSUMPTION"))))</x:f>
        <x:v>EFFICIENT</x:v>
      </x:c>
      <x:c r="AE208" t="str">
        <x:f>IFERROR(VLOOKUP(G208,Master_Unit!$A$2:$N$78,13,FALSE),"UNIT NOT FOUND")</x:f>
        <x:v>Matched</x:v>
      </x:c>
    </x:row>
    <x:row r="209">
      <x:c r="A209" s="12" t="str">
        <x:v>FU-20260603-00208</x:v>
      </x:c>
      <x:c r="B209" s="12" t="n">
        <x:v>338</x:v>
      </x:c>
      <x:c r="C209" s="14" t="n">
        <x:v>46176</x:v>
      </x:c>
      <x:c r="D209" s="12" t="str">
        <x:v>Rabu</x:v>
      </x:c>
      <x:c r="E209" s="12" t="str">
        <x:v>09:43:00</x:v>
      </x:c>
      <x:c r="F209" s="12" t="str">
        <x:v>All Shift Day</x:v>
      </x:c>
      <x:c r="G209" s="12" t="str">
        <x:v>LVTH24R023</x:v>
      </x:c>
      <x:c r="H209" s="12" t="str">
        <x:v>Light Vehicle</x:v>
      </x:c>
      <x:c r="I209" s="12" t="str">
        <x:v>LIGHT VEHICLE TOYOTA HILUX</x:v>
      </x:c>
      <x:c r="J209" s="16" t="n">
        <x:v>21</x:v>
      </x:c>
      <x:c r="K209" s="16" t="n">
        <x:v>48861</x:v>
      </x:c>
      <x:c r="L209" s="16" t="n">
        <x:v>48902</x:v>
      </x:c>
      <x:c r="M209" s="16" t="n">
        <x:v>41</x:v>
      </x:c>
      <x:c r="N209" s="16" t="n">
        <x:v>0.5121951219512195</x:v>
      </x:c>
      <x:c r="O209" s="12" t="str">
        <x:v>FTRL44G005</x:v>
      </x:c>
      <x:c r="P209" s="12" t="str">
        <x:v>LVTH24R023</x:v>
      </x:c>
      <x:c r="Q209" s="12" t="str"/>
      <x:c r="R209" s="12" t="str"/>
      <x:c r="S209" s="12" t="str"/>
      <x:c r="T209" s="12" t="str">
        <x:v>ABM</x:v>
      </x:c>
      <x:c r="U209" s="12" t="str"/>
      <x:c r="V209" s="12" t="str"/>
      <x:c r="W209" s="12" t="str"/>
      <x:c r="X209" s="12" t="str">
        <x:v>LVTH24</x:v>
      </x:c>
      <x:c r="Y209" s="12" t="str">
        <x:v>WAYAN &amp; YOGI</x:v>
      </x:c>
      <x:c r="Z209" s="12" t="str"/>
      <x:c r="AA209" s="32" t="n">
        <x:f>IFERROR(VLOOKUP(G209,Master_Unit!$A$2:$N$78,7,FALSE),"")</x:f>
        <x:v>0.2</x:v>
      </x:c>
      <x:c r="AB209" s="32" t="n">
        <x:f>IF(OR(N209="",AA209=""),"",N209-AA209)</x:f>
        <x:v>0.3121951219512195</x:v>
      </x:c>
      <x:c r="AC209" s="20" t="n">
        <x:f>IF(OR(N209="",AA209="",AA209=0),"",AB209/AA209)</x:f>
        <x:v>1.5609756097560974</x:v>
      </x:c>
      <x:c r="AD209" t="str">
        <x:f>IF(AA209="","NO STANDARD",IF(AC209&lt;=Config_Status!$B$2,"EFFICIENT",IF(AC209&lt;=Config_Status!$B$3,"NORMAL",IF(AC209&lt;=Config_Status!$B$4,"WARNING","OVER CONSUMPTION"))))</x:f>
        <x:v>OVER CONSUMPTION</x:v>
      </x:c>
      <x:c r="AE209" t="str">
        <x:f>IFERROR(VLOOKUP(G209,Master_Unit!$A$2:$N$78,13,FALSE),"UNIT NOT FOUND")</x:f>
        <x:v>Matched</x:v>
      </x:c>
    </x:row>
    <x:row r="210">
      <x:c r="A210" s="12" t="str">
        <x:v>FU-20260603-00209</x:v>
      </x:c>
      <x:c r="B210" s="12" t="n">
        <x:v>339</x:v>
      </x:c>
      <x:c r="C210" s="14" t="n">
        <x:v>46176</x:v>
      </x:c>
      <x:c r="D210" s="12" t="str">
        <x:v>Rabu</x:v>
      </x:c>
      <x:c r="E210" s="12" t="str">
        <x:v>09:49:00</x:v>
      </x:c>
      <x:c r="F210" s="12" t="str">
        <x:v>All Shift Day</x:v>
      </x:c>
      <x:c r="G210" s="12" t="str">
        <x:v>LVTH24R035</x:v>
      </x:c>
      <x:c r="H210" s="12" t="str">
        <x:v>Light Vehicle</x:v>
      </x:c>
      <x:c r="I210" s="12" t="str">
        <x:v>LIGHT VEHICLE TOYOTA HILUX</x:v>
      </x:c>
      <x:c r="J210" s="16" t="n">
        <x:v>40</x:v>
      </x:c>
      <x:c r="K210" s="16" t="n">
        <x:v>68627</x:v>
      </x:c>
      <x:c r="L210" s="16" t="n">
        <x:v>68934</x:v>
      </x:c>
      <x:c r="M210" s="16" t="n">
        <x:v>307</x:v>
      </x:c>
      <x:c r="N210" s="16" t="n">
        <x:v>0.13029315960912052</x:v>
      </x:c>
      <x:c r="O210" s="12" t="str">
        <x:v>FTRL44G005</x:v>
      </x:c>
      <x:c r="P210" s="12" t="str">
        <x:v>LVTH24R035</x:v>
      </x:c>
      <x:c r="Q210" s="12" t="str"/>
      <x:c r="R210" s="12" t="str"/>
      <x:c r="S210" s="12" t="str"/>
      <x:c r="T210" s="12" t="str">
        <x:v>ABM</x:v>
      </x:c>
      <x:c r="U210" s="12" t="str"/>
      <x:c r="V210" s="12" t="str"/>
      <x:c r="W210" s="12" t="str"/>
      <x:c r="X210" s="12" t="str">
        <x:v>LVTH24</x:v>
      </x:c>
      <x:c r="Y210" s="12" t="str">
        <x:v>WAYAN &amp; YOGI</x:v>
      </x:c>
      <x:c r="Z210" s="12" t="str"/>
      <x:c r="AA210" s="32" t="n">
        <x:f>IFERROR(VLOOKUP(G210,Master_Unit!$A$2:$N$78,7,FALSE),"")</x:f>
        <x:v>0.2</x:v>
      </x:c>
      <x:c r="AB210" s="32" t="n">
        <x:f>IF(OR(N210="",AA210=""),"",N210-AA210)</x:f>
        <x:v>-0.06970684039087949</x:v>
      </x:c>
      <x:c r="AC210" s="20" t="n">
        <x:f>IF(OR(N210="",AA210="",AA210=0),"",AB210/AA210)</x:f>
        <x:v>-0.34853420195439744</x:v>
      </x:c>
      <x:c r="AD210" t="str">
        <x:f>IF(AA210="","NO STANDARD",IF(AC210&lt;=Config_Status!$B$2,"EFFICIENT",IF(AC210&lt;=Config_Status!$B$3,"NORMAL",IF(AC210&lt;=Config_Status!$B$4,"WARNING","OVER CONSUMPTION"))))</x:f>
        <x:v>EFFICIENT</x:v>
      </x:c>
      <x:c r="AE210" t="str">
        <x:f>IFERROR(VLOOKUP(G210,Master_Unit!$A$2:$N$78,13,FALSE),"UNIT NOT FOUND")</x:f>
        <x:v>Matched</x:v>
      </x:c>
    </x:row>
    <x:row r="211">
      <x:c r="A211" s="12" t="str">
        <x:v>FU-20260603-00210</x:v>
      </x:c>
      <x:c r="B211" s="12" t="n">
        <x:v>340</x:v>
      </x:c>
      <x:c r="C211" s="14" t="n">
        <x:v>46176</x:v>
      </x:c>
      <x:c r="D211" s="12" t="str">
        <x:v>Rabu</x:v>
      </x:c>
      <x:c r="E211" s="12" t="str">
        <x:v>09:59:00</x:v>
      </x:c>
      <x:c r="F211" s="12" t="str">
        <x:v>All Shift Day</x:v>
      </x:c>
      <x:c r="G211" s="12" t="str">
        <x:v>LVTH24R034</x:v>
      </x:c>
      <x:c r="H211" s="12" t="str">
        <x:v>Light Vehicle</x:v>
      </x:c>
      <x:c r="I211" s="12" t="str">
        <x:v>LIGHT VEHICLE TOYOTA HILUX</x:v>
      </x:c>
      <x:c r="J211" s="16" t="n">
        <x:v>32</x:v>
      </x:c>
      <x:c r="K211" s="16" t="n">
        <x:v>47112</x:v>
      </x:c>
      <x:c r="L211" s="16" t="n">
        <x:v>47338</x:v>
      </x:c>
      <x:c r="M211" s="16" t="n">
        <x:v>226</x:v>
      </x:c>
      <x:c r="N211" s="16" t="n">
        <x:v>0.1415929203539823</x:v>
      </x:c>
      <x:c r="O211" s="12" t="str">
        <x:v>FTRL44G005</x:v>
      </x:c>
      <x:c r="P211" s="12" t="str">
        <x:v>LVTH24R034</x:v>
      </x:c>
      <x:c r="Q211" s="12" t="str"/>
      <x:c r="R211" s="12" t="str"/>
      <x:c r="S211" s="12" t="str"/>
      <x:c r="T211" s="12" t="str">
        <x:v>ABM</x:v>
      </x:c>
      <x:c r="U211" s="12" t="str"/>
      <x:c r="V211" s="12" t="str"/>
      <x:c r="W211" s="12" t="str"/>
      <x:c r="X211" s="12" t="str">
        <x:v>LVTH24</x:v>
      </x:c>
      <x:c r="Y211" s="12" t="str">
        <x:v>WAYAN &amp; YOGI</x:v>
      </x:c>
      <x:c r="Z211" s="12" t="str"/>
      <x:c r="AA211" s="32" t="n">
        <x:f>IFERROR(VLOOKUP(G211,Master_Unit!$A$2:$N$78,7,FALSE),"")</x:f>
        <x:v>0.2</x:v>
      </x:c>
      <x:c r="AB211" s="32" t="n">
        <x:f>IF(OR(N211="",AA211=""),"",N211-AA211)</x:f>
        <x:v>-0.05840707964601771</x:v>
      </x:c>
      <x:c r="AC211" s="20" t="n">
        <x:f>IF(OR(N211="",AA211="",AA211=0),"",AB211/AA211)</x:f>
        <x:v>-0.29203539823008856</x:v>
      </x:c>
      <x:c r="AD211" t="str">
        <x:f>IF(AA211="","NO STANDARD",IF(AC211&lt;=Config_Status!$B$2,"EFFICIENT",IF(AC211&lt;=Config_Status!$B$3,"NORMAL",IF(AC211&lt;=Config_Status!$B$4,"WARNING","OVER CONSUMPTION"))))</x:f>
        <x:v>EFFICIENT</x:v>
      </x:c>
      <x:c r="AE211" t="str">
        <x:f>IFERROR(VLOOKUP(G211,Master_Unit!$A$2:$N$78,13,FALSE),"UNIT NOT FOUND")</x:f>
        <x:v>Matched</x:v>
      </x:c>
    </x:row>
    <x:row r="212">
      <x:c r="A212" s="12" t="str">
        <x:v>FU-20260603-00211</x:v>
      </x:c>
      <x:c r="B212" s="12" t="n">
        <x:v>341</x:v>
      </x:c>
      <x:c r="C212" s="14" t="n">
        <x:v>46176</x:v>
      </x:c>
      <x:c r="D212" s="12" t="str">
        <x:v>Rabu</x:v>
      </x:c>
      <x:c r="E212" s="12" t="str">
        <x:v>10:01:00</x:v>
      </x:c>
      <x:c r="F212" s="12" t="str">
        <x:v>All Shift Day</x:v>
      </x:c>
      <x:c r="G212" s="12" t="str">
        <x:v>STRL44G156</x:v>
      </x:c>
      <x:c r="H212" s="12" t="str">
        <x:v>Dump Truck</x:v>
      </x:c>
      <x:c r="I212" s="12" t="str">
        <x:v>DUMP TRUCK RENAULT KRANGE440-P6X4 A/T</x:v>
      </x:c>
      <x:c r="J212" s="16" t="n">
        <x:v>162</x:v>
      </x:c>
      <x:c r="K212" s="16" t="n">
        <x:v>3691</x:v>
      </x:c>
      <x:c r="L212" s="16" t="n">
        <x:v>3700</x:v>
      </x:c>
      <x:c r="M212" s="16" t="n">
        <x:v>9</x:v>
      </x:c>
      <x:c r="N212" s="16" t="n">
        <x:v>18</x:v>
      </x:c>
      <x:c r="O212" s="12" t="str">
        <x:v>FTRL44G005</x:v>
      </x:c>
      <x:c r="P212" s="12" t="str">
        <x:v>STRL44G156</x:v>
      </x:c>
      <x:c r="Q212" s="12" t="str"/>
      <x:c r="R212" s="12" t="str"/>
      <x:c r="S212" s="12" t="str"/>
      <x:c r="T212" s="12" t="str">
        <x:v>ABM</x:v>
      </x:c>
      <x:c r="U212" s="12" t="str"/>
      <x:c r="V212" s="12" t="str"/>
      <x:c r="W212" s="12" t="str"/>
      <x:c r="X212" s="12" t="str">
        <x:v>STRL44</x:v>
      </x:c>
      <x:c r="Y212" s="12" t="str">
        <x:v>WAYAN &amp; YOGI</x:v>
      </x:c>
      <x:c r="Z212" s="12" t="str"/>
      <x:c r="AA212" s="32" t="n">
        <x:f>IFERROR(VLOOKUP(G212,Master_Unit!$A$2:$N$78,7,FALSE),"")</x:f>
        <x:v>20</x:v>
      </x:c>
      <x:c r="AB212" s="32" t="n">
        <x:f>IF(OR(N212="",AA212=""),"",N212-AA212)</x:f>
        <x:v>-2</x:v>
      </x:c>
      <x:c r="AC212" s="20" t="n">
        <x:f>IF(OR(N212="",AA212="",AA212=0),"",AB212/AA212)</x:f>
        <x:v>-0.1</x:v>
      </x:c>
      <x:c r="AD212" t="str">
        <x:f>IF(AA212="","NO STANDARD",IF(AC212&lt;=Config_Status!$B$2,"EFFICIENT",IF(AC212&lt;=Config_Status!$B$3,"NORMAL",IF(AC212&lt;=Config_Status!$B$4,"WARNING","OVER CONSUMPTION"))))</x:f>
        <x:v>EFFICIENT</x:v>
      </x:c>
      <x:c r="AE212" t="str">
        <x:f>IFERROR(VLOOKUP(G212,Master_Unit!$A$2:$N$78,13,FALSE),"UNIT NOT FOUND")</x:f>
        <x:v>Matched</x:v>
      </x:c>
    </x:row>
    <x:row r="213">
      <x:c r="A213" s="12" t="str">
        <x:v>FU-20260603-00212</x:v>
      </x:c>
      <x:c r="B213" s="12" t="n">
        <x:v>342</x:v>
      </x:c>
      <x:c r="C213" s="14" t="n">
        <x:v>46176</x:v>
      </x:c>
      <x:c r="D213" s="12" t="str">
        <x:v>Rabu</x:v>
      </x:c>
      <x:c r="E213" s="12" t="str">
        <x:v>10:05:00</x:v>
      </x:c>
      <x:c r="F213" s="12" t="str">
        <x:v>All Shift Day</x:v>
      </x:c>
      <x:c r="G213" s="12" t="str">
        <x:v>STRL44G143</x:v>
      </x:c>
      <x:c r="H213" s="12" t="str">
        <x:v>Dump Truck</x:v>
      </x:c>
      <x:c r="I213" s="12" t="str">
        <x:v>DUMP TRUCK RENAULT KRANGE440-P6X4 A/T</x:v>
      </x:c>
      <x:c r="J213" s="16" t="n">
        <x:v>162</x:v>
      </x:c>
      <x:c r="K213" s="16" t="n">
        <x:v>5153</x:v>
      </x:c>
      <x:c r="L213" s="16" t="n">
        <x:v>5162</x:v>
      </x:c>
      <x:c r="M213" s="16" t="n">
        <x:v>9</x:v>
      </x:c>
      <x:c r="N213" s="16" t="n">
        <x:v>18</x:v>
      </x:c>
      <x:c r="O213" s="12" t="str">
        <x:v>FTRL44G005</x:v>
      </x:c>
      <x:c r="P213" s="12" t="str">
        <x:v>STRL44G143</x:v>
      </x:c>
      <x:c r="Q213" s="12" t="str"/>
      <x:c r="R213" s="12" t="str"/>
      <x:c r="S213" s="12" t="str"/>
      <x:c r="T213" s="12" t="str">
        <x:v>ABM</x:v>
      </x:c>
      <x:c r="U213" s="12" t="str"/>
      <x:c r="V213" s="12" t="str"/>
      <x:c r="W213" s="12" t="str"/>
      <x:c r="X213" s="12" t="str">
        <x:v>STRL44</x:v>
      </x:c>
      <x:c r="Y213" s="12" t="str">
        <x:v>WAYAN &amp; YOGI</x:v>
      </x:c>
      <x:c r="Z213" s="12" t="str"/>
      <x:c r="AA213" s="32" t="n">
        <x:f>IFERROR(VLOOKUP(G213,Master_Unit!$A$2:$N$78,7,FALSE),"")</x:f>
        <x:v>20</x:v>
      </x:c>
      <x:c r="AB213" s="32" t="n">
        <x:f>IF(OR(N213="",AA213=""),"",N213-AA213)</x:f>
        <x:v>-2</x:v>
      </x:c>
      <x:c r="AC213" s="20" t="n">
        <x:f>IF(OR(N213="",AA213="",AA213=0),"",AB213/AA213)</x:f>
        <x:v>-0.1</x:v>
      </x:c>
      <x:c r="AD213" t="str">
        <x:f>IF(AA213="","NO STANDARD",IF(AC213&lt;=Config_Status!$B$2,"EFFICIENT",IF(AC213&lt;=Config_Status!$B$3,"NORMAL",IF(AC213&lt;=Config_Status!$B$4,"WARNING","OVER CONSUMPTION"))))</x:f>
        <x:v>EFFICIENT</x:v>
      </x:c>
      <x:c r="AE213" t="str">
        <x:f>IFERROR(VLOOKUP(G213,Master_Unit!$A$2:$N$78,13,FALSE),"UNIT NOT FOUND")</x:f>
        <x:v>Matched</x:v>
      </x:c>
    </x:row>
    <x:row r="214">
      <x:c r="A214" s="12" t="str">
        <x:v>FU-20260603-00213</x:v>
      </x:c>
      <x:c r="B214" s="12" t="n">
        <x:v>343</x:v>
      </x:c>
      <x:c r="C214" s="14" t="n">
        <x:v>46176</x:v>
      </x:c>
      <x:c r="D214" s="12" t="str">
        <x:v>Rabu</x:v>
      </x:c>
      <x:c r="E214" s="12" t="str">
        <x:v>10:08:00</x:v>
      </x:c>
      <x:c r="F214" s="12" t="str">
        <x:v>All Shift Day</x:v>
      </x:c>
      <x:c r="G214" s="12" t="str">
        <x:v>STRL44G157</x:v>
      </x:c>
      <x:c r="H214" s="12" t="str">
        <x:v>Dump Truck</x:v>
      </x:c>
      <x:c r="I214" s="12" t="str">
        <x:v>DUMP TRUCK RENAULT KRANGE440-P6X4 A/T</x:v>
      </x:c>
      <x:c r="J214" s="16" t="n">
        <x:v>162</x:v>
      </x:c>
      <x:c r="K214" s="16" t="n">
        <x:v>3984</x:v>
      </x:c>
      <x:c r="L214" s="16" t="n">
        <x:v>3993</x:v>
      </x:c>
      <x:c r="M214" s="16" t="n">
        <x:v>9</x:v>
      </x:c>
      <x:c r="N214" s="16" t="n">
        <x:v>18</x:v>
      </x:c>
      <x:c r="O214" s="12" t="str">
        <x:v>FTRL44G005</x:v>
      </x:c>
      <x:c r="P214" s="12" t="str">
        <x:v>STRL44G157</x:v>
      </x:c>
      <x:c r="Q214" s="12" t="str"/>
      <x:c r="R214" s="12" t="str"/>
      <x:c r="S214" s="12" t="str"/>
      <x:c r="T214" s="12" t="str">
        <x:v>ABM</x:v>
      </x:c>
      <x:c r="U214" s="12" t="str"/>
      <x:c r="V214" s="12" t="str"/>
      <x:c r="W214" s="12" t="str"/>
      <x:c r="X214" s="12" t="str">
        <x:v>STRL44</x:v>
      </x:c>
      <x:c r="Y214" s="12" t="str">
        <x:v>WAYAN &amp; YOGI</x:v>
      </x:c>
      <x:c r="Z214" s="12" t="str"/>
      <x:c r="AA214" s="32" t="n">
        <x:f>IFERROR(VLOOKUP(G214,Master_Unit!$A$2:$N$78,7,FALSE),"")</x:f>
        <x:v>20</x:v>
      </x:c>
      <x:c r="AB214" s="32" t="n">
        <x:f>IF(OR(N214="",AA214=""),"",N214-AA214)</x:f>
        <x:v>-2</x:v>
      </x:c>
      <x:c r="AC214" s="20" t="n">
        <x:f>IF(OR(N214="",AA214="",AA214=0),"",AB214/AA214)</x:f>
        <x:v>-0.1</x:v>
      </x:c>
      <x:c r="AD214" t="str">
        <x:f>IF(AA214="","NO STANDARD",IF(AC214&lt;=Config_Status!$B$2,"EFFICIENT",IF(AC214&lt;=Config_Status!$B$3,"NORMAL",IF(AC214&lt;=Config_Status!$B$4,"WARNING","OVER CONSUMPTION"))))</x:f>
        <x:v>EFFICIENT</x:v>
      </x:c>
      <x:c r="AE214" t="str">
        <x:f>IFERROR(VLOOKUP(G214,Master_Unit!$A$2:$N$78,13,FALSE),"UNIT NOT FOUND")</x:f>
        <x:v>Matched</x:v>
      </x:c>
    </x:row>
    <x:row r="215">
      <x:c r="A215" s="12" t="str">
        <x:v>FU-20260603-00214</x:v>
      </x:c>
      <x:c r="B215" s="12" t="n">
        <x:v>344</x:v>
      </x:c>
      <x:c r="C215" s="14" t="n">
        <x:v>46176</x:v>
      </x:c>
      <x:c r="D215" s="12" t="str">
        <x:v>Rabu</x:v>
      </x:c>
      <x:c r="E215" s="12" t="str">
        <x:v>10:11:00</x:v>
      </x:c>
      <x:c r="F215" s="12" t="str">
        <x:v>All Shift Day</x:v>
      </x:c>
      <x:c r="G215" s="12" t="str">
        <x:v>STRL44G149</x:v>
      </x:c>
      <x:c r="H215" s="12" t="str">
        <x:v>Dump Truck</x:v>
      </x:c>
      <x:c r="I215" s="12" t="str">
        <x:v>DUMP TRUCK RENAULT KRANGE440-P6X4 A/T</x:v>
      </x:c>
      <x:c r="J215" s="16" t="n">
        <x:v>162</x:v>
      </x:c>
      <x:c r="K215" s="16" t="n">
        <x:v>4213</x:v>
      </x:c>
      <x:c r="L215" s="16" t="n">
        <x:v>4223</x:v>
      </x:c>
      <x:c r="M215" s="16" t="n">
        <x:v>10</x:v>
      </x:c>
      <x:c r="N215" s="16" t="n">
        <x:v>16.2</x:v>
      </x:c>
      <x:c r="O215" s="12" t="str">
        <x:v>FTRL44G005</x:v>
      </x:c>
      <x:c r="P215" s="12" t="str">
        <x:v>STRL44G149</x:v>
      </x:c>
      <x:c r="Q215" s="12" t="str"/>
      <x:c r="R215" s="12" t="str"/>
      <x:c r="S215" s="12" t="str"/>
      <x:c r="T215" s="12" t="str">
        <x:v>ABM</x:v>
      </x:c>
      <x:c r="U215" s="12" t="str"/>
      <x:c r="V215" s="12" t="str"/>
      <x:c r="W215" s="12" t="str"/>
      <x:c r="X215" s="12" t="str">
        <x:v>STRL44</x:v>
      </x:c>
      <x:c r="Y215" s="12" t="str">
        <x:v>WAYAN &amp; YOGI</x:v>
      </x:c>
      <x:c r="Z215" s="12" t="str"/>
      <x:c r="AA215" s="32" t="n">
        <x:f>IFERROR(VLOOKUP(G215,Master_Unit!$A$2:$N$78,7,FALSE),"")</x:f>
        <x:v>20</x:v>
      </x:c>
      <x:c r="AB215" s="32" t="n">
        <x:f>IF(OR(N215="",AA215=""),"",N215-AA215)</x:f>
        <x:v>-3.8000000000000007</x:v>
      </x:c>
      <x:c r="AC215" s="20" t="n">
        <x:f>IF(OR(N215="",AA215="",AA215=0),"",AB215/AA215)</x:f>
        <x:v>-0.19000000000000003</x:v>
      </x:c>
      <x:c r="AD215" t="str">
        <x:f>IF(AA215="","NO STANDARD",IF(AC215&lt;=Config_Status!$B$2,"EFFICIENT",IF(AC215&lt;=Config_Status!$B$3,"NORMAL",IF(AC215&lt;=Config_Status!$B$4,"WARNING","OVER CONSUMPTION"))))</x:f>
        <x:v>EFFICIENT</x:v>
      </x:c>
      <x:c r="AE215" t="str">
        <x:f>IFERROR(VLOOKUP(G215,Master_Unit!$A$2:$N$78,13,FALSE),"UNIT NOT FOUND")</x:f>
        <x:v>Matched</x:v>
      </x:c>
    </x:row>
    <x:row r="216">
      <x:c r="A216" s="12" t="str">
        <x:v>FU-20260603-00215</x:v>
      </x:c>
      <x:c r="B216" s="12" t="n">
        <x:v>345</x:v>
      </x:c>
      <x:c r="C216" s="14" t="n">
        <x:v>46176</x:v>
      </x:c>
      <x:c r="D216" s="12" t="str">
        <x:v>Rabu</x:v>
      </x:c>
      <x:c r="E216" s="12" t="str">
        <x:v>10:15:00</x:v>
      </x:c>
      <x:c r="F216" s="12" t="str">
        <x:v>All Shift Day</x:v>
      </x:c>
      <x:c r="G216" s="12" t="str">
        <x:v>STRL44G147</x:v>
      </x:c>
      <x:c r="H216" s="12" t="str">
        <x:v>Dump Truck</x:v>
      </x:c>
      <x:c r="I216" s="12" t="str">
        <x:v>DUMP TRUCK RENAULT KRANGE440-P6X4 A/T</x:v>
      </x:c>
      <x:c r="J216" s="16" t="n">
        <x:v>162</x:v>
      </x:c>
      <x:c r="K216" s="16" t="n">
        <x:v>4936</x:v>
      </x:c>
      <x:c r="L216" s="16" t="n">
        <x:v>4946</x:v>
      </x:c>
      <x:c r="M216" s="16" t="n">
        <x:v>10</x:v>
      </x:c>
      <x:c r="N216" s="16" t="n">
        <x:v>16.2</x:v>
      </x:c>
      <x:c r="O216" s="12" t="str">
        <x:v>FTRL44G005</x:v>
      </x:c>
      <x:c r="P216" s="12" t="str">
        <x:v>STRL44G147</x:v>
      </x:c>
      <x:c r="Q216" s="12" t="str"/>
      <x:c r="R216" s="12" t="str"/>
      <x:c r="S216" s="12" t="str"/>
      <x:c r="T216" s="12" t="str">
        <x:v>ABM</x:v>
      </x:c>
      <x:c r="U216" s="12" t="str"/>
      <x:c r="V216" s="12" t="str"/>
      <x:c r="W216" s="12" t="str"/>
      <x:c r="X216" s="12" t="str">
        <x:v>STRL44</x:v>
      </x:c>
      <x:c r="Y216" s="12" t="str">
        <x:v>WAYAN &amp; YOGI</x:v>
      </x:c>
      <x:c r="Z216" s="12" t="str"/>
      <x:c r="AA216" s="32" t="n">
        <x:f>IFERROR(VLOOKUP(G216,Master_Unit!$A$2:$N$78,7,FALSE),"")</x:f>
        <x:v>20</x:v>
      </x:c>
      <x:c r="AB216" s="32" t="n">
        <x:f>IF(OR(N216="",AA216=""),"",N216-AA216)</x:f>
        <x:v>-3.8000000000000007</x:v>
      </x:c>
      <x:c r="AC216" s="20" t="n">
        <x:f>IF(OR(N216="",AA216="",AA216=0),"",AB216/AA216)</x:f>
        <x:v>-0.19000000000000003</x:v>
      </x:c>
      <x:c r="AD216" t="str">
        <x:f>IF(AA216="","NO STANDARD",IF(AC216&lt;=Config_Status!$B$2,"EFFICIENT",IF(AC216&lt;=Config_Status!$B$3,"NORMAL",IF(AC216&lt;=Config_Status!$B$4,"WARNING","OVER CONSUMPTION"))))</x:f>
        <x:v>EFFICIENT</x:v>
      </x:c>
      <x:c r="AE216" t="str">
        <x:f>IFERROR(VLOOKUP(G216,Master_Unit!$A$2:$N$78,13,FALSE),"UNIT NOT FOUND")</x:f>
        <x:v>Matched</x:v>
      </x:c>
    </x:row>
    <x:row r="217">
      <x:c r="A217" s="12" t="str">
        <x:v>FU-20260603-00216</x:v>
      </x:c>
      <x:c r="B217" s="12" t="n">
        <x:v>346</x:v>
      </x:c>
      <x:c r="C217" s="14" t="n">
        <x:v>46176</x:v>
      </x:c>
      <x:c r="D217" s="12" t="str">
        <x:v>Rabu</x:v>
      </x:c>
      <x:c r="E217" s="12" t="str">
        <x:v>10:22:00</x:v>
      </x:c>
      <x:c r="F217" s="12" t="str">
        <x:v>All Shift Day</x:v>
      </x:c>
      <x:c r="G217" s="12" t="str">
        <x:v>STRL44G146</x:v>
      </x:c>
      <x:c r="H217" s="12" t="str">
        <x:v>Dump Truck</x:v>
      </x:c>
      <x:c r="I217" s="12" t="str">
        <x:v>DUMP TRUCK RENAULT KRANGE440-P6X4 A/T</x:v>
      </x:c>
      <x:c r="J217" s="16" t="n">
        <x:v>162</x:v>
      </x:c>
      <x:c r="K217" s="16" t="n">
        <x:v>4869</x:v>
      </x:c>
      <x:c r="L217" s="16" t="n">
        <x:v>4879</x:v>
      </x:c>
      <x:c r="M217" s="16" t="n">
        <x:v>10</x:v>
      </x:c>
      <x:c r="N217" s="16" t="n">
        <x:v>16.2</x:v>
      </x:c>
      <x:c r="O217" s="12" t="str">
        <x:v>FTRL44G005</x:v>
      </x:c>
      <x:c r="P217" s="12" t="str">
        <x:v>STRL44G146</x:v>
      </x:c>
      <x:c r="Q217" s="12" t="str"/>
      <x:c r="R217" s="12" t="str"/>
      <x:c r="S217" s="12" t="str"/>
      <x:c r="T217" s="12" t="str">
        <x:v>ABM</x:v>
      </x:c>
      <x:c r="U217" s="12" t="str"/>
      <x:c r="V217" s="12" t="str"/>
      <x:c r="W217" s="12" t="str"/>
      <x:c r="X217" s="12" t="str">
        <x:v>STRL44</x:v>
      </x:c>
      <x:c r="Y217" s="12" t="str">
        <x:v>WAYAN &amp; YOGI</x:v>
      </x:c>
      <x:c r="Z217" s="12" t="str"/>
      <x:c r="AA217" s="32" t="n">
        <x:f>IFERROR(VLOOKUP(G217,Master_Unit!$A$2:$N$78,7,FALSE),"")</x:f>
        <x:v>20</x:v>
      </x:c>
      <x:c r="AB217" s="32" t="n">
        <x:f>IF(OR(N217="",AA217=""),"",N217-AA217)</x:f>
        <x:v>-3.8000000000000007</x:v>
      </x:c>
      <x:c r="AC217" s="20" t="n">
        <x:f>IF(OR(N217="",AA217="",AA217=0),"",AB217/AA217)</x:f>
        <x:v>-0.19000000000000003</x:v>
      </x:c>
      <x:c r="AD217" t="str">
        <x:f>IF(AA217="","NO STANDARD",IF(AC217&lt;=Config_Status!$B$2,"EFFICIENT",IF(AC217&lt;=Config_Status!$B$3,"NORMAL",IF(AC217&lt;=Config_Status!$B$4,"WARNING","OVER CONSUMPTION"))))</x:f>
        <x:v>EFFICIENT</x:v>
      </x:c>
      <x:c r="AE217" t="str">
        <x:f>IFERROR(VLOOKUP(G217,Master_Unit!$A$2:$N$78,13,FALSE),"UNIT NOT FOUND")</x:f>
        <x:v>Matched</x:v>
      </x:c>
    </x:row>
    <x:row r="218">
      <x:c r="A218" s="12" t="str">
        <x:v>FU-20260603-00217</x:v>
      </x:c>
      <x:c r="B218" s="12" t="n">
        <x:v>347</x:v>
      </x:c>
      <x:c r="C218" s="14" t="n">
        <x:v>46176</x:v>
      </x:c>
      <x:c r="D218" s="12" t="str">
        <x:v>Rabu</x:v>
      </x:c>
      <x:c r="E218" s="12" t="str">
        <x:v>15:14:00</x:v>
      </x:c>
      <x:c r="F218" s="12" t="str">
        <x:v>All Shift Day</x:v>
      </x:c>
      <x:c r="G218" s="12" t="str">
        <x:v>WTRL44G006</x:v>
      </x:c>
      <x:c r="H218" s="12" t="str">
        <x:v>Water Truck</x:v>
      </x:c>
      <x:c r="I218" s="12" t="str">
        <x:v>WATER TRUCK RENAULT KRANGE440-P6X4 A/T</x:v>
      </x:c>
      <x:c r="J218" s="16" t="n">
        <x:v>101</x:v>
      </x:c>
      <x:c r="K218" s="16" t="n">
        <x:v>1980</x:v>
      </x:c>
      <x:c r="L218" s="16" t="n">
        <x:v>1998</x:v>
      </x:c>
      <x:c r="M218" s="16" t="n">
        <x:v>18</x:v>
      </x:c>
      <x:c r="N218" s="16" t="n">
        <x:v>5.611111111111111</x:v>
      </x:c>
      <x:c r="O218" s="12" t="str">
        <x:v>FTRL44G005</x:v>
      </x:c>
      <x:c r="P218" s="12" t="str">
        <x:v>WTRL44G006</x:v>
      </x:c>
      <x:c r="Q218" s="12" t="str"/>
      <x:c r="R218" s="12" t="str"/>
      <x:c r="S218" s="12" t="str"/>
      <x:c r="T218" s="12" t="str">
        <x:v>ABM</x:v>
      </x:c>
      <x:c r="U218" s="12" t="str"/>
      <x:c r="V218" s="12" t="str"/>
      <x:c r="W218" s="12" t="str"/>
      <x:c r="X218" s="12" t="str">
        <x:v>WTRL44</x:v>
      </x:c>
      <x:c r="Y218" s="12" t="str">
        <x:v>WAYAN &amp; YOGI</x:v>
      </x:c>
      <x:c r="Z218" s="12" t="str"/>
      <x:c r="AA218" s="32" t="n">
        <x:f>IFERROR(VLOOKUP(G218,Master_Unit!$A$2:$N$78,7,FALSE),"")</x:f>
        <x:v>20</x:v>
      </x:c>
      <x:c r="AB218" s="32" t="n">
        <x:f>IF(OR(N218="",AA218=""),"",N218-AA218)</x:f>
        <x:v>-14.38888888888889</x:v>
      </x:c>
      <x:c r="AC218" s="20" t="n">
        <x:f>IF(OR(N218="",AA218="",AA218=0),"",AB218/AA218)</x:f>
        <x:v>-0.7194444444444444</x:v>
      </x:c>
      <x:c r="AD218" t="str">
        <x:f>IF(AA218="","NO STANDARD",IF(AC218&lt;=Config_Status!$B$2,"EFFICIENT",IF(AC218&lt;=Config_Status!$B$3,"NORMAL",IF(AC218&lt;=Config_Status!$B$4,"WARNING","OVER CONSUMPTION"))))</x:f>
        <x:v>EFFICIENT</x:v>
      </x:c>
      <x:c r="AE218" t="str">
        <x:f>IFERROR(VLOOKUP(G218,Master_Unit!$A$2:$N$78,13,FALSE),"UNIT NOT FOUND")</x:f>
        <x:v>Matched</x:v>
      </x:c>
    </x:row>
    <x:row r="219">
      <x:c r="A219" s="12" t="str">
        <x:v>FU-20260603-00218</x:v>
      </x:c>
      <x:c r="B219" s="12" t="n">
        <x:v>348</x:v>
      </x:c>
      <x:c r="C219" s="14" t="n">
        <x:v>46176</x:v>
      </x:c>
      <x:c r="D219" s="12" t="str">
        <x:v>Rabu</x:v>
      </x:c>
      <x:c r="E219" s="12" t="str">
        <x:v>15:27:00</x:v>
      </x:c>
      <x:c r="F219" s="12" t="str">
        <x:v>All Shift Day</x:v>
      </x:c>
      <x:c r="G219" s="12" t="str">
        <x:v>STRL44G154</x:v>
      </x:c>
      <x:c r="H219" s="12" t="str">
        <x:v>Dump Truck</x:v>
      </x:c>
      <x:c r="I219" s="12" t="str">
        <x:v>DUMP TRUCK RENAULT KRANGE440-P6X4 A/T</x:v>
      </x:c>
      <x:c r="J219" s="16" t="n">
        <x:v>154</x:v>
      </x:c>
      <x:c r="K219" s="16" t="n">
        <x:v>4010</x:v>
      </x:c>
      <x:c r="L219" s="16" t="n">
        <x:v>4022</x:v>
      </x:c>
      <x:c r="M219" s="16" t="n">
        <x:v>12</x:v>
      </x:c>
      <x:c r="N219" s="16" t="n">
        <x:v>12.833333333333334</x:v>
      </x:c>
      <x:c r="O219" s="12" t="str">
        <x:v>FTRL44G005</x:v>
      </x:c>
      <x:c r="P219" s="12" t="str">
        <x:v>STRL44G154</x:v>
      </x:c>
      <x:c r="Q219" s="12" t="str"/>
      <x:c r="R219" s="12" t="str"/>
      <x:c r="S219" s="12" t="str"/>
      <x:c r="T219" s="12" t="str">
        <x:v>ABM</x:v>
      </x:c>
      <x:c r="U219" s="12" t="str"/>
      <x:c r="V219" s="12" t="str"/>
      <x:c r="W219" s="12" t="str"/>
      <x:c r="X219" s="12" t="str">
        <x:v>STRL44</x:v>
      </x:c>
      <x:c r="Y219" s="12" t="str">
        <x:v>WAYAN &amp; YOGI</x:v>
      </x:c>
      <x:c r="Z219" s="12" t="str"/>
      <x:c r="AA219" s="32" t="n">
        <x:f>IFERROR(VLOOKUP(G219,Master_Unit!$A$2:$N$78,7,FALSE),"")</x:f>
        <x:v>20</x:v>
      </x:c>
      <x:c r="AB219" s="32" t="n">
        <x:f>IF(OR(N219="",AA219=""),"",N219-AA219)</x:f>
        <x:v>-7.166666666666666</x:v>
      </x:c>
      <x:c r="AC219" s="20" t="n">
        <x:f>IF(OR(N219="",AA219="",AA219=0),"",AB219/AA219)</x:f>
        <x:v>-0.3583333333333333</x:v>
      </x:c>
      <x:c r="AD219" t="str">
        <x:f>IF(AA219="","NO STANDARD",IF(AC219&lt;=Config_Status!$B$2,"EFFICIENT",IF(AC219&lt;=Config_Status!$B$3,"NORMAL",IF(AC219&lt;=Config_Status!$B$4,"WARNING","OVER CONSUMPTION"))))</x:f>
        <x:v>EFFICIENT</x:v>
      </x:c>
      <x:c r="AE219" t="str">
        <x:f>IFERROR(VLOOKUP(G219,Master_Unit!$A$2:$N$78,13,FALSE),"UNIT NOT FOUND")</x:f>
        <x:v>Matched</x:v>
      </x:c>
    </x:row>
    <x:row r="220">
      <x:c r="A220" s="12" t="str">
        <x:v>FU-20260603-00219</x:v>
      </x:c>
      <x:c r="B220" s="12" t="n">
        <x:v>349</x:v>
      </x:c>
      <x:c r="C220" s="14" t="n">
        <x:v>46176</x:v>
      </x:c>
      <x:c r="D220" s="12" t="str">
        <x:v>Rabu</x:v>
      </x:c>
      <x:c r="E220" s="12" t="str">
        <x:v>18:30:00</x:v>
      </x:c>
      <x:c r="F220" s="12" t="str">
        <x:v>All Shift Night</x:v>
      </x:c>
      <x:c r="G220" s="12" t="str">
        <x:v>FTRL44G005</x:v>
      </x:c>
      <x:c r="H220" s="12" t="str">
        <x:v>Fuel Truck</x:v>
      </x:c>
      <x:c r="I220" s="12" t="str">
        <x:v>FUEL TRUCK RENAULT KRANGE440-P6X4 A/T</x:v>
      </x:c>
      <x:c r="J220" s="16" t="n">
        <x:v>100</x:v>
      </x:c>
      <x:c r="K220" s="16" t="n">
        <x:v>3606</x:v>
      </x:c>
      <x:c r="L220" s="16" t="n">
        <x:v>3627</x:v>
      </x:c>
      <x:c r="M220" s="16" t="n">
        <x:v>21</x:v>
      </x:c>
      <x:c r="N220" s="16" t="n">
        <x:v>4.761904761904762</x:v>
      </x:c>
      <x:c r="O220" s="12" t="str">
        <x:v>FTRL44G005</x:v>
      </x:c>
      <x:c r="P220" s="12" t="str">
        <x:v>FTRL44G005</x:v>
      </x:c>
      <x:c r="Q220" s="12" t="str"/>
      <x:c r="R220" s="12" t="str"/>
      <x:c r="S220" s="12" t="str"/>
      <x:c r="T220" s="12" t="str">
        <x:v>ABM</x:v>
      </x:c>
      <x:c r="U220" s="12" t="str"/>
      <x:c r="V220" s="12" t="str"/>
      <x:c r="W220" s="12" t="str"/>
      <x:c r="X220" s="12" t="str">
        <x:v>FTRL44</x:v>
      </x:c>
      <x:c r="Y220" s="12" t="str">
        <x:v>RAFIF &amp; RUSLAN</x:v>
      </x:c>
      <x:c r="Z220" s="12" t="str"/>
      <x:c r="AA220" s="32" t="n">
        <x:f>IFERROR(VLOOKUP(G220,Master_Unit!$A$2:$N$78,7,FALSE),"")</x:f>
        <x:v>13</x:v>
      </x:c>
      <x:c r="AB220" s="32" t="n">
        <x:f>IF(OR(N220="",AA220=""),"",N220-AA220)</x:f>
        <x:v>-8.238095238095237</x:v>
      </x:c>
      <x:c r="AC220" s="20" t="n">
        <x:f>IF(OR(N220="",AA220="",AA220=0),"",AB220/AA220)</x:f>
        <x:v>-0.6336996336996337</x:v>
      </x:c>
      <x:c r="AD220" t="str">
        <x:f>IF(AA220="","NO STANDARD",IF(AC220&lt;=Config_Status!$B$2,"EFFICIENT",IF(AC220&lt;=Config_Status!$B$3,"NORMAL",IF(AC220&lt;=Config_Status!$B$4,"WARNING","OVER CONSUMPTION"))))</x:f>
        <x:v>EFFICIENT</x:v>
      </x:c>
      <x:c r="AE220" t="str">
        <x:f>IFERROR(VLOOKUP(G220,Master_Unit!$A$2:$N$78,13,FALSE),"UNIT NOT FOUND")</x:f>
        <x:v>Matched</x:v>
      </x:c>
    </x:row>
    <x:row r="221">
      <x:c r="A221" s="12" t="str">
        <x:v>FU-20260603-00220</x:v>
      </x:c>
      <x:c r="B221" s="12" t="n">
        <x:v>350</x:v>
      </x:c>
      <x:c r="C221" s="14" t="n">
        <x:v>46176</x:v>
      </x:c>
      <x:c r="D221" s="12" t="str">
        <x:v>Rabu</x:v>
      </x:c>
      <x:c r="E221" s="12" t="str">
        <x:v>18:42:00</x:v>
      </x:c>
      <x:c r="F221" s="12" t="str">
        <x:v>All Shift Night</x:v>
      </x:c>
      <x:c r="G221" s="12" t="str">
        <x:v>EXVV35G002</x:v>
      </x:c>
      <x:c r="H221" s="12" t="str">
        <x:v>Excavator</x:v>
      </x:c>
      <x:c r="I221" s="12" t="str">
        <x:v>EXCAVATOR VOLVO EC350D</x:v>
      </x:c>
      <x:c r="J221" s="16" t="n">
        <x:v>223</x:v>
      </x:c>
      <x:c r="K221" s="16" t="n">
        <x:v>4934</x:v>
      </x:c>
      <x:c r="L221" s="16" t="n">
        <x:v>4942.5</x:v>
      </x:c>
      <x:c r="M221" s="16" t="n">
        <x:v>8.5</x:v>
      </x:c>
      <x:c r="N221" s="16" t="n">
        <x:v>26.235294117647058</x:v>
      </x:c>
      <x:c r="O221" s="12" t="str">
        <x:v>FTRL44G005</x:v>
      </x:c>
      <x:c r="P221" s="12" t="str">
        <x:v>EXVV35G002</x:v>
      </x:c>
      <x:c r="Q221" s="12" t="str"/>
      <x:c r="R221" s="12" t="str"/>
      <x:c r="S221" s="12" t="str"/>
      <x:c r="T221" s="12" t="str">
        <x:v>ABM</x:v>
      </x:c>
      <x:c r="U221" s="12" t="str"/>
      <x:c r="V221" s="12" t="str"/>
      <x:c r="W221" s="12" t="str"/>
      <x:c r="X221" s="12" t="str">
        <x:v>EXVV35</x:v>
      </x:c>
      <x:c r="Y221" s="12" t="str">
        <x:v>RAFIF &amp; RUSLAN</x:v>
      </x:c>
      <x:c r="Z221" s="12" t="str"/>
      <x:c r="AA221" s="32" t="n">
        <x:f>IFERROR(VLOOKUP(G221,Master_Unit!$A$2:$N$78,7,FALSE),"")</x:f>
        <x:v>25</x:v>
      </x:c>
      <x:c r="AB221" s="32" t="n">
        <x:f>IF(OR(N221="",AA221=""),"",N221-AA221)</x:f>
        <x:v>1.235294117647058</x:v>
      </x:c>
      <x:c r="AC221" s="20" t="n">
        <x:f>IF(OR(N221="",AA221="",AA221=0),"",AB221/AA221)</x:f>
        <x:v>0.04941176470588232</x:v>
      </x:c>
      <x:c r="AD221" t="str">
        <x:f>IF(AA221="","NO STANDARD",IF(AC221&lt;=Config_Status!$B$2,"EFFICIENT",IF(AC221&lt;=Config_Status!$B$3,"NORMAL",IF(AC221&lt;=Config_Status!$B$4,"WARNING","OVER CONSUMPTION"))))</x:f>
        <x:v>NORMAL</x:v>
      </x:c>
      <x:c r="AE221" t="str">
        <x:f>IFERROR(VLOOKUP(G221,Master_Unit!$A$2:$N$78,13,FALSE),"UNIT NOT FOUND")</x:f>
        <x:v>Matched</x:v>
      </x:c>
    </x:row>
    <x:row r="222">
      <x:c r="A222" s="12" t="str">
        <x:v>FU-20260603-00221</x:v>
      </x:c>
      <x:c r="B222" s="12" t="n">
        <x:v>351</x:v>
      </x:c>
      <x:c r="C222" s="14" t="n">
        <x:v>46176</x:v>
      </x:c>
      <x:c r="D222" s="12" t="str">
        <x:v>Rabu</x:v>
      </x:c>
      <x:c r="E222" s="12" t="str">
        <x:v>18:52:00</x:v>
      </x:c>
      <x:c r="F222" s="12" t="str">
        <x:v>All Shift Night</x:v>
      </x:c>
      <x:c r="G222" s="12" t="str">
        <x:v>EXVV21G032</x:v>
      </x:c>
      <x:c r="H222" s="12" t="str">
        <x:v>Excavator</x:v>
      </x:c>
      <x:c r="I222" s="12" t="str">
        <x:v>EXCAVATOR VOLVO EC210D</x:v>
      </x:c>
      <x:c r="J222" s="16" t="n">
        <x:v>144</x:v>
      </x:c>
      <x:c r="K222" s="16" t="n">
        <x:v>7422.8</x:v>
      </x:c>
      <x:c r="L222" s="16" t="n">
        <x:v>7429.5</x:v>
      </x:c>
      <x:c r="M222" s="16" t="n">
        <x:v>6.699999999999818</x:v>
      </x:c>
      <x:c r="N222" s="16" t="n">
        <x:v>21.49253731343342</x:v>
      </x:c>
      <x:c r="O222" s="12" t="str">
        <x:v>FTRL44G005</x:v>
      </x:c>
      <x:c r="P222" s="12" t="str">
        <x:v>EXVV21G032</x:v>
      </x:c>
      <x:c r="Q222" s="12" t="str"/>
      <x:c r="R222" s="12" t="str"/>
      <x:c r="S222" s="12" t="str"/>
      <x:c r="T222" s="12" t="str">
        <x:v>ABM</x:v>
      </x:c>
      <x:c r="U222" s="12" t="str"/>
      <x:c r="V222" s="12" t="str"/>
      <x:c r="W222" s="12" t="str"/>
      <x:c r="X222" s="12" t="str">
        <x:v>EXVV21</x:v>
      </x:c>
      <x:c r="Y222" s="12" t="str">
        <x:v>RAFIF &amp; RUSLAN</x:v>
      </x:c>
      <x:c r="Z222" s="12" t="str"/>
      <x:c r="AA222" s="32" t="n">
        <x:f>IFERROR(VLOOKUP(G222,Master_Unit!$A$2:$N$78,7,FALSE),"")</x:f>
        <x:v>20</x:v>
      </x:c>
      <x:c r="AB222" s="32" t="n">
        <x:f>IF(OR(N222="",AA222=""),"",N222-AA222)</x:f>
        <x:v>1.49253731343342</x:v>
      </x:c>
      <x:c r="AC222" s="20" t="n">
        <x:f>IF(OR(N222="",AA222="",AA222=0),"",AB222/AA222)</x:f>
        <x:v>0.07462686567167101</x:v>
      </x:c>
      <x:c r="AD222" t="str">
        <x:f>IF(AA222="","NO STANDARD",IF(AC222&lt;=Config_Status!$B$2,"EFFICIENT",IF(AC222&lt;=Config_Status!$B$3,"NORMAL",IF(AC222&lt;=Config_Status!$B$4,"WARNING","OVER CONSUMPTION"))))</x:f>
        <x:v>NORMAL</x:v>
      </x:c>
      <x:c r="AE222" t="str">
        <x:f>IFERROR(VLOOKUP(G222,Master_Unit!$A$2:$N$78,13,FALSE),"UNIT NOT FOUND")</x:f>
        <x:v>Matched</x:v>
      </x:c>
    </x:row>
    <x:row r="223">
      <x:c r="A223" s="12" t="str">
        <x:v>FU-20260603-00222</x:v>
      </x:c>
      <x:c r="B223" s="12" t="n">
        <x:v>352</x:v>
      </x:c>
      <x:c r="C223" s="14" t="n">
        <x:v>46176</x:v>
      </x:c>
      <x:c r="D223" s="12" t="str">
        <x:v>Rabu</x:v>
      </x:c>
      <x:c r="E223" s="12" t="str">
        <x:v>18:59:00</x:v>
      </x:c>
      <x:c r="F223" s="12" t="str">
        <x:v>All Shift Night</x:v>
      </x:c>
      <x:c r="G223" s="12" t="str">
        <x:v>EXVV21G039</x:v>
      </x:c>
      <x:c r="H223" s="12" t="str">
        <x:v>Excavator</x:v>
      </x:c>
      <x:c r="I223" s="12" t="str">
        <x:v>EXCAVATOR VOLVO EC210D</x:v>
      </x:c>
      <x:c r="J223" s="16" t="n">
        <x:v>158</x:v>
      </x:c>
      <x:c r="K223" s="16" t="n">
        <x:v>6186.7</x:v>
      </x:c>
      <x:c r="L223" s="16" t="n">
        <x:v>6195.7</x:v>
      </x:c>
      <x:c r="M223" s="16" t="n">
        <x:v>9</x:v>
      </x:c>
      <x:c r="N223" s="16" t="n">
        <x:v>17.555555555555557</x:v>
      </x:c>
      <x:c r="O223" s="12" t="str">
        <x:v>FTRL44G005</x:v>
      </x:c>
      <x:c r="P223" s="12" t="str">
        <x:v>EXVV21G039</x:v>
      </x:c>
      <x:c r="Q223" s="12" t="str"/>
      <x:c r="R223" s="12" t="str"/>
      <x:c r="S223" s="12" t="str"/>
      <x:c r="T223" s="12" t="str">
        <x:v>ABM</x:v>
      </x:c>
      <x:c r="U223" s="12" t="str"/>
      <x:c r="V223" s="12" t="str"/>
      <x:c r="W223" s="12" t="str"/>
      <x:c r="X223" s="12" t="str">
        <x:v>EXVV21</x:v>
      </x:c>
      <x:c r="Y223" s="12" t="str">
        <x:v>RAFIF &amp; RUSLAN</x:v>
      </x:c>
      <x:c r="Z223" s="12" t="str"/>
      <x:c r="AA223" s="32" t="n">
        <x:f>IFERROR(VLOOKUP(G223,Master_Unit!$A$2:$N$78,7,FALSE),"")</x:f>
        <x:v>20</x:v>
      </x:c>
      <x:c r="AB223" s="32" t="n">
        <x:f>IF(OR(N223="",AA223=""),"",N223-AA223)</x:f>
        <x:v>-2.444444444444443</x:v>
      </x:c>
      <x:c r="AC223" s="20" t="n">
        <x:f>IF(OR(N223="",AA223="",AA223=0),"",AB223/AA223)</x:f>
        <x:v>-0.12222222222222215</x:v>
      </x:c>
      <x:c r="AD223" t="str">
        <x:f>IF(AA223="","NO STANDARD",IF(AC223&lt;=Config_Status!$B$2,"EFFICIENT",IF(AC223&lt;=Config_Status!$B$3,"NORMAL",IF(AC223&lt;=Config_Status!$B$4,"WARNING","OVER CONSUMPTION"))))</x:f>
        <x:v>EFFICIENT</x:v>
      </x:c>
      <x:c r="AE223" t="str">
        <x:f>IFERROR(VLOOKUP(G223,Master_Unit!$A$2:$N$78,13,FALSE),"UNIT NOT FOUND")</x:f>
        <x:v>Matched</x:v>
      </x:c>
    </x:row>
    <x:row r="224">
      <x:c r="A224" s="12" t="str">
        <x:v>FU-20260603-00223</x:v>
      </x:c>
      <x:c r="B224" s="12" t="n">
        <x:v>353</x:v>
      </x:c>
      <x:c r="C224" s="14" t="n">
        <x:v>46176</x:v>
      </x:c>
      <x:c r="D224" s="12" t="str">
        <x:v>Rabu</x:v>
      </x:c>
      <x:c r="E224" s="12" t="str">
        <x:v>19:03:00</x:v>
      </x:c>
      <x:c r="F224" s="12" t="str">
        <x:v>All Shift Night</x:v>
      </x:c>
      <x:c r="G224" s="12" t="str">
        <x:v>EXVV21G042</x:v>
      </x:c>
      <x:c r="H224" s="12" t="str">
        <x:v>Excavator</x:v>
      </x:c>
      <x:c r="I224" s="12" t="str">
        <x:v>EXCAVATOR VOLVO EC210D</x:v>
      </x:c>
      <x:c r="J224" s="16" t="n">
        <x:v>160</x:v>
      </x:c>
      <x:c r="K224" s="16" t="n">
        <x:v>7626.9</x:v>
      </x:c>
      <x:c r="L224" s="16" t="n">
        <x:v>7636.6</x:v>
      </x:c>
      <x:c r="M224" s="16" t="n">
        <x:v>9.700000000000728</x:v>
      </x:c>
      <x:c r="N224" s="16" t="n">
        <x:v>16.494845360823504</x:v>
      </x:c>
      <x:c r="O224" s="12" t="str">
        <x:v>FTRL44G005</x:v>
      </x:c>
      <x:c r="P224" s="12" t="str">
        <x:v>EXVV21G042</x:v>
      </x:c>
      <x:c r="Q224" s="12" t="str"/>
      <x:c r="R224" s="12" t="str"/>
      <x:c r="S224" s="12" t="str"/>
      <x:c r="T224" s="12" t="str">
        <x:v>ABM</x:v>
      </x:c>
      <x:c r="U224" s="12" t="str"/>
      <x:c r="V224" s="12" t="str"/>
      <x:c r="W224" s="12" t="str"/>
      <x:c r="X224" s="12" t="str">
        <x:v>EXVV21</x:v>
      </x:c>
      <x:c r="Y224" s="12" t="str">
        <x:v>RAFIF &amp; RUSLAN</x:v>
      </x:c>
      <x:c r="Z224" s="12" t="str"/>
      <x:c r="AA224" s="32" t="n">
        <x:f>IFERROR(VLOOKUP(G224,Master_Unit!$A$2:$N$78,7,FALSE),"")</x:f>
        <x:v>20</x:v>
      </x:c>
      <x:c r="AB224" s="32" t="n">
        <x:f>IF(OR(N224="",AA224=""),"",N224-AA224)</x:f>
        <x:v>-3.505154639176496</x:v>
      </x:c>
      <x:c r="AC224" s="20" t="n">
        <x:f>IF(OR(N224="",AA224="",AA224=0),"",AB224/AA224)</x:f>
        <x:v>-0.1752577319588248</x:v>
      </x:c>
      <x:c r="AD224" t="str">
        <x:f>IF(AA224="","NO STANDARD",IF(AC224&lt;=Config_Status!$B$2,"EFFICIENT",IF(AC224&lt;=Config_Status!$B$3,"NORMAL",IF(AC224&lt;=Config_Status!$B$4,"WARNING","OVER CONSUMPTION"))))</x:f>
        <x:v>EFFICIENT</x:v>
      </x:c>
      <x:c r="AE224" t="str">
        <x:f>IFERROR(VLOOKUP(G224,Master_Unit!$A$2:$N$78,13,FALSE),"UNIT NOT FOUND")</x:f>
        <x:v>Matched</x:v>
      </x:c>
    </x:row>
    <x:row r="225">
      <x:c r="A225" s="12" t="str">
        <x:v>FU-20260603-00224</x:v>
      </x:c>
      <x:c r="B225" s="12" t="n">
        <x:v>354</x:v>
      </x:c>
      <x:c r="C225" s="14" t="n">
        <x:v>46176</x:v>
      </x:c>
      <x:c r="D225" s="12" t="str">
        <x:v>Rabu</x:v>
      </x:c>
      <x:c r="E225" s="12" t="str">
        <x:v>19:13:00</x:v>
      </x:c>
      <x:c r="F225" s="12" t="str">
        <x:v>All Shift Night</x:v>
      </x:c>
      <x:c r="G225" s="12" t="str">
        <x:v>EXVV35G005</x:v>
      </x:c>
      <x:c r="H225" s="12" t="str">
        <x:v>Excavator</x:v>
      </x:c>
      <x:c r="I225" s="12" t="str">
        <x:v>EXCAVATOR VOLVO EC350D</x:v>
      </x:c>
      <x:c r="J225" s="16" t="n">
        <x:v>223</x:v>
      </x:c>
      <x:c r="K225" s="16" t="n">
        <x:v>5112.2</x:v>
      </x:c>
      <x:c r="L225" s="16" t="n">
        <x:v>5116.3</x:v>
      </x:c>
      <x:c r="M225" s="16" t="n">
        <x:v>4.100000000000364</x:v>
      </x:c>
      <x:c r="N225" s="16" t="n">
        <x:v>54.3902439024342</x:v>
      </x:c>
      <x:c r="O225" s="12" t="str">
        <x:v>FTRL44G005</x:v>
      </x:c>
      <x:c r="P225" s="12" t="str">
        <x:v>EXVV35G005</x:v>
      </x:c>
      <x:c r="Q225" s="12" t="str"/>
      <x:c r="R225" s="12" t="str"/>
      <x:c r="S225" s="12" t="str"/>
      <x:c r="T225" s="12" t="str">
        <x:v>ABM</x:v>
      </x:c>
      <x:c r="U225" s="12" t="str"/>
      <x:c r="V225" s="12" t="str"/>
      <x:c r="W225" s="12" t="str"/>
      <x:c r="X225" s="12" t="str">
        <x:v>EXVV35</x:v>
      </x:c>
      <x:c r="Y225" s="12" t="str">
        <x:v>RAFIF &amp; RUSLAN</x:v>
      </x:c>
      <x:c r="Z225" s="12" t="str"/>
      <x:c r="AA225" s="32" t="n">
        <x:f>IFERROR(VLOOKUP(G225,Master_Unit!$A$2:$N$78,7,FALSE),"")</x:f>
        <x:v>25</x:v>
      </x:c>
      <x:c r="AB225" s="32" t="n">
        <x:f>IF(OR(N225="",AA225=""),"",N225-AA225)</x:f>
        <x:v>29.3902439024342</x:v>
      </x:c>
      <x:c r="AC225" s="20" t="n">
        <x:f>IF(OR(N225="",AA225="",AA225=0),"",AB225/AA225)</x:f>
        <x:v>1.175609756097368</x:v>
      </x:c>
      <x:c r="AD225" t="str">
        <x:f>IF(AA225="","NO STANDARD",IF(AC225&lt;=Config_Status!$B$2,"EFFICIENT",IF(AC225&lt;=Config_Status!$B$3,"NORMAL",IF(AC225&lt;=Config_Status!$B$4,"WARNING","OVER CONSUMPTION"))))</x:f>
        <x:v>OVER CONSUMPTION</x:v>
      </x:c>
      <x:c r="AE225" t="str">
        <x:f>IFERROR(VLOOKUP(G225,Master_Unit!$A$2:$N$78,13,FALSE),"UNIT NOT FOUND")</x:f>
        <x:v>Matched</x:v>
      </x:c>
    </x:row>
    <x:row r="226">
      <x:c r="A226" s="12" t="str">
        <x:v>FU-20260603-00225</x:v>
      </x:c>
      <x:c r="B226" s="12" t="n">
        <x:v>355</x:v>
      </x:c>
      <x:c r="C226" s="14" t="n">
        <x:v>46176</x:v>
      </x:c>
      <x:c r="D226" s="12" t="str">
        <x:v>Rabu</x:v>
      </x:c>
      <x:c r="E226" s="12" t="str">
        <x:v>19:15:00</x:v>
      </x:c>
      <x:c r="F226" s="12" t="str">
        <x:v>All Shift Night</x:v>
      </x:c>
      <x:c r="G226" s="12" t="str">
        <x:v>EXVV21G037</x:v>
      </x:c>
      <x:c r="H226" s="12" t="str">
        <x:v>Excavator</x:v>
      </x:c>
      <x:c r="I226" s="12" t="str">
        <x:v>EXCAVATOR VOLVO EC210D</x:v>
      </x:c>
      <x:c r="J226" s="16" t="n">
        <x:v>132</x:v>
      </x:c>
      <x:c r="K226" s="16" t="n">
        <x:v>6776.1</x:v>
      </x:c>
      <x:c r="L226" s="16" t="n">
        <x:v>6785.6</x:v>
      </x:c>
      <x:c r="M226" s="16" t="n">
        <x:v>9.5</x:v>
      </x:c>
      <x:c r="N226" s="16" t="n">
        <x:v>13.894736842105264</x:v>
      </x:c>
      <x:c r="O226" s="12" t="str">
        <x:v>FTRL44G005</x:v>
      </x:c>
      <x:c r="P226" s="12" t="str">
        <x:v>EXVV21G037</x:v>
      </x:c>
      <x:c r="Q226" s="12" t="str"/>
      <x:c r="R226" s="12" t="str"/>
      <x:c r="S226" s="12" t="str"/>
      <x:c r="T226" s="12" t="str">
        <x:v>ABM</x:v>
      </x:c>
      <x:c r="U226" s="12" t="str"/>
      <x:c r="V226" s="12" t="str"/>
      <x:c r="W226" s="12" t="str"/>
      <x:c r="X226" s="12" t="str">
        <x:v>EXVV21</x:v>
      </x:c>
      <x:c r="Y226" s="12" t="str">
        <x:v>RAFIF &amp; RUSLAN</x:v>
      </x:c>
      <x:c r="Z226" s="12" t="str"/>
      <x:c r="AA226" s="32" t="n">
        <x:f>IFERROR(VLOOKUP(G226,Master_Unit!$A$2:$N$78,7,FALSE),"")</x:f>
        <x:v>20</x:v>
      </x:c>
      <x:c r="AB226" s="32" t="n">
        <x:f>IF(OR(N226="",AA226=""),"",N226-AA226)</x:f>
        <x:v>-6.105263157894736</x:v>
      </x:c>
      <x:c r="AC226" s="20" t="n">
        <x:f>IF(OR(N226="",AA226="",AA226=0),"",AB226/AA226)</x:f>
        <x:v>-0.3052631578947368</x:v>
      </x:c>
      <x:c r="AD226" t="str">
        <x:f>IF(AA226="","NO STANDARD",IF(AC226&lt;=Config_Status!$B$2,"EFFICIENT",IF(AC226&lt;=Config_Status!$B$3,"NORMAL",IF(AC226&lt;=Config_Status!$B$4,"WARNING","OVER CONSUMPTION"))))</x:f>
        <x:v>EFFICIENT</x:v>
      </x:c>
      <x:c r="AE226" t="str">
        <x:f>IFERROR(VLOOKUP(G226,Master_Unit!$A$2:$N$78,13,FALSE),"UNIT NOT FOUND")</x:f>
        <x:v>Matched</x:v>
      </x:c>
    </x:row>
    <x:row r="227">
      <x:c r="A227" s="12" t="str">
        <x:v>FU-20260603-00226</x:v>
      </x:c>
      <x:c r="B227" s="12" t="n">
        <x:v>356</x:v>
      </x:c>
      <x:c r="C227" s="14" t="n">
        <x:v>46176</x:v>
      </x:c>
      <x:c r="D227" s="12" t="str">
        <x:v>Rabu</x:v>
      </x:c>
      <x:c r="E227" s="12" t="str">
        <x:v>19:22:00</x:v>
      </x:c>
      <x:c r="F227" s="12" t="str">
        <x:v>All Shift Night</x:v>
      </x:c>
      <x:c r="G227" s="12" t="str">
        <x:v>EXVV21G035</x:v>
      </x:c>
      <x:c r="H227" s="12" t="str">
        <x:v>Excavator</x:v>
      </x:c>
      <x:c r="I227" s="12" t="str">
        <x:v>EXCAVATOR VOLVO EC210D</x:v>
      </x:c>
      <x:c r="J227" s="16" t="n">
        <x:v>158</x:v>
      </x:c>
      <x:c r="K227" s="16" t="n">
        <x:v>8301.9</x:v>
      </x:c>
      <x:c r="L227" s="16" t="n">
        <x:v>8312.9</x:v>
      </x:c>
      <x:c r="M227" s="16" t="n">
        <x:v>11</x:v>
      </x:c>
      <x:c r="N227" s="16" t="n">
        <x:v>14.363636363636363</x:v>
      </x:c>
      <x:c r="O227" s="12" t="str">
        <x:v>FTRL44G005</x:v>
      </x:c>
      <x:c r="P227" s="12" t="str">
        <x:v>EXVV21G035</x:v>
      </x:c>
      <x:c r="Q227" s="12" t="str"/>
      <x:c r="R227" s="12" t="str"/>
      <x:c r="S227" s="12" t="str"/>
      <x:c r="T227" s="12" t="str">
        <x:v>ABM</x:v>
      </x:c>
      <x:c r="U227" s="12" t="str"/>
      <x:c r="V227" s="12" t="str"/>
      <x:c r="W227" s="12" t="str"/>
      <x:c r="X227" s="12" t="str">
        <x:v>EXVV21</x:v>
      </x:c>
      <x:c r="Y227" s="12" t="str">
        <x:v>RAFIF &amp; RUSLAN</x:v>
      </x:c>
      <x:c r="Z227" s="12" t="str"/>
      <x:c r="AA227" s="32" t="n">
        <x:f>IFERROR(VLOOKUP(G227,Master_Unit!$A$2:$N$78,7,FALSE),"")</x:f>
        <x:v>20</x:v>
      </x:c>
      <x:c r="AB227" s="32" t="n">
        <x:f>IF(OR(N227="",AA227=""),"",N227-AA227)</x:f>
        <x:v>-5.636363636363637</x:v>
      </x:c>
      <x:c r="AC227" s="20" t="n">
        <x:f>IF(OR(N227="",AA227="",AA227=0),"",AB227/AA227)</x:f>
        <x:v>-0.28181818181818186</x:v>
      </x:c>
      <x:c r="AD227" t="str">
        <x:f>IF(AA227="","NO STANDARD",IF(AC227&lt;=Config_Status!$B$2,"EFFICIENT",IF(AC227&lt;=Config_Status!$B$3,"NORMAL",IF(AC227&lt;=Config_Status!$B$4,"WARNING","OVER CONSUMPTION"))))</x:f>
        <x:v>EFFICIENT</x:v>
      </x:c>
      <x:c r="AE227" t="str">
        <x:f>IFERROR(VLOOKUP(G227,Master_Unit!$A$2:$N$78,13,FALSE),"UNIT NOT FOUND")</x:f>
        <x:v>Matched</x:v>
      </x:c>
    </x:row>
    <x:row r="228">
      <x:c r="A228" s="12" t="str">
        <x:v>FU-20260603-00227</x:v>
      </x:c>
      <x:c r="B228" s="12" t="n">
        <x:v>357</x:v>
      </x:c>
      <x:c r="C228" s="14" t="n">
        <x:v>46176</x:v>
      </x:c>
      <x:c r="D228" s="12" t="str">
        <x:v>Rabu</x:v>
      </x:c>
      <x:c r="E228" s="12" t="str">
        <x:v>19:28:00</x:v>
      </x:c>
      <x:c r="F228" s="12" t="str">
        <x:v>All Shift Night</x:v>
      </x:c>
      <x:c r="G228" s="12" t="str">
        <x:v>VRVV11G013</x:v>
      </x:c>
      <x:c r="H228" s="12" t="str">
        <x:v>Compactor</x:v>
      </x:c>
      <x:c r="I228" s="12" t="str">
        <x:v>VIBRO COMPACTOR VOLVO SD110NE</x:v>
      </x:c>
      <x:c r="J228" s="16" t="n">
        <x:v>76</x:v>
      </x:c>
      <x:c r="K228" s="16" t="n">
        <x:v>3160.7</x:v>
      </x:c>
      <x:c r="L228" s="16" t="n">
        <x:v>3174</x:v>
      </x:c>
      <x:c r="M228" s="16" t="n">
        <x:v>13.300000000000182</x:v>
      </x:c>
      <x:c r="N228" s="16" t="n">
        <x:v>5.714285714285636</x:v>
      </x:c>
      <x:c r="O228" s="12" t="str">
        <x:v>FTRL44G005</x:v>
      </x:c>
      <x:c r="P228" s="12" t="str">
        <x:v>VRVV11G013</x:v>
      </x:c>
      <x:c r="Q228" s="12" t="str"/>
      <x:c r="R228" s="12" t="str"/>
      <x:c r="S228" s="12" t="str"/>
      <x:c r="T228" s="12" t="str">
        <x:v>ABM</x:v>
      </x:c>
      <x:c r="U228" s="12" t="str"/>
      <x:c r="V228" s="12" t="str"/>
      <x:c r="W228" s="12" t="str"/>
      <x:c r="X228" s="12" t="str">
        <x:v>VRVV11</x:v>
      </x:c>
      <x:c r="Y228" s="12" t="str">
        <x:v>RAFIF &amp; RUSLAN</x:v>
      </x:c>
      <x:c r="Z228" s="12" t="str"/>
      <x:c r="AA228" s="32" t="n">
        <x:f>IFERROR(VLOOKUP(G228,Master_Unit!$A$2:$N$78,7,FALSE),"")</x:f>
        <x:v>15</x:v>
      </x:c>
      <x:c r="AB228" s="32" t="n">
        <x:f>IF(OR(N228="",AA228=""),"",N228-AA228)</x:f>
        <x:v>-9.285714285714363</x:v>
      </x:c>
      <x:c r="AC228" s="20" t="n">
        <x:f>IF(OR(N228="",AA228="",AA228=0),"",AB228/AA228)</x:f>
        <x:v>-0.6190476190476242</x:v>
      </x:c>
      <x:c r="AD228" t="str">
        <x:f>IF(AA228="","NO STANDARD",IF(AC228&lt;=Config_Status!$B$2,"EFFICIENT",IF(AC228&lt;=Config_Status!$B$3,"NORMAL",IF(AC228&lt;=Config_Status!$B$4,"WARNING","OVER CONSUMPTION"))))</x:f>
        <x:v>EFFICIENT</x:v>
      </x:c>
      <x:c r="AE228" t="str">
        <x:f>IFERROR(VLOOKUP(G228,Master_Unit!$A$2:$N$78,13,FALSE),"UNIT NOT FOUND")</x:f>
        <x:v>Matched</x:v>
      </x:c>
    </x:row>
    <x:row r="229">
      <x:c r="A229" s="12" t="str">
        <x:v>FU-20260603-00228</x:v>
      </x:c>
      <x:c r="B229" s="12" t="n">
        <x:v>358</x:v>
      </x:c>
      <x:c r="C229" s="14" t="n">
        <x:v>46176</x:v>
      </x:c>
      <x:c r="D229" s="12" t="str">
        <x:v>Rabu</x:v>
      </x:c>
      <x:c r="E229" s="12" t="str">
        <x:v>19:36:00</x:v>
      </x:c>
      <x:c r="F229" s="12" t="str">
        <x:v>All Shift Night</x:v>
      </x:c>
      <x:c r="G229" s="12" t="str">
        <x:v>EXVV21G040</x:v>
      </x:c>
      <x:c r="H229" s="12" t="str">
        <x:v>Excavator</x:v>
      </x:c>
      <x:c r="I229" s="12" t="str">
        <x:v>EXCAVATOR VOLVO EC210D</x:v>
      </x:c>
      <x:c r="J229" s="16" t="n">
        <x:v>149</x:v>
      </x:c>
      <x:c r="K229" s="16" t="n">
        <x:v>6498.4</x:v>
      </x:c>
      <x:c r="L229" s="16" t="n">
        <x:v>6508.6</x:v>
      </x:c>
      <x:c r="M229" s="16" t="n">
        <x:v>10.200000000000728</x:v>
      </x:c>
      <x:c r="N229" s="16" t="n">
        <x:v>14.60784313725386</x:v>
      </x:c>
      <x:c r="O229" s="12" t="str">
        <x:v>FTRL44G005</x:v>
      </x:c>
      <x:c r="P229" s="12" t="str">
        <x:v>EXVV21G040</x:v>
      </x:c>
      <x:c r="Q229" s="12" t="str"/>
      <x:c r="R229" s="12" t="str"/>
      <x:c r="S229" s="12" t="str"/>
      <x:c r="T229" s="12" t="str">
        <x:v>ABM</x:v>
      </x:c>
      <x:c r="U229" s="12" t="str"/>
      <x:c r="V229" s="12" t="str"/>
      <x:c r="W229" s="12" t="str"/>
      <x:c r="X229" s="12" t="str">
        <x:v>EXVV21</x:v>
      </x:c>
      <x:c r="Y229" s="12" t="str">
        <x:v>RAFIF &amp; RUSLAN</x:v>
      </x:c>
      <x:c r="Z229" s="12" t="str"/>
      <x:c r="AA229" s="32" t="n">
        <x:f>IFERROR(VLOOKUP(G229,Master_Unit!$A$2:$N$78,7,FALSE),"")</x:f>
        <x:v>20</x:v>
      </x:c>
      <x:c r="AB229" s="32" t="n">
        <x:f>IF(OR(N229="",AA229=""),"",N229-AA229)</x:f>
        <x:v>-5.392156862746139</x:v>
      </x:c>
      <x:c r="AC229" s="20" t="n">
        <x:f>IF(OR(N229="",AA229="",AA229=0),"",AB229/AA229)</x:f>
        <x:v>-0.26960784313730696</x:v>
      </x:c>
      <x:c r="AD229" t="str">
        <x:f>IF(AA229="","NO STANDARD",IF(AC229&lt;=Config_Status!$B$2,"EFFICIENT",IF(AC229&lt;=Config_Status!$B$3,"NORMAL",IF(AC229&lt;=Config_Status!$B$4,"WARNING","OVER CONSUMPTION"))))</x:f>
        <x:v>EFFICIENT</x:v>
      </x:c>
      <x:c r="AE229" t="str">
        <x:f>IFERROR(VLOOKUP(G229,Master_Unit!$A$2:$N$78,13,FALSE),"UNIT NOT FOUND")</x:f>
        <x:v>Matched</x:v>
      </x:c>
    </x:row>
    <x:row r="230">
      <x:c r="A230" s="12" t="str">
        <x:v>FU-20260603-00229</x:v>
      </x:c>
      <x:c r="B230" s="12" t="n">
        <x:v>359</x:v>
      </x:c>
      <x:c r="C230" s="14" t="n">
        <x:v>46176</x:v>
      </x:c>
      <x:c r="D230" s="12" t="str">
        <x:v>Rabu</x:v>
      </x:c>
      <x:c r="E230" s="12" t="str">
        <x:v>19:39:00</x:v>
      </x:c>
      <x:c r="F230" s="12" t="str">
        <x:v>All Shift Night</x:v>
      </x:c>
      <x:c r="G230" s="12" t="str">
        <x:v>BDKM85G039</x:v>
      </x:c>
      <x:c r="H230" s="12" t="str">
        <x:v>Dozer</x:v>
      </x:c>
      <x:c r="I230" s="12" t="str">
        <x:v>BULDOZER KOMATSU D85ESS-2</x:v>
      </x:c>
      <x:c r="J230" s="16" t="n">
        <x:v>138</x:v>
      </x:c>
      <x:c r="K230" s="16" t="n">
        <x:v>7034.7</x:v>
      </x:c>
      <x:c r="L230" s="16" t="n">
        <x:v>7040.4</x:v>
      </x:c>
      <x:c r="M230" s="16" t="n">
        <x:v>5.699999999999818</x:v>
      </x:c>
      <x:c r="N230" s="16" t="n">
        <x:v>24.210526315790247</x:v>
      </x:c>
      <x:c r="O230" s="12" t="str">
        <x:v>FTRL44G005</x:v>
      </x:c>
      <x:c r="P230" s="12" t="str">
        <x:v>BDKM85G039</x:v>
      </x:c>
      <x:c r="Q230" s="12" t="str"/>
      <x:c r="R230" s="12" t="str"/>
      <x:c r="S230" s="12" t="str"/>
      <x:c r="T230" s="12" t="str">
        <x:v>ABM</x:v>
      </x:c>
      <x:c r="U230" s="12" t="str"/>
      <x:c r="V230" s="12" t="str"/>
      <x:c r="W230" s="12" t="str"/>
      <x:c r="X230" s="12" t="str">
        <x:v>BDKM85</x:v>
      </x:c>
      <x:c r="Y230" s="12" t="str">
        <x:v>RAFIF &amp; RUSLAN</x:v>
      </x:c>
      <x:c r="Z230" s="12" t="str"/>
      <x:c r="AA230" s="32" t="n">
        <x:f>IFERROR(VLOOKUP(G230,Master_Unit!$A$2:$N$78,7,FALSE),"")</x:f>
        <x:v>30</x:v>
      </x:c>
      <x:c r="AB230" s="32" t="n">
        <x:f>IF(OR(N230="",AA230=""),"",N230-AA230)</x:f>
        <x:v>-5.789473684209753</x:v>
      </x:c>
      <x:c r="AC230" s="20" t="n">
        <x:f>IF(OR(N230="",AA230="",AA230=0),"",AB230/AA230)</x:f>
        <x:v>-0.1929824561403251</x:v>
      </x:c>
      <x:c r="AD230" t="str">
        <x:f>IF(AA230="","NO STANDARD",IF(AC230&lt;=Config_Status!$B$2,"EFFICIENT",IF(AC230&lt;=Config_Status!$B$3,"NORMAL",IF(AC230&lt;=Config_Status!$B$4,"WARNING","OVER CONSUMPTION"))))</x:f>
        <x:v>EFFICIENT</x:v>
      </x:c>
      <x:c r="AE230" t="str">
        <x:f>IFERROR(VLOOKUP(G230,Master_Unit!$A$2:$N$78,13,FALSE),"UNIT NOT FOUND")</x:f>
        <x:v>Matched</x:v>
      </x:c>
    </x:row>
    <x:row r="231">
      <x:c r="A231" s="12" t="str">
        <x:v>FU-20260603-00230</x:v>
      </x:c>
      <x:c r="B231" s="12" t="n">
        <x:v>360</x:v>
      </x:c>
      <x:c r="C231" s="14" t="n">
        <x:v>46176</x:v>
      </x:c>
      <x:c r="D231" s="12" t="str">
        <x:v>Rabu</x:v>
      </x:c>
      <x:c r="E231" s="12" t="str">
        <x:v>19:50:00</x:v>
      </x:c>
      <x:c r="F231" s="12" t="str">
        <x:v>All Shift Night</x:v>
      </x:c>
      <x:c r="G231" s="12" t="str">
        <x:v>EXVV35G007</x:v>
      </x:c>
      <x:c r="H231" s="12" t="str">
        <x:v>Excavator</x:v>
      </x:c>
      <x:c r="I231" s="12" t="str">
        <x:v>EXCAVATOR VOLVO EC350D</x:v>
      </x:c>
      <x:c r="J231" s="16" t="n">
        <x:v>223</x:v>
      </x:c>
      <x:c r="K231" s="16" t="n">
        <x:v>543.2</x:v>
      </x:c>
      <x:c r="L231" s="16" t="n">
        <x:v>548.1</x:v>
      </x:c>
      <x:c r="M231" s="16" t="n">
        <x:v>4.899999999999977</x:v>
      </x:c>
      <x:c r="N231" s="16" t="n">
        <x:v>45.510204081632864</x:v>
      </x:c>
      <x:c r="O231" s="12" t="str">
        <x:v>FTRL44G005</x:v>
      </x:c>
      <x:c r="P231" s="12" t="str">
        <x:v>EXVV35G007</x:v>
      </x:c>
      <x:c r="Q231" s="12" t="str"/>
      <x:c r="R231" s="12" t="str"/>
      <x:c r="S231" s="12" t="str"/>
      <x:c r="T231" s="12" t="str">
        <x:v>ABM</x:v>
      </x:c>
      <x:c r="U231" s="12" t="str"/>
      <x:c r="V231" s="12" t="str"/>
      <x:c r="W231" s="12" t="str"/>
      <x:c r="X231" s="12" t="str">
        <x:v>EXVV35</x:v>
      </x:c>
      <x:c r="Y231" s="12" t="str">
        <x:v>RAFIF &amp; RUSLAN</x:v>
      </x:c>
      <x:c r="Z231" s="12" t="str"/>
      <x:c r="AA231" s="32" t="n">
        <x:f>IFERROR(VLOOKUP(G231,Master_Unit!$A$2:$N$78,7,FALSE),"")</x:f>
        <x:v>25</x:v>
      </x:c>
      <x:c r="AB231" s="32" t="n">
        <x:f>IF(OR(N231="",AA231=""),"",N231-AA231)</x:f>
        <x:v>20.510204081632864</x:v>
      </x:c>
      <x:c r="AC231" s="20" t="n">
        <x:f>IF(OR(N231="",AA231="",AA231=0),"",AB231/AA231)</x:f>
        <x:v>0.8204081632653145</x:v>
      </x:c>
      <x:c r="AD231" t="str">
        <x:f>IF(AA231="","NO STANDARD",IF(AC231&lt;=Config_Status!$B$2,"EFFICIENT",IF(AC231&lt;=Config_Status!$B$3,"NORMAL",IF(AC231&lt;=Config_Status!$B$4,"WARNING","OVER CONSUMPTION"))))</x:f>
        <x:v>OVER CONSUMPTION</x:v>
      </x:c>
      <x:c r="AE231" t="str">
        <x:f>IFERROR(VLOOKUP(G231,Master_Unit!$A$2:$N$78,13,FALSE),"UNIT NOT FOUND")</x:f>
        <x:v>Matched</x:v>
      </x:c>
    </x:row>
    <x:row r="232">
      <x:c r="A232" s="12" t="str">
        <x:v>FU-20260603-00231</x:v>
      </x:c>
      <x:c r="B232" s="12" t="n">
        <x:v>361</x:v>
      </x:c>
      <x:c r="C232" s="14" t="n">
        <x:v>46176</x:v>
      </x:c>
      <x:c r="D232" s="12" t="str">
        <x:v>Rabu</x:v>
      </x:c>
      <x:c r="E232" s="12" t="str">
        <x:v>20:01:00</x:v>
      </x:c>
      <x:c r="F232" s="12" t="str">
        <x:v>All Shift Night</x:v>
      </x:c>
      <x:c r="G232" s="12" t="str">
        <x:v>EXVV35G006</x:v>
      </x:c>
      <x:c r="H232" s="12" t="str">
        <x:v>Excavator</x:v>
      </x:c>
      <x:c r="I232" s="12" t="str">
        <x:v>EXCAVATOR VOLVO EC350D</x:v>
      </x:c>
      <x:c r="J232" s="16" t="n">
        <x:v>223</x:v>
      </x:c>
      <x:c r="K232" s="16" t="n">
        <x:v>3087</x:v>
      </x:c>
      <x:c r="L232" s="16" t="n">
        <x:v>3092.4</x:v>
      </x:c>
      <x:c r="M232" s="16" t="n">
        <x:v>5.400000000000091</x:v>
      </x:c>
      <x:c r="N232" s="16" t="n">
        <x:v>41.2962962962956</x:v>
      </x:c>
      <x:c r="O232" s="12" t="str">
        <x:v>FTRL44G005</x:v>
      </x:c>
      <x:c r="P232" s="12" t="str">
        <x:v>EXVV35G006</x:v>
      </x:c>
      <x:c r="Q232" s="12" t="str"/>
      <x:c r="R232" s="12" t="str"/>
      <x:c r="S232" s="12" t="str"/>
      <x:c r="T232" s="12" t="str">
        <x:v>ABM</x:v>
      </x:c>
      <x:c r="U232" s="12" t="str"/>
      <x:c r="V232" s="12" t="str"/>
      <x:c r="W232" s="12" t="str"/>
      <x:c r="X232" s="12" t="str">
        <x:v>EXVV35</x:v>
      </x:c>
      <x:c r="Y232" s="12" t="str">
        <x:v>RAFIF &amp; RUSLAN</x:v>
      </x:c>
      <x:c r="Z232" s="12" t="str"/>
      <x:c r="AA232" s="32" t="n">
        <x:f>IFERROR(VLOOKUP(G232,Master_Unit!$A$2:$N$78,7,FALSE),"")</x:f>
        <x:v>25</x:v>
      </x:c>
      <x:c r="AB232" s="32" t="n">
        <x:f>IF(OR(N232="",AA232=""),"",N232-AA232)</x:f>
        <x:v>16.2962962962956</x:v>
      </x:c>
      <x:c r="AC232" s="20" t="n">
        <x:f>IF(OR(N232="",AA232="",AA232=0),"",AB232/AA232)</x:f>
        <x:v>0.651851851851824</x:v>
      </x:c>
      <x:c r="AD232" t="str">
        <x:f>IF(AA232="","NO STANDARD",IF(AC232&lt;=Config_Status!$B$2,"EFFICIENT",IF(AC232&lt;=Config_Status!$B$3,"NORMAL",IF(AC232&lt;=Config_Status!$B$4,"WARNING","OVER CONSUMPTION"))))</x:f>
        <x:v>OVER CONSUMPTION</x:v>
      </x:c>
      <x:c r="AE232" t="str">
        <x:f>IFERROR(VLOOKUP(G232,Master_Unit!$A$2:$N$78,13,FALSE),"UNIT NOT FOUND")</x:f>
        <x:v>Matched</x:v>
      </x:c>
    </x:row>
    <x:row r="233">
      <x:c r="A233" s="12" t="str">
        <x:v>FU-20260603-00232</x:v>
      </x:c>
      <x:c r="B233" s="12" t="n">
        <x:v>362</x:v>
      </x:c>
      <x:c r="C233" s="14" t="n">
        <x:v>46176</x:v>
      </x:c>
      <x:c r="D233" s="12" t="str">
        <x:v>Rabu</x:v>
      </x:c>
      <x:c r="E233" s="12" t="str">
        <x:v>20:26:00</x:v>
      </x:c>
      <x:c r="F233" s="12" t="str">
        <x:v>All Shift Night</x:v>
      </x:c>
      <x:c r="G233" s="12" t="str">
        <x:v>STRL44G137</x:v>
      </x:c>
      <x:c r="H233" s="12" t="str">
        <x:v>Dump Truck</x:v>
      </x:c>
      <x:c r="I233" s="12" t="str">
        <x:v>DUMP TRUCK RENAULT KRANGE440-P6X4 A/T</x:v>
      </x:c>
      <x:c r="J233" s="16" t="n">
        <x:v>123</x:v>
      </x:c>
      <x:c r="K233" s="16" t="n">
        <x:v>6360</x:v>
      </x:c>
      <x:c r="L233" s="16" t="n">
        <x:v>6370</x:v>
      </x:c>
      <x:c r="M233" s="16" t="n">
        <x:v>10</x:v>
      </x:c>
      <x:c r="N233" s="16" t="n">
        <x:v>12.3</x:v>
      </x:c>
      <x:c r="O233" s="12" t="str">
        <x:v>FTRL44G005</x:v>
      </x:c>
      <x:c r="P233" s="12" t="str">
        <x:v>STRL44G137</x:v>
      </x:c>
      <x:c r="Q233" s="12" t="str"/>
      <x:c r="R233" s="12" t="str"/>
      <x:c r="S233" s="12" t="str"/>
      <x:c r="T233" s="12" t="str">
        <x:v>ABM</x:v>
      </x:c>
      <x:c r="U233" s="12" t="str"/>
      <x:c r="V233" s="12" t="str"/>
      <x:c r="W233" s="12" t="str"/>
      <x:c r="X233" s="12" t="str">
        <x:v>STRL44</x:v>
      </x:c>
      <x:c r="Y233" s="12" t="str">
        <x:v>RAFIF &amp; RUSLAN</x:v>
      </x:c>
      <x:c r="Z233" s="12" t="str"/>
      <x:c r="AA233" s="32" t="n">
        <x:f>IFERROR(VLOOKUP(G233,Master_Unit!$A$2:$N$78,7,FALSE),"")</x:f>
        <x:v>20</x:v>
      </x:c>
      <x:c r="AB233" s="32" t="n">
        <x:f>IF(OR(N233="",AA233=""),"",N233-AA233)</x:f>
        <x:v>-7.699999999999999</x:v>
      </x:c>
      <x:c r="AC233" s="20" t="n">
        <x:f>IF(OR(N233="",AA233="",AA233=0),"",AB233/AA233)</x:f>
        <x:v>-0.38499999999999995</x:v>
      </x:c>
      <x:c r="AD233" t="str">
        <x:f>IF(AA233="","NO STANDARD",IF(AC233&lt;=Config_Status!$B$2,"EFFICIENT",IF(AC233&lt;=Config_Status!$B$3,"NORMAL",IF(AC233&lt;=Config_Status!$B$4,"WARNING","OVER CONSUMPTION"))))</x:f>
        <x:v>EFFICIENT</x:v>
      </x:c>
      <x:c r="AE233" t="str">
        <x:f>IFERROR(VLOOKUP(G233,Master_Unit!$A$2:$N$78,13,FALSE),"UNIT NOT FOUND")</x:f>
        <x:v>Matched</x:v>
      </x:c>
    </x:row>
    <x:row r="234">
      <x:c r="A234" s="12" t="str">
        <x:v>FU-20260603-00233</x:v>
      </x:c>
      <x:c r="B234" s="12" t="n">
        <x:v>363</x:v>
      </x:c>
      <x:c r="C234" s="14" t="n">
        <x:v>46176</x:v>
      </x:c>
      <x:c r="D234" s="12" t="str">
        <x:v>Rabu</x:v>
      </x:c>
      <x:c r="E234" s="12" t="str">
        <x:v>20:30:00</x:v>
      </x:c>
      <x:c r="F234" s="12" t="str">
        <x:v>All Shift Night</x:v>
      </x:c>
      <x:c r="G234" s="12" t="str">
        <x:v>MGSD20G007</x:v>
      </x:c>
      <x:c r="H234" s="12" t="str">
        <x:v>Other</x:v>
      </x:c>
      <x:c r="I234" s="12" t="str">
        <x:v>MOTOR GRADER SDLG GD9220F</x:v>
      </x:c>
      <x:c r="J234" s="16" t="n">
        <x:v>55</x:v>
      </x:c>
      <x:c r="K234" s="16" t="n">
        <x:v>3694.9</x:v>
      </x:c>
      <x:c r="L234" s="16" t="n">
        <x:v>3698.4</x:v>
      </x:c>
      <x:c r="M234" s="16" t="n">
        <x:v>3.5</x:v>
      </x:c>
      <x:c r="N234" s="16" t="n">
        <x:v>15.714285714285714</x:v>
      </x:c>
      <x:c r="O234" s="12" t="str">
        <x:v>FTRL44G005</x:v>
      </x:c>
      <x:c r="P234" s="12" t="str">
        <x:v>MGSD20G007</x:v>
      </x:c>
      <x:c r="Q234" s="12" t="str"/>
      <x:c r="R234" s="12" t="str"/>
      <x:c r="S234" s="12" t="str"/>
      <x:c r="T234" s="12" t="str">
        <x:v>ABM</x:v>
      </x:c>
      <x:c r="U234" s="12" t="str"/>
      <x:c r="V234" s="12" t="str"/>
      <x:c r="W234" s="12" t="str"/>
      <x:c r="X234" s="12" t="str">
        <x:v>MGSD20</x:v>
      </x:c>
      <x:c r="Y234" s="12" t="str">
        <x:v>RAFIF &amp; RUSLAN</x:v>
      </x:c>
      <x:c r="Z234" s="12" t="str"/>
      <x:c r="AA234" s="32" t="n">
        <x:f>IFERROR(VLOOKUP(G234,Master_Unit!$A$2:$N$78,7,FALSE),"")</x:f>
        <x:v>20</x:v>
      </x:c>
      <x:c r="AB234" s="32" t="n">
        <x:f>IF(OR(N234="",AA234=""),"",N234-AA234)</x:f>
        <x:v>-4.2857142857142865</x:v>
      </x:c>
      <x:c r="AC234" s="20" t="n">
        <x:f>IF(OR(N234="",AA234="",AA234=0),"",AB234/AA234)</x:f>
        <x:v>-0.21428571428571433</x:v>
      </x:c>
      <x:c r="AD234" t="str">
        <x:f>IF(AA234="","NO STANDARD",IF(AC234&lt;=Config_Status!$B$2,"EFFICIENT",IF(AC234&lt;=Config_Status!$B$3,"NORMAL",IF(AC234&lt;=Config_Status!$B$4,"WARNING","OVER CONSUMPTION"))))</x:f>
        <x:v>EFFICIENT</x:v>
      </x:c>
      <x:c r="AE234" t="str">
        <x:f>IFERROR(VLOOKUP(G234,Master_Unit!$A$2:$N$78,13,FALSE),"UNIT NOT FOUND")</x:f>
        <x:v>Matched</x:v>
      </x:c>
    </x:row>
    <x:row r="235">
      <x:c r="A235" s="12" t="str">
        <x:v>FU-20260603-00234</x:v>
      </x:c>
      <x:c r="B235" s="12" t="n">
        <x:v>364</x:v>
      </x:c>
      <x:c r="C235" s="14" t="n">
        <x:v>46176</x:v>
      </x:c>
      <x:c r="D235" s="12" t="str">
        <x:v>Rabu</x:v>
      </x:c>
      <x:c r="E235" s="12" t="str">
        <x:v>20:32:00</x:v>
      </x:c>
      <x:c r="F235" s="12" t="str">
        <x:v>All Shift Night</x:v>
      </x:c>
      <x:c r="G235" s="12" t="str">
        <x:v>STRL44G134</x:v>
      </x:c>
      <x:c r="H235" s="12" t="str">
        <x:v>Dump Truck</x:v>
      </x:c>
      <x:c r="I235" s="12" t="str">
        <x:v>DUMP TRUCK RENAULT KRANGE440-P6X4 A/T</x:v>
      </x:c>
      <x:c r="J235" s="16" t="n">
        <x:v>123</x:v>
      </x:c>
      <x:c r="K235" s="16" t="n">
        <x:v>5613</x:v>
      </x:c>
      <x:c r="L235" s="16" t="n">
        <x:v>5622</x:v>
      </x:c>
      <x:c r="M235" s="16" t="n">
        <x:v>9</x:v>
      </x:c>
      <x:c r="N235" s="16" t="n">
        <x:v>13.666666666666666</x:v>
      </x:c>
      <x:c r="O235" s="12" t="str">
        <x:v>FTRL44G005</x:v>
      </x:c>
      <x:c r="P235" s="12" t="str">
        <x:v>STRL44G134</x:v>
      </x:c>
      <x:c r="Q235" s="12" t="str"/>
      <x:c r="R235" s="12" t="str"/>
      <x:c r="S235" s="12" t="str"/>
      <x:c r="T235" s="12" t="str">
        <x:v>ABM</x:v>
      </x:c>
      <x:c r="U235" s="12" t="str"/>
      <x:c r="V235" s="12" t="str"/>
      <x:c r="W235" s="12" t="str"/>
      <x:c r="X235" s="12" t="str">
        <x:v>STRL44</x:v>
      </x:c>
      <x:c r="Y235" s="12" t="str">
        <x:v>RAFIF &amp; RUSLAN</x:v>
      </x:c>
      <x:c r="Z235" s="12" t="str"/>
      <x:c r="AA235" s="32" t="n">
        <x:f>IFERROR(VLOOKUP(G235,Master_Unit!$A$2:$N$78,7,FALSE),"")</x:f>
        <x:v>20</x:v>
      </x:c>
      <x:c r="AB235" s="32" t="n">
        <x:f>IF(OR(N235="",AA235=""),"",N235-AA235)</x:f>
        <x:v>-6.333333333333334</x:v>
      </x:c>
      <x:c r="AC235" s="20" t="n">
        <x:f>IF(OR(N235="",AA235="",AA235=0),"",AB235/AA235)</x:f>
        <x:v>-0.3166666666666667</x:v>
      </x:c>
      <x:c r="AD235" t="str">
        <x:f>IF(AA235="","NO STANDARD",IF(AC235&lt;=Config_Status!$B$2,"EFFICIENT",IF(AC235&lt;=Config_Status!$B$3,"NORMAL",IF(AC235&lt;=Config_Status!$B$4,"WARNING","OVER CONSUMPTION"))))</x:f>
        <x:v>EFFICIENT</x:v>
      </x:c>
      <x:c r="AE235" t="str">
        <x:f>IFERROR(VLOOKUP(G235,Master_Unit!$A$2:$N$78,13,FALSE),"UNIT NOT FOUND")</x:f>
        <x:v>Matched</x:v>
      </x:c>
    </x:row>
    <x:row r="236">
      <x:c r="A236" s="12" t="str">
        <x:v>FU-20260603-00235</x:v>
      </x:c>
      <x:c r="B236" s="12" t="n">
        <x:v>365</x:v>
      </x:c>
      <x:c r="C236" s="14" t="n">
        <x:v>46176</x:v>
      </x:c>
      <x:c r="D236" s="12" t="str">
        <x:v>Rabu</x:v>
      </x:c>
      <x:c r="E236" s="12" t="str">
        <x:v>20:36:00</x:v>
      </x:c>
      <x:c r="F236" s="12" t="str">
        <x:v>All Shift Night</x:v>
      </x:c>
      <x:c r="G236" s="12" t="str">
        <x:v>STRL44G145</x:v>
      </x:c>
      <x:c r="H236" s="12" t="str">
        <x:v>Dump Truck</x:v>
      </x:c>
      <x:c r="I236" s="12" t="str">
        <x:v>DUMP TRUCK RENAULT KRANGE440-P6X4 A/T</x:v>
      </x:c>
      <x:c r="J236" s="16" t="n">
        <x:v>153</x:v>
      </x:c>
      <x:c r="K236" s="16" t="n">
        <x:v>4865</x:v>
      </x:c>
      <x:c r="L236" s="16" t="n">
        <x:v>4879</x:v>
      </x:c>
      <x:c r="M236" s="16" t="n">
        <x:v>14</x:v>
      </x:c>
      <x:c r="N236" s="16" t="n">
        <x:v>10.928571428571429</x:v>
      </x:c>
      <x:c r="O236" s="12" t="str">
        <x:v>FTRL44G005</x:v>
      </x:c>
      <x:c r="P236" s="12" t="str">
        <x:v>STRL44G145</x:v>
      </x:c>
      <x:c r="Q236" s="12" t="str"/>
      <x:c r="R236" s="12" t="str"/>
      <x:c r="S236" s="12" t="str"/>
      <x:c r="T236" s="12" t="str">
        <x:v>ABM</x:v>
      </x:c>
      <x:c r="U236" s="12" t="str"/>
      <x:c r="V236" s="12" t="str"/>
      <x:c r="W236" s="12" t="str"/>
      <x:c r="X236" s="12" t="str">
        <x:v>STRL44</x:v>
      </x:c>
      <x:c r="Y236" s="12" t="str">
        <x:v>RAFIF &amp; RUSLAN</x:v>
      </x:c>
      <x:c r="Z236" s="12" t="str"/>
      <x:c r="AA236" s="32" t="n">
        <x:f>IFERROR(VLOOKUP(G236,Master_Unit!$A$2:$N$78,7,FALSE),"")</x:f>
        <x:v>20</x:v>
      </x:c>
      <x:c r="AB236" s="32" t="n">
        <x:f>IF(OR(N236="",AA236=""),"",N236-AA236)</x:f>
        <x:v>-9.071428571428571</x:v>
      </x:c>
      <x:c r="AC236" s="20" t="n">
        <x:f>IF(OR(N236="",AA236="",AA236=0),"",AB236/AA236)</x:f>
        <x:v>-0.45357142857142857</x:v>
      </x:c>
      <x:c r="AD236" t="str">
        <x:f>IF(AA236="","NO STANDARD",IF(AC236&lt;=Config_Status!$B$2,"EFFICIENT",IF(AC236&lt;=Config_Status!$B$3,"NORMAL",IF(AC236&lt;=Config_Status!$B$4,"WARNING","OVER CONSUMPTION"))))</x:f>
        <x:v>EFFICIENT</x:v>
      </x:c>
      <x:c r="AE236" t="str">
        <x:f>IFERROR(VLOOKUP(G236,Master_Unit!$A$2:$N$78,13,FALSE),"UNIT NOT FOUND")</x:f>
        <x:v>Matched</x:v>
      </x:c>
    </x:row>
    <x:row r="237">
      <x:c r="A237" s="12" t="str">
        <x:v>FU-20260603-00236</x:v>
      </x:c>
      <x:c r="B237" s="12" t="n">
        <x:v>366</x:v>
      </x:c>
      <x:c r="C237" s="14" t="n">
        <x:v>46176</x:v>
      </x:c>
      <x:c r="D237" s="12" t="str">
        <x:v>Rabu</x:v>
      </x:c>
      <x:c r="E237" s="12" t="str">
        <x:v>20:39:00</x:v>
      </x:c>
      <x:c r="F237" s="12" t="str">
        <x:v>All Shift Night</x:v>
      </x:c>
      <x:c r="G237" s="12" t="str">
        <x:v>STRL44G136</x:v>
      </x:c>
      <x:c r="H237" s="12" t="str">
        <x:v>Dump Truck</x:v>
      </x:c>
      <x:c r="I237" s="12" t="str">
        <x:v>DUMP TRUCK RENAULT KRANGE440-P6X4 A/T</x:v>
      </x:c>
      <x:c r="J237" s="16" t="n">
        <x:v>130</x:v>
      </x:c>
      <x:c r="K237" s="16" t="n">
        <x:v>5771</x:v>
      </x:c>
      <x:c r="L237" s="16" t="n">
        <x:v>5782</x:v>
      </x:c>
      <x:c r="M237" s="16" t="n">
        <x:v>11</x:v>
      </x:c>
      <x:c r="N237" s="16" t="n">
        <x:v>11.818181818181818</x:v>
      </x:c>
      <x:c r="O237" s="12" t="str">
        <x:v>FTRL44G005</x:v>
      </x:c>
      <x:c r="P237" s="12" t="str">
        <x:v>STRL44G136</x:v>
      </x:c>
      <x:c r="Q237" s="12" t="str"/>
      <x:c r="R237" s="12" t="str"/>
      <x:c r="S237" s="12" t="str"/>
      <x:c r="T237" s="12" t="str">
        <x:v>ABM</x:v>
      </x:c>
      <x:c r="U237" s="12" t="str"/>
      <x:c r="V237" s="12" t="str"/>
      <x:c r="W237" s="12" t="str"/>
      <x:c r="X237" s="12" t="str">
        <x:v>STRL44</x:v>
      </x:c>
      <x:c r="Y237" s="12" t="str">
        <x:v>RAFIF &amp; RUSLAN</x:v>
      </x:c>
      <x:c r="Z237" s="12" t="str"/>
      <x:c r="AA237" s="32" t="n">
        <x:f>IFERROR(VLOOKUP(G237,Master_Unit!$A$2:$N$78,7,FALSE),"")</x:f>
        <x:v>20</x:v>
      </x:c>
      <x:c r="AB237" s="32" t="n">
        <x:f>IF(OR(N237="",AA237=""),"",N237-AA237)</x:f>
        <x:v>-8.181818181818182</x:v>
      </x:c>
      <x:c r="AC237" s="20" t="n">
        <x:f>IF(OR(N237="",AA237="",AA237=0),"",AB237/AA237)</x:f>
        <x:v>-0.40909090909090906</x:v>
      </x:c>
      <x:c r="AD237" t="str">
        <x:f>IF(AA237="","NO STANDARD",IF(AC237&lt;=Config_Status!$B$2,"EFFICIENT",IF(AC237&lt;=Config_Status!$B$3,"NORMAL",IF(AC237&lt;=Config_Status!$B$4,"WARNING","OVER CONSUMPTION"))))</x:f>
        <x:v>EFFICIENT</x:v>
      </x:c>
      <x:c r="AE237" t="str">
        <x:f>IFERROR(VLOOKUP(G237,Master_Unit!$A$2:$N$78,13,FALSE),"UNIT NOT FOUND")</x:f>
        <x:v>Matched</x:v>
      </x:c>
    </x:row>
    <x:row r="238">
      <x:c r="A238" s="12" t="str">
        <x:v>FU-20260603-00237</x:v>
      </x:c>
      <x:c r="B238" s="12" t="n">
        <x:v>367</x:v>
      </x:c>
      <x:c r="C238" s="14" t="n">
        <x:v>46176</x:v>
      </x:c>
      <x:c r="D238" s="12" t="str">
        <x:v>Rabu</x:v>
      </x:c>
      <x:c r="E238" s="12" t="str">
        <x:v>20:56:00</x:v>
      </x:c>
      <x:c r="F238" s="12" t="str">
        <x:v>All Shift Night</x:v>
      </x:c>
      <x:c r="G238" s="12" t="str">
        <x:v>STRL44G135</x:v>
      </x:c>
      <x:c r="H238" s="12" t="str">
        <x:v>Dump Truck</x:v>
      </x:c>
      <x:c r="I238" s="12" t="str">
        <x:v>DUMP TRUCK RENAULT KRANGE440-P6X4 A/T</x:v>
      </x:c>
      <x:c r="J238" s="16" t="n">
        <x:v>127</x:v>
      </x:c>
      <x:c r="K238" s="16" t="n">
        <x:v>5754</x:v>
      </x:c>
      <x:c r="L238" s="16" t="n">
        <x:v>5765</x:v>
      </x:c>
      <x:c r="M238" s="16" t="n">
        <x:v>11</x:v>
      </x:c>
      <x:c r="N238" s="16" t="n">
        <x:v>11.545454545454545</x:v>
      </x:c>
      <x:c r="O238" s="12" t="str">
        <x:v>FTRL44G005</x:v>
      </x:c>
      <x:c r="P238" s="12" t="str">
        <x:v>STRL44G135</x:v>
      </x:c>
      <x:c r="Q238" s="12" t="str"/>
      <x:c r="R238" s="12" t="str"/>
      <x:c r="S238" s="12" t="str"/>
      <x:c r="T238" s="12" t="str">
        <x:v>ABM</x:v>
      </x:c>
      <x:c r="U238" s="12" t="str"/>
      <x:c r="V238" s="12" t="str"/>
      <x:c r="W238" s="12" t="str"/>
      <x:c r="X238" s="12" t="str">
        <x:v>STRL44</x:v>
      </x:c>
      <x:c r="Y238" s="12" t="str">
        <x:v>RAFIF &amp; RUSLAN</x:v>
      </x:c>
      <x:c r="Z238" s="12" t="str"/>
      <x:c r="AA238" s="32" t="n">
        <x:f>IFERROR(VLOOKUP(G238,Master_Unit!$A$2:$N$78,7,FALSE),"")</x:f>
        <x:v>20</x:v>
      </x:c>
      <x:c r="AB238" s="32" t="n">
        <x:f>IF(OR(N238="",AA238=""),"",N238-AA238)</x:f>
        <x:v>-8.454545454545455</x:v>
      </x:c>
      <x:c r="AC238" s="20" t="n">
        <x:f>IF(OR(N238="",AA238="",AA238=0),"",AB238/AA238)</x:f>
        <x:v>-0.42272727272727273</x:v>
      </x:c>
      <x:c r="AD238" t="str">
        <x:f>IF(AA238="","NO STANDARD",IF(AC238&lt;=Config_Status!$B$2,"EFFICIENT",IF(AC238&lt;=Config_Status!$B$3,"NORMAL",IF(AC238&lt;=Config_Status!$B$4,"WARNING","OVER CONSUMPTION"))))</x:f>
        <x:v>EFFICIENT</x:v>
      </x:c>
      <x:c r="AE238" t="str">
        <x:f>IFERROR(VLOOKUP(G238,Master_Unit!$A$2:$N$78,13,FALSE),"UNIT NOT FOUND")</x:f>
        <x:v>Matched</x:v>
      </x:c>
    </x:row>
    <x:row r="239">
      <x:c r="A239" s="12" t="str">
        <x:v>FU-20260603-00238</x:v>
      </x:c>
      <x:c r="B239" s="12" t="n">
        <x:v>368</x:v>
      </x:c>
      <x:c r="C239" s="14" t="n">
        <x:v>46176</x:v>
      </x:c>
      <x:c r="D239" s="12" t="str">
        <x:v>Rabu</x:v>
      </x:c>
      <x:c r="E239" s="12" t="str">
        <x:v>21:04:00</x:v>
      </x:c>
      <x:c r="F239" s="12" t="str">
        <x:v>All Shift Night</x:v>
      </x:c>
      <x:c r="G239" s="12" t="str">
        <x:v>EXVV21G043</x:v>
      </x:c>
      <x:c r="H239" s="12" t="str">
        <x:v>Excavator</x:v>
      </x:c>
      <x:c r="I239" s="12" t="str">
        <x:v>EXCAVATOR VOLVO EC210D</x:v>
      </x:c>
      <x:c r="J239" s="16" t="n">
        <x:v>132</x:v>
      </x:c>
      <x:c r="K239" s="16" t="n">
        <x:v>5299.6</x:v>
      </x:c>
      <x:c r="L239" s="16" t="n">
        <x:v>5309.4</x:v>
      </x:c>
      <x:c r="M239" s="16" t="n">
        <x:v>9.799999999999272</x:v>
      </x:c>
      <x:c r="N239" s="16" t="n">
        <x:v>13.46938775510304</x:v>
      </x:c>
      <x:c r="O239" s="12" t="str">
        <x:v>FTRL44G005</x:v>
      </x:c>
      <x:c r="P239" s="12" t="str">
        <x:v>EXVV21G043</x:v>
      </x:c>
      <x:c r="Q239" s="12" t="str"/>
      <x:c r="R239" s="12" t="str"/>
      <x:c r="S239" s="12" t="str"/>
      <x:c r="T239" s="12" t="str">
        <x:v>ABM</x:v>
      </x:c>
      <x:c r="U239" s="12" t="str"/>
      <x:c r="V239" s="12" t="str"/>
      <x:c r="W239" s="12" t="str"/>
      <x:c r="X239" s="12" t="str">
        <x:v>EXVV21</x:v>
      </x:c>
      <x:c r="Y239" s="12" t="str">
        <x:v>RAFIF &amp; RUSLAN</x:v>
      </x:c>
      <x:c r="Z239" s="12" t="str"/>
      <x:c r="AA239" s="32" t="n">
        <x:f>IFERROR(VLOOKUP(G239,Master_Unit!$A$2:$N$78,7,FALSE),"")</x:f>
        <x:v>20</x:v>
      </x:c>
      <x:c r="AB239" s="32" t="n">
        <x:f>IF(OR(N239="",AA239=""),"",N239-AA239)</x:f>
        <x:v>-6.530612244896959</x:v>
      </x:c>
      <x:c r="AC239" s="20" t="n">
        <x:f>IF(OR(N239="",AA239="",AA239=0),"",AB239/AA239)</x:f>
        <x:v>-0.326530612244848</x:v>
      </x:c>
      <x:c r="AD239" t="str">
        <x:f>IF(AA239="","NO STANDARD",IF(AC239&lt;=Config_Status!$B$2,"EFFICIENT",IF(AC239&lt;=Config_Status!$B$3,"NORMAL",IF(AC239&lt;=Config_Status!$B$4,"WARNING","OVER CONSUMPTION"))))</x:f>
        <x:v>EFFICIENT</x:v>
      </x:c>
      <x:c r="AE239" t="str">
        <x:f>IFERROR(VLOOKUP(G239,Master_Unit!$A$2:$N$78,13,FALSE),"UNIT NOT FOUND")</x:f>
        <x:v>Matched</x:v>
      </x:c>
    </x:row>
    <x:row r="240">
      <x:c r="A240" s="12" t="str">
        <x:v>FU-20260603-00239</x:v>
      </x:c>
      <x:c r="B240" s="12" t="n">
        <x:v>369</x:v>
      </x:c>
      <x:c r="C240" s="14" t="n">
        <x:v>46176</x:v>
      </x:c>
      <x:c r="D240" s="12" t="str">
        <x:v>Rabu</x:v>
      </x:c>
      <x:c r="E240" s="12" t="str">
        <x:v>21:40:00</x:v>
      </x:c>
      <x:c r="F240" s="12" t="str">
        <x:v>All Shift Night</x:v>
      </x:c>
      <x:c r="G240" s="12" t="str">
        <x:v>FTRL44G004</x:v>
      </x:c>
      <x:c r="H240" s="12" t="str">
        <x:v>Fuel Truck</x:v>
      </x:c>
      <x:c r="I240" s="12" t="str">
        <x:v>FUEL TRUCK RENAULT KRANGE440-P6X4 A/T</x:v>
      </x:c>
      <x:c r="J240" s="16" t="n">
        <x:v>100</x:v>
      </x:c>
      <x:c r="K240" s="16" t="n">
        <x:v>3828</x:v>
      </x:c>
      <x:c r="L240" s="16" t="n">
        <x:v>3836</x:v>
      </x:c>
      <x:c r="M240" s="16" t="n">
        <x:v>8</x:v>
      </x:c>
      <x:c r="N240" s="16" t="n">
        <x:v>12.5</x:v>
      </x:c>
      <x:c r="O240" s="12" t="str">
        <x:v>FTRL44G005</x:v>
      </x:c>
      <x:c r="P240" s="12" t="str">
        <x:v>FTRL44G004</x:v>
      </x:c>
      <x:c r="Q240" s="12" t="str"/>
      <x:c r="R240" s="12" t="str"/>
      <x:c r="S240" s="12" t="str"/>
      <x:c r="T240" s="12" t="str">
        <x:v>ABM</x:v>
      </x:c>
      <x:c r="U240" s="12" t="str"/>
      <x:c r="V240" s="12" t="str"/>
      <x:c r="W240" s="12" t="str"/>
      <x:c r="X240" s="12" t="str">
        <x:v>FTRL44</x:v>
      </x:c>
      <x:c r="Y240" s="12" t="str">
        <x:v>RAFIF &amp; RUSLAN</x:v>
      </x:c>
      <x:c r="Z240" s="12" t="str"/>
      <x:c r="AA240" s="32" t="n">
        <x:f>IFERROR(VLOOKUP(G240,Master_Unit!$A$2:$N$78,7,FALSE),"")</x:f>
        <x:v>13</x:v>
      </x:c>
      <x:c r="AB240" s="32" t="n">
        <x:f>IF(OR(N240="",AA240=""),"",N240-AA240)</x:f>
        <x:v>-0.5</x:v>
      </x:c>
      <x:c r="AC240" s="20" t="n">
        <x:f>IF(OR(N240="",AA240="",AA240=0),"",AB240/AA240)</x:f>
        <x:v>-0.038461538461538464</x:v>
      </x:c>
      <x:c r="AD240" t="str">
        <x:f>IF(AA240="","NO STANDARD",IF(AC240&lt;=Config_Status!$B$2,"EFFICIENT",IF(AC240&lt;=Config_Status!$B$3,"NORMAL",IF(AC240&lt;=Config_Status!$B$4,"WARNING","OVER CONSUMPTION"))))</x:f>
        <x:v>NORMAL</x:v>
      </x:c>
      <x:c r="AE240" t="str">
        <x:f>IFERROR(VLOOKUP(G240,Master_Unit!$A$2:$N$78,13,FALSE),"UNIT NOT FOUND")</x:f>
        <x:v>Matched</x:v>
      </x:c>
    </x:row>
    <x:row r="241">
      <x:c r="A241" s="12" t="str">
        <x:v>FU-20260604-00240</x:v>
      </x:c>
      <x:c r="B241" s="12" t="n">
        <x:v>370</x:v>
      </x:c>
      <x:c r="C241" s="14" t="n">
        <x:v>46177</x:v>
      </x:c>
      <x:c r="D241" s="12" t="str">
        <x:v>Kamis</x:v>
      </x:c>
      <x:c r="E241" s="12" t="str">
        <x:v>06:43:00</x:v>
      </x:c>
      <x:c r="F241" s="12" t="str">
        <x:v>All Shift Day</x:v>
      </x:c>
      <x:c r="G241" s="12" t="str">
        <x:v>EXVV21G039</x:v>
      </x:c>
      <x:c r="H241" s="12" t="str">
        <x:v>Excavator</x:v>
      </x:c>
      <x:c r="I241" s="12" t="str">
        <x:v>EXCAVATOR VOLVO EC210D</x:v>
      </x:c>
      <x:c r="J241" s="16" t="n">
        <x:v>140</x:v>
      </x:c>
      <x:c r="K241" s="16" t="n">
        <x:v>6195.7</x:v>
      </x:c>
      <x:c r="L241" s="16" t="n">
        <x:v>6204.4</x:v>
      </x:c>
      <x:c r="M241" s="16" t="n">
        <x:v>8.699999999999818</x:v>
      </x:c>
      <x:c r="N241" s="16" t="n">
        <x:v>16.09195402298884</x:v>
      </x:c>
      <x:c r="O241" s="12" t="str">
        <x:v>FTRL44G004</x:v>
      </x:c>
      <x:c r="P241" s="12" t="str">
        <x:v>EXVV21G039</x:v>
      </x:c>
      <x:c r="Q241" s="12" t="str"/>
      <x:c r="R241" s="12" t="str"/>
      <x:c r="S241" s="12" t="str"/>
      <x:c r="T241" s="12" t="str">
        <x:v>ABM</x:v>
      </x:c>
      <x:c r="U241" s="12" t="str"/>
      <x:c r="V241" s="12" t="str"/>
      <x:c r="W241" s="12" t="str"/>
      <x:c r="X241" s="12" t="str">
        <x:v>EXVV21</x:v>
      </x:c>
      <x:c r="Y241" s="12" t="str">
        <x:v>BADRI &amp; KAMRAN</x:v>
      </x:c>
      <x:c r="Z241" s="12" t="str"/>
      <x:c r="AA241" s="32" t="n">
        <x:f>IFERROR(VLOOKUP(G241,Master_Unit!$A$2:$N$78,7,FALSE),"")</x:f>
        <x:v>20</x:v>
      </x:c>
      <x:c r="AB241" s="32" t="n">
        <x:f>IF(OR(N241="",AA241=""),"",N241-AA241)</x:f>
        <x:v>-3.9080459770111595</x:v>
      </x:c>
      <x:c r="AC241" s="20" t="n">
        <x:f>IF(OR(N241="",AA241="",AA241=0),"",AB241/AA241)</x:f>
        <x:v>-0.195402298850558</x:v>
      </x:c>
      <x:c r="AD241" t="str">
        <x:f>IF(AA241="","NO STANDARD",IF(AC241&lt;=Config_Status!$B$2,"EFFICIENT",IF(AC241&lt;=Config_Status!$B$3,"NORMAL",IF(AC241&lt;=Config_Status!$B$4,"WARNING","OVER CONSUMPTION"))))</x:f>
        <x:v>EFFICIENT</x:v>
      </x:c>
      <x:c r="AE241" t="str">
        <x:f>IFERROR(VLOOKUP(G241,Master_Unit!$A$2:$N$78,13,FALSE),"UNIT NOT FOUND")</x:f>
        <x:v>Matched</x:v>
      </x:c>
    </x:row>
    <x:row r="242">
      <x:c r="A242" s="12" t="str">
        <x:v>FU-20260604-00241</x:v>
      </x:c>
      <x:c r="B242" s="12" t="n">
        <x:v>371</x:v>
      </x:c>
      <x:c r="C242" s="14" t="n">
        <x:v>46177</x:v>
      </x:c>
      <x:c r="D242" s="12" t="str">
        <x:v>Kamis</x:v>
      </x:c>
      <x:c r="E242" s="12" t="str">
        <x:v>06:51:00</x:v>
      </x:c>
      <x:c r="F242" s="12" t="str">
        <x:v>All Shift Day</x:v>
      </x:c>
      <x:c r="G242" s="12" t="str">
        <x:v>BDKM85G040</x:v>
      </x:c>
      <x:c r="H242" s="12" t="str">
        <x:v>Dozer</x:v>
      </x:c>
      <x:c r="I242" s="12" t="str">
        <x:v>BULDOZER KOMATSU D85ESS-2</x:v>
      </x:c>
      <x:c r="J242" s="16" t="n">
        <x:v>186</x:v>
      </x:c>
      <x:c r="K242" s="16" t="n">
        <x:v>6204.6</x:v>
      </x:c>
      <x:c r="L242" s="16" t="n">
        <x:v>6213.4</x:v>
      </x:c>
      <x:c r="M242" s="16" t="n">
        <x:v>8.799999999999272</x:v>
      </x:c>
      <x:c r="N242" s="16" t="n">
        <x:v>21.136363636365385</x:v>
      </x:c>
      <x:c r="O242" s="12" t="str">
        <x:v>FTRL44G004</x:v>
      </x:c>
      <x:c r="P242" s="12" t="str">
        <x:v>BDKM85G040</x:v>
      </x:c>
      <x:c r="Q242" s="12" t="str"/>
      <x:c r="R242" s="12" t="str"/>
      <x:c r="S242" s="12" t="str"/>
      <x:c r="T242" s="12" t="str">
        <x:v>ABM</x:v>
      </x:c>
      <x:c r="U242" s="12" t="str"/>
      <x:c r="V242" s="12" t="str"/>
      <x:c r="W242" s="12" t="str"/>
      <x:c r="X242" s="12" t="str">
        <x:v>BDKM85</x:v>
      </x:c>
      <x:c r="Y242" s="12" t="str">
        <x:v>BADRI &amp; KAMRAN</x:v>
      </x:c>
      <x:c r="Z242" s="12" t="str"/>
      <x:c r="AA242" s="32" t="n">
        <x:f>IFERROR(VLOOKUP(G242,Master_Unit!$A$2:$N$78,7,FALSE),"")</x:f>
        <x:v>30</x:v>
      </x:c>
      <x:c r="AB242" s="32" t="n">
        <x:f>IF(OR(N242="",AA242=""),"",N242-AA242)</x:f>
        <x:v>-8.863636363634615</x:v>
      </x:c>
      <x:c r="AC242" s="20" t="n">
        <x:f>IF(OR(N242="",AA242="",AA242=0),"",AB242/AA242)</x:f>
        <x:v>-0.2954545454544872</x:v>
      </x:c>
      <x:c r="AD242" t="str">
        <x:f>IF(AA242="","NO STANDARD",IF(AC242&lt;=Config_Status!$B$2,"EFFICIENT",IF(AC242&lt;=Config_Status!$B$3,"NORMAL",IF(AC242&lt;=Config_Status!$B$4,"WARNING","OVER CONSUMPTION"))))</x:f>
        <x:v>EFFICIENT</x:v>
      </x:c>
      <x:c r="AE242" t="str">
        <x:f>IFERROR(VLOOKUP(G242,Master_Unit!$A$2:$N$78,13,FALSE),"UNIT NOT FOUND")</x:f>
        <x:v>Matched</x:v>
      </x:c>
    </x:row>
    <x:row r="243">
      <x:c r="A243" s="12" t="str">
        <x:v>FU-20260604-00242</x:v>
      </x:c>
      <x:c r="B243" s="12" t="n">
        <x:v>372</x:v>
      </x:c>
      <x:c r="C243" s="14" t="n">
        <x:v>46177</x:v>
      </x:c>
      <x:c r="D243" s="12" t="str">
        <x:v>Kamis</x:v>
      </x:c>
      <x:c r="E243" s="12" t="str">
        <x:v>06:57:00</x:v>
      </x:c>
      <x:c r="F243" s="12" t="str">
        <x:v>All Shift Day</x:v>
      </x:c>
      <x:c r="G243" s="12" t="str">
        <x:v>EXVV21G037</x:v>
      </x:c>
      <x:c r="H243" s="12" t="str">
        <x:v>Excavator</x:v>
      </x:c>
      <x:c r="I243" s="12" t="str">
        <x:v>EXCAVATOR VOLVO EC210D</x:v>
      </x:c>
      <x:c r="J243" s="16" t="n">
        <x:v>105</x:v>
      </x:c>
      <x:c r="K243" s="16" t="n">
        <x:v>6785.6</x:v>
      </x:c>
      <x:c r="L243" s="16" t="n">
        <x:v>6794.1</x:v>
      </x:c>
      <x:c r="M243" s="16" t="n">
        <x:v>8.5</x:v>
      </x:c>
      <x:c r="N243" s="16" t="n">
        <x:v>12.352941176470589</x:v>
      </x:c>
      <x:c r="O243" s="12" t="str">
        <x:v>FTRL44G004</x:v>
      </x:c>
      <x:c r="P243" s="12" t="str">
        <x:v>EXVV21G037</x:v>
      </x:c>
      <x:c r="Q243" s="12" t="str"/>
      <x:c r="R243" s="12" t="str"/>
      <x:c r="S243" s="12" t="str"/>
      <x:c r="T243" s="12" t="str">
        <x:v>ABM</x:v>
      </x:c>
      <x:c r="U243" s="12" t="str"/>
      <x:c r="V243" s="12" t="str"/>
      <x:c r="W243" s="12" t="str"/>
      <x:c r="X243" s="12" t="str">
        <x:v>EXVV21</x:v>
      </x:c>
      <x:c r="Y243" s="12" t="str">
        <x:v>BADRI &amp; KAMRAN</x:v>
      </x:c>
      <x:c r="Z243" s="12" t="str"/>
      <x:c r="AA243" s="32" t="n">
        <x:f>IFERROR(VLOOKUP(G243,Master_Unit!$A$2:$N$78,7,FALSE),"")</x:f>
        <x:v>20</x:v>
      </x:c>
      <x:c r="AB243" s="32" t="n">
        <x:f>IF(OR(N243="",AA243=""),"",N243-AA243)</x:f>
        <x:v>-7.647058823529411</x:v>
      </x:c>
      <x:c r="AC243" s="20" t="n">
        <x:f>IF(OR(N243="",AA243="",AA243=0),"",AB243/AA243)</x:f>
        <x:v>-0.38235294117647056</x:v>
      </x:c>
      <x:c r="AD243" t="str">
        <x:f>IF(AA243="","NO STANDARD",IF(AC243&lt;=Config_Status!$B$2,"EFFICIENT",IF(AC243&lt;=Config_Status!$B$3,"NORMAL",IF(AC243&lt;=Config_Status!$B$4,"WARNING","OVER CONSUMPTION"))))</x:f>
        <x:v>EFFICIENT</x:v>
      </x:c>
      <x:c r="AE243" t="str">
        <x:f>IFERROR(VLOOKUP(G243,Master_Unit!$A$2:$N$78,13,FALSE),"UNIT NOT FOUND")</x:f>
        <x:v>Matched</x:v>
      </x:c>
    </x:row>
    <x:row r="244">
      <x:c r="A244" s="12" t="str">
        <x:v>FU-20260604-00243</x:v>
      </x:c>
      <x:c r="B244" s="12" t="n">
        <x:v>373</x:v>
      </x:c>
      <x:c r="C244" s="14" t="n">
        <x:v>46177</x:v>
      </x:c>
      <x:c r="D244" s="12" t="str">
        <x:v>Kamis</x:v>
      </x:c>
      <x:c r="E244" s="12" t="str">
        <x:v>07:07:00</x:v>
      </x:c>
      <x:c r="F244" s="12" t="str">
        <x:v>All Shift Day</x:v>
      </x:c>
      <x:c r="G244" s="12" t="str">
        <x:v>EXVV35G005</x:v>
      </x:c>
      <x:c r="H244" s="12" t="str">
        <x:v>Excavator</x:v>
      </x:c>
      <x:c r="I244" s="12" t="str">
        <x:v>EXCAVATOR VOLVO EC350D</x:v>
      </x:c>
      <x:c r="J244" s="16" t="n">
        <x:v>187</x:v>
      </x:c>
      <x:c r="K244" s="16" t="n">
        <x:v>5116.3</x:v>
      </x:c>
      <x:c r="L244" s="16" t="n">
        <x:v>5124.2</x:v>
      </x:c>
      <x:c r="M244" s="16" t="n">
        <x:v>7.899999999999636</x:v>
      </x:c>
      <x:c r="N244" s="16" t="n">
        <x:v>23.670886075950456</x:v>
      </x:c>
      <x:c r="O244" s="12" t="str">
        <x:v>FTRL44G004</x:v>
      </x:c>
      <x:c r="P244" s="12" t="str">
        <x:v>EXVV35G005</x:v>
      </x:c>
      <x:c r="Q244" s="12" t="str"/>
      <x:c r="R244" s="12" t="str"/>
      <x:c r="S244" s="12" t="str"/>
      <x:c r="T244" s="12" t="str">
        <x:v>ABM</x:v>
      </x:c>
      <x:c r="U244" s="12" t="str"/>
      <x:c r="V244" s="12" t="str"/>
      <x:c r="W244" s="12" t="str"/>
      <x:c r="X244" s="12" t="str">
        <x:v>EXVV35</x:v>
      </x:c>
      <x:c r="Y244" s="12" t="str">
        <x:v>BADRI &amp; KAMRAN</x:v>
      </x:c>
      <x:c r="Z244" s="12" t="str"/>
      <x:c r="AA244" s="32" t="n">
        <x:f>IFERROR(VLOOKUP(G244,Master_Unit!$A$2:$N$78,7,FALSE),"")</x:f>
        <x:v>25</x:v>
      </x:c>
      <x:c r="AB244" s="32" t="n">
        <x:f>IF(OR(N244="",AA244=""),"",N244-AA244)</x:f>
        <x:v>-1.329113924049544</x:v>
      </x:c>
      <x:c r="AC244" s="20" t="n">
        <x:f>IF(OR(N244="",AA244="",AA244=0),"",AB244/AA244)</x:f>
        <x:v>-0.05316455696198176</x:v>
      </x:c>
      <x:c r="AD244" t="str">
        <x:f>IF(AA244="","NO STANDARD",IF(AC244&lt;=Config_Status!$B$2,"EFFICIENT",IF(AC244&lt;=Config_Status!$B$3,"NORMAL",IF(AC244&lt;=Config_Status!$B$4,"WARNING","OVER CONSUMPTION"))))</x:f>
        <x:v>NORMAL</x:v>
      </x:c>
      <x:c r="AE244" t="str">
        <x:f>IFERROR(VLOOKUP(G244,Master_Unit!$A$2:$N$78,13,FALSE),"UNIT NOT FOUND")</x:f>
        <x:v>Matched</x:v>
      </x:c>
    </x:row>
    <x:row r="245">
      <x:c r="A245" s="12" t="str">
        <x:v>FU-20260604-00244</x:v>
      </x:c>
      <x:c r="B245" s="12" t="n">
        <x:v>374</x:v>
      </x:c>
      <x:c r="C245" s="14" t="n">
        <x:v>46177</x:v>
      </x:c>
      <x:c r="D245" s="12" t="str">
        <x:v>Kamis</x:v>
      </x:c>
      <x:c r="E245" s="12" t="str">
        <x:v>07:11:00</x:v>
      </x:c>
      <x:c r="F245" s="12" t="str">
        <x:v>All Shift Day</x:v>
      </x:c>
      <x:c r="G245" s="12" t="str">
        <x:v>EXVV21G035</x:v>
      </x:c>
      <x:c r="H245" s="12" t="str">
        <x:v>Excavator</x:v>
      </x:c>
      <x:c r="I245" s="12" t="str">
        <x:v>EXCAVATOR VOLVO EC210D</x:v>
      </x:c>
      <x:c r="J245" s="16" t="n">
        <x:v>140</x:v>
      </x:c>
      <x:c r="K245" s="16" t="n">
        <x:v>8312.9</x:v>
      </x:c>
      <x:c r="L245" s="16" t="n">
        <x:v>8320.6</x:v>
      </x:c>
      <x:c r="M245" s="16" t="n">
        <x:v>7.700000000000728</x:v>
      </x:c>
      <x:c r="N245" s="16" t="n">
        <x:v>18.181818181816464</x:v>
      </x:c>
      <x:c r="O245" s="12" t="str">
        <x:v>FTRL44G004</x:v>
      </x:c>
      <x:c r="P245" s="12" t="str">
        <x:v>EXVV21G035</x:v>
      </x:c>
      <x:c r="Q245" s="12" t="str"/>
      <x:c r="R245" s="12" t="str"/>
      <x:c r="S245" s="12" t="str"/>
      <x:c r="T245" s="12" t="str">
        <x:v>ABM</x:v>
      </x:c>
      <x:c r="U245" s="12" t="str"/>
      <x:c r="V245" s="12" t="str"/>
      <x:c r="W245" s="12" t="str"/>
      <x:c r="X245" s="12" t="str">
        <x:v>EXVV21</x:v>
      </x:c>
      <x:c r="Y245" s="12" t="str">
        <x:v>BADRI &amp; KAMRAN</x:v>
      </x:c>
      <x:c r="Z245" s="12" t="str"/>
      <x:c r="AA245" s="32" t="n">
        <x:f>IFERROR(VLOOKUP(G245,Master_Unit!$A$2:$N$78,7,FALSE),"")</x:f>
        <x:v>20</x:v>
      </x:c>
      <x:c r="AB245" s="32" t="n">
        <x:f>IF(OR(N245="",AA245=""),"",N245-AA245)</x:f>
        <x:v>-1.818181818183536</x:v>
      </x:c>
      <x:c r="AC245" s="20" t="n">
        <x:f>IF(OR(N245="",AA245="",AA245=0),"",AB245/AA245)</x:f>
        <x:v>-0.0909090909091768</x:v>
      </x:c>
      <x:c r="AD245" t="str">
        <x:f>IF(AA245="","NO STANDARD",IF(AC245&lt;=Config_Status!$B$2,"EFFICIENT",IF(AC245&lt;=Config_Status!$B$3,"NORMAL",IF(AC245&lt;=Config_Status!$B$4,"WARNING","OVER CONSUMPTION"))))</x:f>
        <x:v>NORMAL</x:v>
      </x:c>
      <x:c r="AE245" t="str">
        <x:f>IFERROR(VLOOKUP(G245,Master_Unit!$A$2:$N$78,13,FALSE),"UNIT NOT FOUND")</x:f>
        <x:v>Matched</x:v>
      </x:c>
    </x:row>
    <x:row r="246">
      <x:c r="A246" s="12" t="str">
        <x:v>FU-20260604-00245</x:v>
      </x:c>
      <x:c r="B246" s="12" t="n">
        <x:v>375</x:v>
      </x:c>
      <x:c r="C246" s="14" t="n">
        <x:v>46177</x:v>
      </x:c>
      <x:c r="D246" s="12" t="str">
        <x:v>Kamis</x:v>
      </x:c>
      <x:c r="E246" s="12" t="str">
        <x:v>07:14:00</x:v>
      </x:c>
      <x:c r="F246" s="12" t="str">
        <x:v>All Shift Day</x:v>
      </x:c>
      <x:c r="G246" s="12" t="str">
        <x:v>EXVV21G042</x:v>
      </x:c>
      <x:c r="H246" s="12" t="str">
        <x:v>Excavator</x:v>
      </x:c>
      <x:c r="I246" s="12" t="str">
        <x:v>EXCAVATOR VOLVO EC210D</x:v>
      </x:c>
      <x:c r="J246" s="16" t="n">
        <x:v>140</x:v>
      </x:c>
      <x:c r="K246" s="16" t="n">
        <x:v>7636.6</x:v>
      </x:c>
      <x:c r="L246" s="16" t="n">
        <x:v>7645.4</x:v>
      </x:c>
      <x:c r="M246" s="16" t="n">
        <x:v>8.799999999999272</x:v>
      </x:c>
      <x:c r="N246" s="16" t="n">
        <x:v>15.909090909092225</x:v>
      </x:c>
      <x:c r="O246" s="12" t="str">
        <x:v>FTRL44G004</x:v>
      </x:c>
      <x:c r="P246" s="12" t="str">
        <x:v>EXVV21G042</x:v>
      </x:c>
      <x:c r="Q246" s="12" t="str"/>
      <x:c r="R246" s="12" t="str"/>
      <x:c r="S246" s="12" t="str"/>
      <x:c r="T246" s="12" t="str">
        <x:v>ABM</x:v>
      </x:c>
      <x:c r="U246" s="12" t="str"/>
      <x:c r="V246" s="12" t="str"/>
      <x:c r="W246" s="12" t="str"/>
      <x:c r="X246" s="12" t="str">
        <x:v>EXVV21</x:v>
      </x:c>
      <x:c r="Y246" s="12" t="str">
        <x:v>BADRI &amp; KAMRAN</x:v>
      </x:c>
      <x:c r="Z246" s="12" t="str"/>
      <x:c r="AA246" s="32" t="n">
        <x:f>IFERROR(VLOOKUP(G246,Master_Unit!$A$2:$N$78,7,FALSE),"")</x:f>
        <x:v>20</x:v>
      </x:c>
      <x:c r="AB246" s="32" t="n">
        <x:f>IF(OR(N246="",AA246=""),"",N246-AA246)</x:f>
        <x:v>-4.090909090907775</x:v>
      </x:c>
      <x:c r="AC246" s="20" t="n">
        <x:f>IF(OR(N246="",AA246="",AA246=0),"",AB246/AA246)</x:f>
        <x:v>-0.20454545454538878</x:v>
      </x:c>
      <x:c r="AD246" t="str">
        <x:f>IF(AA246="","NO STANDARD",IF(AC246&lt;=Config_Status!$B$2,"EFFICIENT",IF(AC246&lt;=Config_Status!$B$3,"NORMAL",IF(AC246&lt;=Config_Status!$B$4,"WARNING","OVER CONSUMPTION"))))</x:f>
        <x:v>EFFICIENT</x:v>
      </x:c>
      <x:c r="AE246" t="str">
        <x:f>IFERROR(VLOOKUP(G246,Master_Unit!$A$2:$N$78,13,FALSE),"UNIT NOT FOUND")</x:f>
        <x:v>Matched</x:v>
      </x:c>
    </x:row>
    <x:row r="247">
      <x:c r="A247" s="12" t="str">
        <x:v>FU-20260604-00246</x:v>
      </x:c>
      <x:c r="B247" s="12" t="n">
        <x:v>376</x:v>
      </x:c>
      <x:c r="C247" s="14" t="n">
        <x:v>46177</x:v>
      </x:c>
      <x:c r="D247" s="12" t="str">
        <x:v>Kamis</x:v>
      </x:c>
      <x:c r="E247" s="12" t="str">
        <x:v>07:24:00</x:v>
      </x:c>
      <x:c r="F247" s="12" t="str">
        <x:v>All Shift Day</x:v>
      </x:c>
      <x:c r="G247" s="12" t="str">
        <x:v>EXVV21G036</x:v>
      </x:c>
      <x:c r="H247" s="12" t="str">
        <x:v>Excavator</x:v>
      </x:c>
      <x:c r="I247" s="12" t="str">
        <x:v>EXCAVATOR VOLVO EC210D</x:v>
      </x:c>
      <x:c r="J247" s="16" t="n">
        <x:v>185</x:v>
      </x:c>
      <x:c r="K247" s="16" t="n">
        <x:v>7474.3</x:v>
      </x:c>
      <x:c r="L247" s="16" t="n">
        <x:v>7489.8</x:v>
      </x:c>
      <x:c r="M247" s="16" t="n">
        <x:v>15.5</x:v>
      </x:c>
      <x:c r="N247" s="16" t="n">
        <x:v>11.935483870967742</x:v>
      </x:c>
      <x:c r="O247" s="12" t="str">
        <x:v>FTRL44G004</x:v>
      </x:c>
      <x:c r="P247" s="12" t="str">
        <x:v>EXVV21G036</x:v>
      </x:c>
      <x:c r="Q247" s="12" t="str"/>
      <x:c r="R247" s="12" t="str"/>
      <x:c r="S247" s="12" t="str"/>
      <x:c r="T247" s="12" t="str">
        <x:v>ABM</x:v>
      </x:c>
      <x:c r="U247" s="12" t="str"/>
      <x:c r="V247" s="12" t="str"/>
      <x:c r="W247" s="12" t="str"/>
      <x:c r="X247" s="12" t="str">
        <x:v>EXVV21</x:v>
      </x:c>
      <x:c r="Y247" s="12" t="str">
        <x:v>BADRI &amp; KAMRAN</x:v>
      </x:c>
      <x:c r="Z247" s="12" t="str"/>
      <x:c r="AA247" s="32" t="n">
        <x:f>IFERROR(VLOOKUP(G247,Master_Unit!$A$2:$N$78,7,FALSE),"")</x:f>
        <x:v>20</x:v>
      </x:c>
      <x:c r="AB247" s="32" t="n">
        <x:f>IF(OR(N247="",AA247=""),"",N247-AA247)</x:f>
        <x:v>-8.064516129032258</x:v>
      </x:c>
      <x:c r="AC247" s="20" t="n">
        <x:f>IF(OR(N247="",AA247="",AA247=0),"",AB247/AA247)</x:f>
        <x:v>-0.4032258064516129</x:v>
      </x:c>
      <x:c r="AD247" t="str">
        <x:f>IF(AA247="","NO STANDARD",IF(AC247&lt;=Config_Status!$B$2,"EFFICIENT",IF(AC247&lt;=Config_Status!$B$3,"NORMAL",IF(AC247&lt;=Config_Status!$B$4,"WARNING","OVER CONSUMPTION"))))</x:f>
        <x:v>EFFICIENT</x:v>
      </x:c>
      <x:c r="AE247" t="str">
        <x:f>IFERROR(VLOOKUP(G247,Master_Unit!$A$2:$N$78,13,FALSE),"UNIT NOT FOUND")</x:f>
        <x:v>Matched</x:v>
      </x:c>
    </x:row>
    <x:row r="248">
      <x:c r="A248" s="12" t="str">
        <x:v>FU-20260604-00247</x:v>
      </x:c>
      <x:c r="B248" s="12" t="n">
        <x:v>377</x:v>
      </x:c>
      <x:c r="C248" s="14" t="n">
        <x:v>46177</x:v>
      </x:c>
      <x:c r="D248" s="12" t="str">
        <x:v>Kamis</x:v>
      </x:c>
      <x:c r="E248" s="12" t="str">
        <x:v>07:26:00</x:v>
      </x:c>
      <x:c r="F248" s="12" t="str">
        <x:v>All Shift Day</x:v>
      </x:c>
      <x:c r="G248" s="12" t="str">
        <x:v>EXVV21G040</x:v>
      </x:c>
      <x:c r="H248" s="12" t="str">
        <x:v>Excavator</x:v>
      </x:c>
      <x:c r="I248" s="12" t="str">
        <x:v>EXCAVATOR VOLVO EC210D</x:v>
      </x:c>
      <x:c r="J248" s="16" t="n">
        <x:v>125</x:v>
      </x:c>
      <x:c r="K248" s="16" t="n">
        <x:v>6508.6</x:v>
      </x:c>
      <x:c r="L248" s="16" t="n">
        <x:v>6516.5</x:v>
      </x:c>
      <x:c r="M248" s="16" t="n">
        <x:v>7.899999999999636</x:v>
      </x:c>
      <x:c r="N248" s="16" t="n">
        <x:v>15.822784810127311</x:v>
      </x:c>
      <x:c r="O248" s="12" t="str">
        <x:v>FTRL44G004</x:v>
      </x:c>
      <x:c r="P248" s="12" t="str">
        <x:v>EXVV21G040</x:v>
      </x:c>
      <x:c r="Q248" s="12" t="str"/>
      <x:c r="R248" s="12" t="str"/>
      <x:c r="S248" s="12" t="str"/>
      <x:c r="T248" s="12" t="str">
        <x:v>ABM</x:v>
      </x:c>
      <x:c r="U248" s="12" t="str"/>
      <x:c r="V248" s="12" t="str"/>
      <x:c r="W248" s="12" t="str"/>
      <x:c r="X248" s="12" t="str">
        <x:v>EXVV21</x:v>
      </x:c>
      <x:c r="Y248" s="12" t="str">
        <x:v>BADRI &amp; KAMRAN</x:v>
      </x:c>
      <x:c r="Z248" s="12" t="str"/>
      <x:c r="AA248" s="32" t="n">
        <x:f>IFERROR(VLOOKUP(G248,Master_Unit!$A$2:$N$78,7,FALSE),"")</x:f>
        <x:v>20</x:v>
      </x:c>
      <x:c r="AB248" s="32" t="n">
        <x:f>IF(OR(N248="",AA248=""),"",N248-AA248)</x:f>
        <x:v>-4.177215189872689</x:v>
      </x:c>
      <x:c r="AC248" s="20" t="n">
        <x:f>IF(OR(N248="",AA248="",AA248=0),"",AB248/AA248)</x:f>
        <x:v>-0.20886075949363442</x:v>
      </x:c>
      <x:c r="AD248" t="str">
        <x:f>IF(AA248="","NO STANDARD",IF(AC248&lt;=Config_Status!$B$2,"EFFICIENT",IF(AC248&lt;=Config_Status!$B$3,"NORMAL",IF(AC248&lt;=Config_Status!$B$4,"WARNING","OVER CONSUMPTION"))))</x:f>
        <x:v>EFFICIENT</x:v>
      </x:c>
      <x:c r="AE248" t="str">
        <x:f>IFERROR(VLOOKUP(G248,Master_Unit!$A$2:$N$78,13,FALSE),"UNIT NOT FOUND")</x:f>
        <x:v>Matched</x:v>
      </x:c>
    </x:row>
    <x:row r="249">
      <x:c r="A249" s="12" t="str">
        <x:v>FU-20260604-00248</x:v>
      </x:c>
      <x:c r="B249" s="12" t="n">
        <x:v>378</x:v>
      </x:c>
      <x:c r="C249" s="14" t="n">
        <x:v>46177</x:v>
      </x:c>
      <x:c r="D249" s="12" t="str">
        <x:v>Kamis</x:v>
      </x:c>
      <x:c r="E249" s="12" t="str">
        <x:v>07:33:00</x:v>
      </x:c>
      <x:c r="F249" s="12" t="str">
        <x:v>All Shift Day</x:v>
      </x:c>
      <x:c r="G249" s="12" t="str">
        <x:v>EXVV35G002</x:v>
      </x:c>
      <x:c r="H249" s="12" t="str">
        <x:v>Excavator</x:v>
      </x:c>
      <x:c r="I249" s="12" t="str">
        <x:v>EXCAVATOR VOLVO EC350D</x:v>
      </x:c>
      <x:c r="J249" s="16" t="n">
        <x:v>187</x:v>
      </x:c>
      <x:c r="K249" s="16" t="n">
        <x:v>4942.5</x:v>
      </x:c>
      <x:c r="L249" s="16" t="n">
        <x:v>4951</x:v>
      </x:c>
      <x:c r="M249" s="16" t="n">
        <x:v>8.5</x:v>
      </x:c>
      <x:c r="N249" s="16" t="n">
        <x:v>22</x:v>
      </x:c>
      <x:c r="O249" s="12" t="str">
        <x:v>FTRL44G004</x:v>
      </x:c>
      <x:c r="P249" s="12" t="str">
        <x:v>EXVV35G002</x:v>
      </x:c>
      <x:c r="Q249" s="12" t="str"/>
      <x:c r="R249" s="12" t="str"/>
      <x:c r="S249" s="12" t="str"/>
      <x:c r="T249" s="12" t="str">
        <x:v>ABM</x:v>
      </x:c>
      <x:c r="U249" s="12" t="str"/>
      <x:c r="V249" s="12" t="str"/>
      <x:c r="W249" s="12" t="str"/>
      <x:c r="X249" s="12" t="str">
        <x:v>EXVV35</x:v>
      </x:c>
      <x:c r="Y249" s="12" t="str">
        <x:v>BADRI &amp; KAMRAN</x:v>
      </x:c>
      <x:c r="Z249" s="12" t="str"/>
      <x:c r="AA249" s="32" t="n">
        <x:f>IFERROR(VLOOKUP(G249,Master_Unit!$A$2:$N$78,7,FALSE),"")</x:f>
        <x:v>25</x:v>
      </x:c>
      <x:c r="AB249" s="32" t="n">
        <x:f>IF(OR(N249="",AA249=""),"",N249-AA249)</x:f>
        <x:v>-3</x:v>
      </x:c>
      <x:c r="AC249" s="20" t="n">
        <x:f>IF(OR(N249="",AA249="",AA249=0),"",AB249/AA249)</x:f>
        <x:v>-0.12</x:v>
      </x:c>
      <x:c r="AD249" t="str">
        <x:f>IF(AA249="","NO STANDARD",IF(AC249&lt;=Config_Status!$B$2,"EFFICIENT",IF(AC249&lt;=Config_Status!$B$3,"NORMAL",IF(AC249&lt;=Config_Status!$B$4,"WARNING","OVER CONSUMPTION"))))</x:f>
        <x:v>EFFICIENT</x:v>
      </x:c>
      <x:c r="AE249" t="str">
        <x:f>IFERROR(VLOOKUP(G249,Master_Unit!$A$2:$N$78,13,FALSE),"UNIT NOT FOUND")</x:f>
        <x:v>Matched</x:v>
      </x:c>
    </x:row>
    <x:row r="250">
      <x:c r="A250" s="12" t="str">
        <x:v>FU-20260604-00249</x:v>
      </x:c>
      <x:c r="B250" s="12" t="n">
        <x:v>379</x:v>
      </x:c>
      <x:c r="C250" s="14" t="n">
        <x:v>46177</x:v>
      </x:c>
      <x:c r="D250" s="12" t="str">
        <x:v>Kamis</x:v>
      </x:c>
      <x:c r="E250" s="12" t="str">
        <x:v>07:42:00</x:v>
      </x:c>
      <x:c r="F250" s="12" t="str">
        <x:v>All Shift Day</x:v>
      </x:c>
      <x:c r="G250" s="12" t="str">
        <x:v>EXVV35G006</x:v>
      </x:c>
      <x:c r="H250" s="12" t="str">
        <x:v>Excavator</x:v>
      </x:c>
      <x:c r="I250" s="12" t="str">
        <x:v>EXCAVATOR VOLVO EC350D</x:v>
      </x:c>
      <x:c r="J250" s="16" t="n">
        <x:v>186</x:v>
      </x:c>
      <x:c r="K250" s="16" t="n">
        <x:v>3092.4</x:v>
      </x:c>
      <x:c r="L250" s="16" t="n">
        <x:v>3100.6</x:v>
      </x:c>
      <x:c r="M250" s="16" t="n">
        <x:v>8.199999999999818</x:v>
      </x:c>
      <x:c r="N250" s="16" t="n">
        <x:v>22.682926829268794</x:v>
      </x:c>
      <x:c r="O250" s="12" t="str">
        <x:v>FTRL44G004</x:v>
      </x:c>
      <x:c r="P250" s="12" t="str">
        <x:v>EXVV35G006</x:v>
      </x:c>
      <x:c r="Q250" s="12" t="str"/>
      <x:c r="R250" s="12" t="str"/>
      <x:c r="S250" s="12" t="str"/>
      <x:c r="T250" s="12" t="str">
        <x:v>ABM</x:v>
      </x:c>
      <x:c r="U250" s="12" t="str"/>
      <x:c r="V250" s="12" t="str"/>
      <x:c r="W250" s="12" t="str"/>
      <x:c r="X250" s="12" t="str">
        <x:v>EXVV35</x:v>
      </x:c>
      <x:c r="Y250" s="12" t="str">
        <x:v>BADRI &amp; KAMRAN</x:v>
      </x:c>
      <x:c r="Z250" s="12" t="str"/>
      <x:c r="AA250" s="32" t="n">
        <x:f>IFERROR(VLOOKUP(G250,Master_Unit!$A$2:$N$78,7,FALSE),"")</x:f>
        <x:v>25</x:v>
      </x:c>
      <x:c r="AB250" s="32" t="n">
        <x:f>IF(OR(N250="",AA250=""),"",N250-AA250)</x:f>
        <x:v>-2.3170731707312058</x:v>
      </x:c>
      <x:c r="AC250" s="20" t="n">
        <x:f>IF(OR(N250="",AA250="",AA250=0),"",AB250/AA250)</x:f>
        <x:v>-0.09268292682924822</x:v>
      </x:c>
      <x:c r="AD250" t="str">
        <x:f>IF(AA250="","NO STANDARD",IF(AC250&lt;=Config_Status!$B$2,"EFFICIENT",IF(AC250&lt;=Config_Status!$B$3,"NORMAL",IF(AC250&lt;=Config_Status!$B$4,"WARNING","OVER CONSUMPTION"))))</x:f>
        <x:v>NORMAL</x:v>
      </x:c>
      <x:c r="AE250" t="str">
        <x:f>IFERROR(VLOOKUP(G250,Master_Unit!$A$2:$N$78,13,FALSE),"UNIT NOT FOUND")</x:f>
        <x:v>Matched</x:v>
      </x:c>
    </x:row>
    <x:row r="251">
      <x:c r="A251" s="12" t="str">
        <x:v>FU-20260604-00250</x:v>
      </x:c>
      <x:c r="B251" s="12" t="n">
        <x:v>380</x:v>
      </x:c>
      <x:c r="C251" s="14" t="n">
        <x:v>46177</x:v>
      </x:c>
      <x:c r="D251" s="12" t="str">
        <x:v>Kamis</x:v>
      </x:c>
      <x:c r="E251" s="12" t="str">
        <x:v>07:51:00</x:v>
      </x:c>
      <x:c r="F251" s="12" t="str">
        <x:v>All Shift Day</x:v>
      </x:c>
      <x:c r="G251" s="12" t="str">
        <x:v>LVTH24R024</x:v>
      </x:c>
      <x:c r="H251" s="12" t="str">
        <x:v>Light Vehicle</x:v>
      </x:c>
      <x:c r="I251" s="12" t="str">
        <x:v>LIGHT VEHICLE TOYOTA HILUX</x:v>
      </x:c>
      <x:c r="J251" s="16" t="n">
        <x:v>20</x:v>
      </x:c>
      <x:c r="K251" s="16" t="n">
        <x:v>45736</x:v>
      </x:c>
      <x:c r="L251" s="16" t="n">
        <x:v>45887</x:v>
      </x:c>
      <x:c r="M251" s="16" t="n">
        <x:v>151</x:v>
      </x:c>
      <x:c r="N251" s="16" t="n">
        <x:v>0.13245033112582782</x:v>
      </x:c>
      <x:c r="O251" s="12" t="str">
        <x:v>FTRL44G004</x:v>
      </x:c>
      <x:c r="P251" s="12" t="str">
        <x:v>LVTH24R024</x:v>
      </x:c>
      <x:c r="Q251" s="12" t="str"/>
      <x:c r="R251" s="12" t="str"/>
      <x:c r="S251" s="12" t="str"/>
      <x:c r="T251" s="12" t="str">
        <x:v>ABM</x:v>
      </x:c>
      <x:c r="U251" s="12" t="str"/>
      <x:c r="V251" s="12" t="str"/>
      <x:c r="W251" s="12" t="str"/>
      <x:c r="X251" s="12" t="str">
        <x:v>LVTH24</x:v>
      </x:c>
      <x:c r="Y251" s="12" t="str">
        <x:v>BADRI &amp; KAMRAN</x:v>
      </x:c>
      <x:c r="Z251" s="12" t="str"/>
      <x:c r="AA251" s="32" t="n">
        <x:f>IFERROR(VLOOKUP(G251,Master_Unit!$A$2:$N$78,7,FALSE),"")</x:f>
        <x:v>0.2</x:v>
      </x:c>
      <x:c r="AB251" s="32" t="n">
        <x:f>IF(OR(N251="",AA251=""),"",N251-AA251)</x:f>
        <x:v>-0.06754966887417219</x:v>
      </x:c>
      <x:c r="AC251" s="20" t="n">
        <x:f>IF(OR(N251="",AA251="",AA251=0),"",AB251/AA251)</x:f>
        <x:v>-0.33774834437086093</x:v>
      </x:c>
      <x:c r="AD251" t="str">
        <x:f>IF(AA251="","NO STANDARD",IF(AC251&lt;=Config_Status!$B$2,"EFFICIENT",IF(AC251&lt;=Config_Status!$B$3,"NORMAL",IF(AC251&lt;=Config_Status!$B$4,"WARNING","OVER CONSUMPTION"))))</x:f>
        <x:v>EFFICIENT</x:v>
      </x:c>
      <x:c r="AE251" t="str">
        <x:f>IFERROR(VLOOKUP(G251,Master_Unit!$A$2:$N$78,13,FALSE),"UNIT NOT FOUND")</x:f>
        <x:v>Matched</x:v>
      </x:c>
    </x:row>
    <x:row r="252">
      <x:c r="A252" s="12" t="str">
        <x:v>FU-20260604-00251</x:v>
      </x:c>
      <x:c r="B252" s="12" t="n">
        <x:v>381</x:v>
      </x:c>
      <x:c r="C252" s="14" t="n">
        <x:v>46177</x:v>
      </x:c>
      <x:c r="D252" s="12" t="str">
        <x:v>Kamis</x:v>
      </x:c>
      <x:c r="E252" s="12" t="str">
        <x:v>07:53:00</x:v>
      </x:c>
      <x:c r="F252" s="12" t="str">
        <x:v>All Shift Day</x:v>
      </x:c>
      <x:c r="G252" s="12" t="str">
        <x:v>WTRL44G007</x:v>
      </x:c>
      <x:c r="H252" s="12" t="str">
        <x:v>Water Truck</x:v>
      </x:c>
      <x:c r="I252" s="12" t="str">
        <x:v>WATER TRUCK RENAULT KRANGE440-P6X4 A/T</x:v>
      </x:c>
      <x:c r="J252" s="16" t="n">
        <x:v>100</x:v>
      </x:c>
      <x:c r="K252" s="16" t="n">
        <x:v>1591</x:v>
      </x:c>
      <x:c r="L252" s="16" t="n">
        <x:v>1598</x:v>
      </x:c>
      <x:c r="M252" s="16" t="n">
        <x:v>7</x:v>
      </x:c>
      <x:c r="N252" s="16" t="n">
        <x:v>14.285714285714286</x:v>
      </x:c>
      <x:c r="O252" s="12" t="str">
        <x:v>FTRL44G004</x:v>
      </x:c>
      <x:c r="P252" s="12" t="str">
        <x:v>WTRL44G007</x:v>
      </x:c>
      <x:c r="Q252" s="12" t="str"/>
      <x:c r="R252" s="12" t="str"/>
      <x:c r="S252" s="12" t="str"/>
      <x:c r="T252" s="12" t="str">
        <x:v>ABM</x:v>
      </x:c>
      <x:c r="U252" s="12" t="str"/>
      <x:c r="V252" s="12" t="str"/>
      <x:c r="W252" s="12" t="str"/>
      <x:c r="X252" s="12" t="str">
        <x:v>WTRL44</x:v>
      </x:c>
      <x:c r="Y252" s="12" t="str">
        <x:v>BADRI &amp; KAMRAN</x:v>
      </x:c>
      <x:c r="Z252" s="12" t="str"/>
      <x:c r="AA252" s="32" t="n">
        <x:f>IFERROR(VLOOKUP(G252,Master_Unit!$A$2:$N$78,7,FALSE),"")</x:f>
        <x:v>20</x:v>
      </x:c>
      <x:c r="AB252" s="32" t="n">
        <x:f>IF(OR(N252="",AA252=""),"",N252-AA252)</x:f>
        <x:v>-5.7142857142857135</x:v>
      </x:c>
      <x:c r="AC252" s="20" t="n">
        <x:f>IF(OR(N252="",AA252="",AA252=0),"",AB252/AA252)</x:f>
        <x:v>-0.2857142857142857</x:v>
      </x:c>
      <x:c r="AD252" t="str">
        <x:f>IF(AA252="","NO STANDARD",IF(AC252&lt;=Config_Status!$B$2,"EFFICIENT",IF(AC252&lt;=Config_Status!$B$3,"NORMAL",IF(AC252&lt;=Config_Status!$B$4,"WARNING","OVER CONSUMPTION"))))</x:f>
        <x:v>EFFICIENT</x:v>
      </x:c>
      <x:c r="AE252" t="str">
        <x:f>IFERROR(VLOOKUP(G252,Master_Unit!$A$2:$N$78,13,FALSE),"UNIT NOT FOUND")</x:f>
        <x:v>Matched</x:v>
      </x:c>
    </x:row>
    <x:row r="253">
      <x:c r="A253" s="12" t="str">
        <x:v>FU-20260604-00252</x:v>
      </x:c>
      <x:c r="B253" s="12" t="n">
        <x:v>382</x:v>
      </x:c>
      <x:c r="C253" s="14" t="n">
        <x:v>46177</x:v>
      </x:c>
      <x:c r="D253" s="12" t="str">
        <x:v>Kamis</x:v>
      </x:c>
      <x:c r="E253" s="12" t="str">
        <x:v>07:57:00</x:v>
      </x:c>
      <x:c r="F253" s="12" t="str">
        <x:v>All Shift Day</x:v>
      </x:c>
      <x:c r="G253" s="12" t="str">
        <x:v>STRL44G136</x:v>
      </x:c>
      <x:c r="H253" s="12" t="str">
        <x:v>Dump Truck</x:v>
      </x:c>
      <x:c r="I253" s="12" t="str">
        <x:v>DUMP TRUCK RENAULT KRANGE440-P6X4 A/T</x:v>
      </x:c>
      <x:c r="J253" s="16" t="n">
        <x:v>75</x:v>
      </x:c>
      <x:c r="K253" s="16" t="n">
        <x:v>5782</x:v>
      </x:c>
      <x:c r="L253" s="16" t="n">
        <x:v>5790</x:v>
      </x:c>
      <x:c r="M253" s="16" t="n">
        <x:v>8</x:v>
      </x:c>
      <x:c r="N253" s="16" t="n">
        <x:v>9.375</x:v>
      </x:c>
      <x:c r="O253" s="12" t="str">
        <x:v>FTRL44G004</x:v>
      </x:c>
      <x:c r="P253" s="12" t="str">
        <x:v>STRL44G136</x:v>
      </x:c>
      <x:c r="Q253" s="12" t="str"/>
      <x:c r="R253" s="12" t="str"/>
      <x:c r="S253" s="12" t="str"/>
      <x:c r="T253" s="12" t="str">
        <x:v>ABM</x:v>
      </x:c>
      <x:c r="U253" s="12" t="str"/>
      <x:c r="V253" s="12" t="str"/>
      <x:c r="W253" s="12" t="str"/>
      <x:c r="X253" s="12" t="str">
        <x:v>STRL44</x:v>
      </x:c>
      <x:c r="Y253" s="12" t="str">
        <x:v>BADRI &amp; KAMRAN</x:v>
      </x:c>
      <x:c r="Z253" s="12" t="str"/>
      <x:c r="AA253" s="32" t="n">
        <x:f>IFERROR(VLOOKUP(G253,Master_Unit!$A$2:$N$78,7,FALSE),"")</x:f>
        <x:v>20</x:v>
      </x:c>
      <x:c r="AB253" s="32" t="n">
        <x:f>IF(OR(N253="",AA253=""),"",N253-AA253)</x:f>
        <x:v>-10.625</x:v>
      </x:c>
      <x:c r="AC253" s="20" t="n">
        <x:f>IF(OR(N253="",AA253="",AA253=0),"",AB253/AA253)</x:f>
        <x:v>-0.53125</x:v>
      </x:c>
      <x:c r="AD253" t="str">
        <x:f>IF(AA253="","NO STANDARD",IF(AC253&lt;=Config_Status!$B$2,"EFFICIENT",IF(AC253&lt;=Config_Status!$B$3,"NORMAL",IF(AC253&lt;=Config_Status!$B$4,"WARNING","OVER CONSUMPTION"))))</x:f>
        <x:v>EFFICIENT</x:v>
      </x:c>
      <x:c r="AE253" t="str">
        <x:f>IFERROR(VLOOKUP(G253,Master_Unit!$A$2:$N$78,13,FALSE),"UNIT NOT FOUND")</x:f>
        <x:v>Matched</x:v>
      </x:c>
    </x:row>
    <x:row r="254">
      <x:c r="A254" s="12" t="str">
        <x:v>FU-20260604-00253</x:v>
      </x:c>
      <x:c r="B254" s="12" t="n">
        <x:v>383</x:v>
      </x:c>
      <x:c r="C254" s="14" t="n">
        <x:v>46177</x:v>
      </x:c>
      <x:c r="D254" s="12" t="str">
        <x:v>Kamis</x:v>
      </x:c>
      <x:c r="E254" s="12" t="str">
        <x:v>08:09:00</x:v>
      </x:c>
      <x:c r="F254" s="12" t="str">
        <x:v>All Shift Day</x:v>
      </x:c>
      <x:c r="G254" s="12" t="str">
        <x:v>STRL44G141</x:v>
      </x:c>
      <x:c r="H254" s="12" t="str">
        <x:v>Dump Truck</x:v>
      </x:c>
      <x:c r="I254" s="12" t="str">
        <x:v>DUMP TRUCK RENAULT KRANGE440-P6X4 A/T</x:v>
      </x:c>
      <x:c r="J254" s="16" t="n">
        <x:v>135</x:v>
      </x:c>
      <x:c r="K254" s="16" t="n">
        <x:v>3114</x:v>
      </x:c>
      <x:c r="L254" s="16" t="n">
        <x:v>3131</x:v>
      </x:c>
      <x:c r="M254" s="16" t="n">
        <x:v>17</x:v>
      </x:c>
      <x:c r="N254" s="16" t="n">
        <x:v>7.9411764705882355</x:v>
      </x:c>
      <x:c r="O254" s="12" t="str">
        <x:v>FTRL44G004</x:v>
      </x:c>
      <x:c r="P254" s="12" t="str">
        <x:v>STRL44G141</x:v>
      </x:c>
      <x:c r="Q254" s="12" t="str"/>
      <x:c r="R254" s="12" t="str"/>
      <x:c r="S254" s="12" t="str"/>
      <x:c r="T254" s="12" t="str">
        <x:v>ABM</x:v>
      </x:c>
      <x:c r="U254" s="12" t="str"/>
      <x:c r="V254" s="12" t="str"/>
      <x:c r="W254" s="12" t="str"/>
      <x:c r="X254" s="12" t="str">
        <x:v>STRL44</x:v>
      </x:c>
      <x:c r="Y254" s="12" t="str">
        <x:v>BADRI &amp; KAMRAN</x:v>
      </x:c>
      <x:c r="Z254" s="12" t="str"/>
      <x:c r="AA254" s="32" t="n">
        <x:f>IFERROR(VLOOKUP(G254,Master_Unit!$A$2:$N$78,7,FALSE),"")</x:f>
        <x:v>20</x:v>
      </x:c>
      <x:c r="AB254" s="32" t="n">
        <x:f>IF(OR(N254="",AA254=""),"",N254-AA254)</x:f>
        <x:v>-12.058823529411764</x:v>
      </x:c>
      <x:c r="AC254" s="20" t="n">
        <x:f>IF(OR(N254="",AA254="",AA254=0),"",AB254/AA254)</x:f>
        <x:v>-0.6029411764705882</x:v>
      </x:c>
      <x:c r="AD254" t="str">
        <x:f>IF(AA254="","NO STANDARD",IF(AC254&lt;=Config_Status!$B$2,"EFFICIENT",IF(AC254&lt;=Config_Status!$B$3,"NORMAL",IF(AC254&lt;=Config_Status!$B$4,"WARNING","OVER CONSUMPTION"))))</x:f>
        <x:v>EFFICIENT</x:v>
      </x:c>
      <x:c r="AE254" t="str">
        <x:f>IFERROR(VLOOKUP(G254,Master_Unit!$A$2:$N$78,13,FALSE),"UNIT NOT FOUND")</x:f>
        <x:v>Matched</x:v>
      </x:c>
    </x:row>
    <x:row r="255">
      <x:c r="A255" s="12" t="str">
        <x:v>FU-20260604-00254</x:v>
      </x:c>
      <x:c r="B255" s="12" t="n">
        <x:v>384</x:v>
      </x:c>
      <x:c r="C255" s="14" t="n">
        <x:v>46177</x:v>
      </x:c>
      <x:c r="D255" s="12" t="str">
        <x:v>Kamis</x:v>
      </x:c>
      <x:c r="E255" s="12" t="str">
        <x:v>08:15:00</x:v>
      </x:c>
      <x:c r="F255" s="12" t="str">
        <x:v>All Shift Day</x:v>
      </x:c>
      <x:c r="G255" s="12" t="str">
        <x:v>STRL44G134</x:v>
      </x:c>
      <x:c r="H255" s="12" t="str">
        <x:v>Dump Truck</x:v>
      </x:c>
      <x:c r="I255" s="12" t="str">
        <x:v>DUMP TRUCK RENAULT KRANGE440-P6X4 A/T</x:v>
      </x:c>
      <x:c r="J255" s="16" t="n">
        <x:v>62</x:v>
      </x:c>
      <x:c r="K255" s="16" t="n">
        <x:v>5622</x:v>
      </x:c>
      <x:c r="L255" s="16" t="n">
        <x:v>5631</x:v>
      </x:c>
      <x:c r="M255" s="16" t="n">
        <x:v>9</x:v>
      </x:c>
      <x:c r="N255" s="16" t="n">
        <x:v>6.888888888888889</x:v>
      </x:c>
      <x:c r="O255" s="12" t="str">
        <x:v>FTRL44G004</x:v>
      </x:c>
      <x:c r="P255" s="12" t="str">
        <x:v>STRL44G134</x:v>
      </x:c>
      <x:c r="Q255" s="12" t="str"/>
      <x:c r="R255" s="12" t="str"/>
      <x:c r="S255" s="12" t="str"/>
      <x:c r="T255" s="12" t="str">
        <x:v>ABM</x:v>
      </x:c>
      <x:c r="U255" s="12" t="str"/>
      <x:c r="V255" s="12" t="str"/>
      <x:c r="W255" s="12" t="str"/>
      <x:c r="X255" s="12" t="str">
        <x:v>STRL44</x:v>
      </x:c>
      <x:c r="Y255" s="12" t="str">
        <x:v>BADRI &amp; KAMRAN</x:v>
      </x:c>
      <x:c r="Z255" s="12" t="str"/>
      <x:c r="AA255" s="32" t="n">
        <x:f>IFERROR(VLOOKUP(G255,Master_Unit!$A$2:$N$78,7,FALSE),"")</x:f>
        <x:v>20</x:v>
      </x:c>
      <x:c r="AB255" s="32" t="n">
        <x:f>IF(OR(N255="",AA255=""),"",N255-AA255)</x:f>
        <x:v>-13.11111111111111</x:v>
      </x:c>
      <x:c r="AC255" s="20" t="n">
        <x:f>IF(OR(N255="",AA255="",AA255=0),"",AB255/AA255)</x:f>
        <x:v>-0.6555555555555556</x:v>
      </x:c>
      <x:c r="AD255" t="str">
        <x:f>IF(AA255="","NO STANDARD",IF(AC255&lt;=Config_Status!$B$2,"EFFICIENT",IF(AC255&lt;=Config_Status!$B$3,"NORMAL",IF(AC255&lt;=Config_Status!$B$4,"WARNING","OVER CONSUMPTION"))))</x:f>
        <x:v>EFFICIENT</x:v>
      </x:c>
      <x:c r="AE255" t="str">
        <x:f>IFERROR(VLOOKUP(G255,Master_Unit!$A$2:$N$78,13,FALSE),"UNIT NOT FOUND")</x:f>
        <x:v>Matched</x:v>
      </x:c>
    </x:row>
    <x:row r="256">
      <x:c r="A256" s="12" t="str">
        <x:v>FU-20260604-00255</x:v>
      </x:c>
      <x:c r="B256" s="12" t="n">
        <x:v>385</x:v>
      </x:c>
      <x:c r="C256" s="14" t="n">
        <x:v>46177</x:v>
      </x:c>
      <x:c r="D256" s="12" t="str">
        <x:v>Kamis</x:v>
      </x:c>
      <x:c r="E256" s="12" t="str">
        <x:v>08:20:00</x:v>
      </x:c>
      <x:c r="F256" s="12" t="str">
        <x:v>All Shift Day</x:v>
      </x:c>
      <x:c r="G256" s="12" t="str">
        <x:v>LVTH24R035</x:v>
      </x:c>
      <x:c r="H256" s="12" t="str">
        <x:v>Light Vehicle</x:v>
      </x:c>
      <x:c r="I256" s="12" t="str">
        <x:v>LIGHT VEHICLE TOYOTA HILUX</x:v>
      </x:c>
      <x:c r="J256" s="16" t="n">
        <x:v>20</x:v>
      </x:c>
      <x:c r="K256" s="16" t="n">
        <x:v>68934</x:v>
      </x:c>
      <x:c r="L256" s="16" t="n">
        <x:v>69131</x:v>
      </x:c>
      <x:c r="M256" s="16" t="n">
        <x:v>197</x:v>
      </x:c>
      <x:c r="N256" s="16" t="n">
        <x:v>0.10152284263959391</x:v>
      </x:c>
      <x:c r="O256" s="12" t="str">
        <x:v>FTRL44G004</x:v>
      </x:c>
      <x:c r="P256" s="12" t="str">
        <x:v>LVTH24R035</x:v>
      </x:c>
      <x:c r="Q256" s="12" t="str"/>
      <x:c r="R256" s="12" t="str"/>
      <x:c r="S256" s="12" t="str"/>
      <x:c r="T256" s="12" t="str">
        <x:v>ABM</x:v>
      </x:c>
      <x:c r="U256" s="12" t="str"/>
      <x:c r="V256" s="12" t="str"/>
      <x:c r="W256" s="12" t="str"/>
      <x:c r="X256" s="12" t="str">
        <x:v>LVTH24</x:v>
      </x:c>
      <x:c r="Y256" s="12" t="str">
        <x:v>BADRI &amp; KAMRAN</x:v>
      </x:c>
      <x:c r="Z256" s="12" t="str"/>
      <x:c r="AA256" s="32" t="n">
        <x:f>IFERROR(VLOOKUP(G256,Master_Unit!$A$2:$N$78,7,FALSE),"")</x:f>
        <x:v>0.2</x:v>
      </x:c>
      <x:c r="AB256" s="32" t="n">
        <x:f>IF(OR(N256="",AA256=""),"",N256-AA256)</x:f>
        <x:v>-0.0984771573604061</x:v>
      </x:c>
      <x:c r="AC256" s="20" t="n">
        <x:f>IF(OR(N256="",AA256="",AA256=0),"",AB256/AA256)</x:f>
        <x:v>-0.4923857868020305</x:v>
      </x:c>
      <x:c r="AD256" t="str">
        <x:f>IF(AA256="","NO STANDARD",IF(AC256&lt;=Config_Status!$B$2,"EFFICIENT",IF(AC256&lt;=Config_Status!$B$3,"NORMAL",IF(AC256&lt;=Config_Status!$B$4,"WARNING","OVER CONSUMPTION"))))</x:f>
        <x:v>EFFICIENT</x:v>
      </x:c>
      <x:c r="AE256" t="str">
        <x:f>IFERROR(VLOOKUP(G256,Master_Unit!$A$2:$N$78,13,FALSE),"UNIT NOT FOUND")</x:f>
        <x:v>Matched</x:v>
      </x:c>
    </x:row>
    <x:row r="257">
      <x:c r="A257" s="12" t="str">
        <x:v>FU-20260604-00256</x:v>
      </x:c>
      <x:c r="B257" s="12" t="n">
        <x:v>386</x:v>
      </x:c>
      <x:c r="C257" s="14" t="n">
        <x:v>46177</x:v>
      </x:c>
      <x:c r="D257" s="12" t="str">
        <x:v>Kamis</x:v>
      </x:c>
      <x:c r="E257" s="12" t="str">
        <x:v>08:21:00</x:v>
      </x:c>
      <x:c r="F257" s="12" t="str">
        <x:v>All Shift Day</x:v>
      </x:c>
      <x:c r="G257" s="12" t="str">
        <x:v>LVTH24R033</x:v>
      </x:c>
      <x:c r="H257" s="12" t="str">
        <x:v>Light Vehicle</x:v>
      </x:c>
      <x:c r="I257" s="12" t="str">
        <x:v>LIGHT VEHICLE TOYOTA HILUX</x:v>
      </x:c>
      <x:c r="J257" s="16" t="n">
        <x:v>20</x:v>
      </x:c>
      <x:c r="K257" s="16" t="n">
        <x:v>137437</x:v>
      </x:c>
      <x:c r="L257" s="16" t="n">
        <x:v>137589</x:v>
      </x:c>
      <x:c r="M257" s="16" t="n">
        <x:v>152</x:v>
      </x:c>
      <x:c r="N257" s="16" t="n">
        <x:v>0.13157894736842105</x:v>
      </x:c>
      <x:c r="O257" s="12" t="str">
        <x:v>FTRL44G004</x:v>
      </x:c>
      <x:c r="P257" s="12" t="str">
        <x:v>LVTH24R033</x:v>
      </x:c>
      <x:c r="Q257" s="12" t="str"/>
      <x:c r="R257" s="12" t="str"/>
      <x:c r="S257" s="12" t="str"/>
      <x:c r="T257" s="12" t="str">
        <x:v>ABM</x:v>
      </x:c>
      <x:c r="U257" s="12" t="str"/>
      <x:c r="V257" s="12" t="str"/>
      <x:c r="W257" s="12" t="str"/>
      <x:c r="X257" s="12" t="str">
        <x:v>LVTH24</x:v>
      </x:c>
      <x:c r="Y257" s="12" t="str">
        <x:v>BADRI &amp; KAMRAN</x:v>
      </x:c>
      <x:c r="Z257" s="12" t="str"/>
      <x:c r="AA257" s="32" t="n">
        <x:f>IFERROR(VLOOKUP(G257,Master_Unit!$A$2:$N$78,7,FALSE),"")</x:f>
        <x:v>0.2</x:v>
      </x:c>
      <x:c r="AB257" s="32" t="n">
        <x:f>IF(OR(N257="",AA257=""),"",N257-AA257)</x:f>
        <x:v>-0.06842105263157897</x:v>
      </x:c>
      <x:c r="AC257" s="20" t="n">
        <x:f>IF(OR(N257="",AA257="",AA257=0),"",AB257/AA257)</x:f>
        <x:v>-0.3421052631578948</x:v>
      </x:c>
      <x:c r="AD257" t="str">
        <x:f>IF(AA257="","NO STANDARD",IF(AC257&lt;=Config_Status!$B$2,"EFFICIENT",IF(AC257&lt;=Config_Status!$B$3,"NORMAL",IF(AC257&lt;=Config_Status!$B$4,"WARNING","OVER CONSUMPTION"))))</x:f>
        <x:v>EFFICIENT</x:v>
      </x:c>
      <x:c r="AE257" t="str">
        <x:f>IFERROR(VLOOKUP(G257,Master_Unit!$A$2:$N$78,13,FALSE),"UNIT NOT FOUND")</x:f>
        <x:v>Matched</x:v>
      </x:c>
    </x:row>
    <x:row r="258">
      <x:c r="A258" s="12" t="str">
        <x:v>FU-20260604-00257</x:v>
      </x:c>
      <x:c r="B258" s="12" t="n">
        <x:v>387</x:v>
      </x:c>
      <x:c r="C258" s="14" t="n">
        <x:v>46177</x:v>
      </x:c>
      <x:c r="D258" s="12" t="str">
        <x:v>Kamis</x:v>
      </x:c>
      <x:c r="E258" s="12" t="str">
        <x:v>08:22:00</x:v>
      </x:c>
      <x:c r="F258" s="12" t="str">
        <x:v>All Shift Day</x:v>
      </x:c>
      <x:c r="G258" s="12" t="str">
        <x:v>LVMP25R005</x:v>
      </x:c>
      <x:c r="H258" s="12" t="str">
        <x:v>Light Vehicle</x:v>
      </x:c>
      <x:c r="I258" s="12" t="str">
        <x:v>LIGHT VEHICLE MITSUBISHI PAJERO</x:v>
      </x:c>
      <x:c r="J258" s="16" t="n">
        <x:v>21</x:v>
      </x:c>
      <x:c r="K258" s="16" t="n">
        <x:v>58797</x:v>
      </x:c>
      <x:c r="L258" s="16" t="n">
        <x:v>58985</x:v>
      </x:c>
      <x:c r="M258" s="16" t="n">
        <x:v>188</x:v>
      </x:c>
      <x:c r="N258" s="16" t="n">
        <x:v>0.11170212765957446</x:v>
      </x:c>
      <x:c r="O258" s="12" t="str">
        <x:v>FTRL44G004</x:v>
      </x:c>
      <x:c r="P258" s="12" t="str">
        <x:v>LVMP25R005</x:v>
      </x:c>
      <x:c r="Q258" s="12" t="str"/>
      <x:c r="R258" s="12" t="str"/>
      <x:c r="S258" s="12" t="str"/>
      <x:c r="T258" s="12" t="str">
        <x:v>ABM</x:v>
      </x:c>
      <x:c r="U258" s="12" t="str"/>
      <x:c r="V258" s="12" t="str"/>
      <x:c r="W258" s="12" t="str"/>
      <x:c r="X258" s="12" t="str">
        <x:v>LVMP25</x:v>
      </x:c>
      <x:c r="Y258" s="12" t="str">
        <x:v>BADRI &amp; KAMRAN</x:v>
      </x:c>
      <x:c r="Z258" s="12" t="str"/>
      <x:c r="AA258" s="32" t="str">
        <x:f>IFERROR(VLOOKUP(G258,Master_Unit!$A$2:$N$78,7,FALSE),"")</x:f>
      </x:c>
      <x:c r="AB258" s="32" t="str">
        <x:f>IF(OR(N258="",AA258=""),"",N258-AA258)</x:f>
      </x:c>
      <x:c r="AC258" s="20" t="str">
        <x:f>IF(OR(N258="",AA258="",AA258=0),"",AB258/AA258)</x:f>
      </x:c>
      <x:c r="AD258" t="str">
        <x:f>IF(AA258="","NO STANDARD",IF(AC258&lt;=Config_Status!$B$2,"EFFICIENT",IF(AC258&lt;=Config_Status!$B$3,"NORMAL",IF(AC258&lt;=Config_Status!$B$4,"WARNING","OVER CONSUMPTION"))))</x:f>
        <x:v>NO STANDARD</x:v>
      </x:c>
      <x:c r="AE258" t="str">
        <x:f>IFERROR(VLOOKUP(G258,Master_Unit!$A$2:$N$78,13,FALSE),"UNIT NOT FOUND")</x:f>
        <x:v>No Standard</x:v>
      </x:c>
    </x:row>
    <x:row r="259">
      <x:c r="A259" s="12" t="str">
        <x:v>FU-20260604-00258</x:v>
      </x:c>
      <x:c r="B259" s="12" t="n">
        <x:v>388</x:v>
      </x:c>
      <x:c r="C259" s="14" t="n">
        <x:v>46177</x:v>
      </x:c>
      <x:c r="D259" s="12" t="str">
        <x:v>Kamis</x:v>
      </x:c>
      <x:c r="E259" s="12" t="str">
        <x:v>08:54:00</x:v>
      </x:c>
      <x:c r="F259" s="12" t="str">
        <x:v>All Shift Day</x:v>
      </x:c>
      <x:c r="G259" s="12" t="str">
        <x:v>EXVV21G038</x:v>
      </x:c>
      <x:c r="H259" s="12" t="str">
        <x:v>Excavator</x:v>
      </x:c>
      <x:c r="I259" s="12" t="str">
        <x:v>EXCAVATOR VOLVO EC210D</x:v>
      </x:c>
      <x:c r="J259" s="16" t="n">
        <x:v>182</x:v>
      </x:c>
      <x:c r="K259" s="16" t="n">
        <x:v>4109.4</x:v>
      </x:c>
      <x:c r="L259" s="16" t="n">
        <x:v>4136</x:v>
      </x:c>
      <x:c r="M259" s="16" t="n">
        <x:v>26.600000000000364</x:v>
      </x:c>
      <x:c r="N259" s="16" t="n">
        <x:v>6.842105263157801</x:v>
      </x:c>
      <x:c r="O259" s="12" t="str">
        <x:v>FTRL44G004</x:v>
      </x:c>
      <x:c r="P259" s="12" t="str">
        <x:v>EXVV21G038</x:v>
      </x:c>
      <x:c r="Q259" s="12" t="str"/>
      <x:c r="R259" s="12" t="str"/>
      <x:c r="S259" s="12" t="str"/>
      <x:c r="T259" s="12" t="str">
        <x:v>ABM</x:v>
      </x:c>
      <x:c r="U259" s="12" t="str"/>
      <x:c r="V259" s="12" t="str"/>
      <x:c r="W259" s="12" t="str"/>
      <x:c r="X259" s="12" t="str">
        <x:v>EXVV21</x:v>
      </x:c>
      <x:c r="Y259" s="12" t="str">
        <x:v>BADRI &amp; KAMRAN</x:v>
      </x:c>
      <x:c r="Z259" s="12" t="str"/>
      <x:c r="AA259" s="32" t="n">
        <x:f>IFERROR(VLOOKUP(G259,Master_Unit!$A$2:$N$78,7,FALSE),"")</x:f>
        <x:v>20</x:v>
      </x:c>
      <x:c r="AB259" s="32" t="n">
        <x:f>IF(OR(N259="",AA259=""),"",N259-AA259)</x:f>
        <x:v>-13.157894736842199</x:v>
      </x:c>
      <x:c r="AC259" s="20" t="n">
        <x:f>IF(OR(N259="",AA259="",AA259=0),"",AB259/AA259)</x:f>
        <x:v>-0.65789473684211</x:v>
      </x:c>
      <x:c r="AD259" t="str">
        <x:f>IF(AA259="","NO STANDARD",IF(AC259&lt;=Config_Status!$B$2,"EFFICIENT",IF(AC259&lt;=Config_Status!$B$3,"NORMAL",IF(AC259&lt;=Config_Status!$B$4,"WARNING","OVER CONSUMPTION"))))</x:f>
        <x:v>EFFICIENT</x:v>
      </x:c>
      <x:c r="AE259" t="str">
        <x:f>IFERROR(VLOOKUP(G259,Master_Unit!$A$2:$N$78,13,FALSE),"UNIT NOT FOUND")</x:f>
        <x:v>Matched</x:v>
      </x:c>
    </x:row>
    <x:row r="260">
      <x:c r="A260" s="12" t="str">
        <x:v>FU-20260604-00259</x:v>
      </x:c>
      <x:c r="B260" s="12" t="n">
        <x:v>389</x:v>
      </x:c>
      <x:c r="C260" s="14" t="n">
        <x:v>46177</x:v>
      </x:c>
      <x:c r="D260" s="12" t="str">
        <x:v>Kamis</x:v>
      </x:c>
      <x:c r="E260" s="12" t="str">
        <x:v>09:00:00</x:v>
      </x:c>
      <x:c r="F260" s="12" t="str">
        <x:v>All Shift Day</x:v>
      </x:c>
      <x:c r="G260" s="12" t="str">
        <x:v>EXVV21G041</x:v>
      </x:c>
      <x:c r="H260" s="12" t="str">
        <x:v>Excavator</x:v>
      </x:c>
      <x:c r="I260" s="12" t="str">
        <x:v>EXCAVATOR VOLVO EC210D</x:v>
      </x:c>
      <x:c r="J260" s="16" t="n">
        <x:v>182</x:v>
      </x:c>
      <x:c r="K260" s="16" t="n">
        <x:v>4433.1</x:v>
      </x:c>
      <x:c r="L260" s="16" t="n">
        <x:v>4451.6</x:v>
      </x:c>
      <x:c r="M260" s="16" t="n">
        <x:v>18.5</x:v>
      </x:c>
      <x:c r="N260" s="16" t="n">
        <x:v>9.837837837837839</x:v>
      </x:c>
      <x:c r="O260" s="12" t="str">
        <x:v>FTRL44G004</x:v>
      </x:c>
      <x:c r="P260" s="12" t="str">
        <x:v>EXVV21G041</x:v>
      </x:c>
      <x:c r="Q260" s="12" t="str"/>
      <x:c r="R260" s="12" t="str"/>
      <x:c r="S260" s="12" t="str"/>
      <x:c r="T260" s="12" t="str">
        <x:v>ABM</x:v>
      </x:c>
      <x:c r="U260" s="12" t="str"/>
      <x:c r="V260" s="12" t="str"/>
      <x:c r="W260" s="12" t="str"/>
      <x:c r="X260" s="12" t="str">
        <x:v>EXVV21</x:v>
      </x:c>
      <x:c r="Y260" s="12" t="str">
        <x:v>BADRI &amp; KAMRAN</x:v>
      </x:c>
      <x:c r="Z260" s="12" t="str"/>
      <x:c r="AA260" s="32" t="n">
        <x:f>IFERROR(VLOOKUP(G260,Master_Unit!$A$2:$N$78,7,FALSE),"")</x:f>
        <x:v>20</x:v>
      </x:c>
      <x:c r="AB260" s="32" t="n">
        <x:f>IF(OR(N260="",AA260=""),"",N260-AA260)</x:f>
        <x:v>-10.162162162162161</x:v>
      </x:c>
      <x:c r="AC260" s="20" t="n">
        <x:f>IF(OR(N260="",AA260="",AA260=0),"",AB260/AA260)</x:f>
        <x:v>-0.508108108108108</x:v>
      </x:c>
      <x:c r="AD260" t="str">
        <x:f>IF(AA260="","NO STANDARD",IF(AC260&lt;=Config_Status!$B$2,"EFFICIENT",IF(AC260&lt;=Config_Status!$B$3,"NORMAL",IF(AC260&lt;=Config_Status!$B$4,"WARNING","OVER CONSUMPTION"))))</x:f>
        <x:v>EFFICIENT</x:v>
      </x:c>
      <x:c r="AE260" t="str">
        <x:f>IFERROR(VLOOKUP(G260,Master_Unit!$A$2:$N$78,13,FALSE),"UNIT NOT FOUND")</x:f>
        <x:v>Matched</x:v>
      </x:c>
    </x:row>
    <x:row r="261">
      <x:c r="A261" s="12" t="str">
        <x:v>FU-20260604-00260</x:v>
      </x:c>
      <x:c r="B261" s="12" t="n">
        <x:v>390</x:v>
      </x:c>
      <x:c r="C261" s="14" t="n">
        <x:v>46177</x:v>
      </x:c>
      <x:c r="D261" s="12" t="str">
        <x:v>Kamis</x:v>
      </x:c>
      <x:c r="E261" s="12" t="str">
        <x:v>09:17:00</x:v>
      </x:c>
      <x:c r="F261" s="12" t="str">
        <x:v>All Shift Day</x:v>
      </x:c>
      <x:c r="G261" s="12" t="str">
        <x:v>STRL44G140</x:v>
      </x:c>
      <x:c r="H261" s="12" t="str">
        <x:v>Dump Truck</x:v>
      </x:c>
      <x:c r="I261" s="12" t="str">
        <x:v>DUMP TRUCK RENAULT KRANGE440-P6X4 A/T</x:v>
      </x:c>
      <x:c r="J261" s="16" t="n">
        <x:v>215</x:v>
      </x:c>
      <x:c r="K261" s="16" t="n">
        <x:v>5024</x:v>
      </x:c>
      <x:c r="L261" s="16" t="n">
        <x:v>5048</x:v>
      </x:c>
      <x:c r="M261" s="16" t="n">
        <x:v>24</x:v>
      </x:c>
      <x:c r="N261" s="16" t="n">
        <x:v>8.958333333333334</x:v>
      </x:c>
      <x:c r="O261" s="12" t="str">
        <x:v>FTRL44G004</x:v>
      </x:c>
      <x:c r="P261" s="12" t="str">
        <x:v>STRL44G140</x:v>
      </x:c>
      <x:c r="Q261" s="12" t="str"/>
      <x:c r="R261" s="12" t="str"/>
      <x:c r="S261" s="12" t="str"/>
      <x:c r="T261" s="12" t="str">
        <x:v>ABM</x:v>
      </x:c>
      <x:c r="U261" s="12" t="str"/>
      <x:c r="V261" s="12" t="str"/>
      <x:c r="W261" s="12" t="str"/>
      <x:c r="X261" s="12" t="str">
        <x:v>STRL44</x:v>
      </x:c>
      <x:c r="Y261" s="12" t="str">
        <x:v>BADRI &amp; KAMRAN</x:v>
      </x:c>
      <x:c r="Z261" s="12" t="str"/>
      <x:c r="AA261" s="32" t="n">
        <x:f>IFERROR(VLOOKUP(G261,Master_Unit!$A$2:$N$78,7,FALSE),"")</x:f>
        <x:v>20</x:v>
      </x:c>
      <x:c r="AB261" s="32" t="n">
        <x:f>IF(OR(N261="",AA261=""),"",N261-AA261)</x:f>
        <x:v>-11.041666666666666</x:v>
      </x:c>
      <x:c r="AC261" s="20" t="n">
        <x:f>IF(OR(N261="",AA261="",AA261=0),"",AB261/AA261)</x:f>
        <x:v>-0.5520833333333333</x:v>
      </x:c>
      <x:c r="AD261" t="str">
        <x:f>IF(AA261="","NO STANDARD",IF(AC261&lt;=Config_Status!$B$2,"EFFICIENT",IF(AC261&lt;=Config_Status!$B$3,"NORMAL",IF(AC261&lt;=Config_Status!$B$4,"WARNING","OVER CONSUMPTION"))))</x:f>
        <x:v>EFFICIENT</x:v>
      </x:c>
      <x:c r="AE261" t="str">
        <x:f>IFERROR(VLOOKUP(G261,Master_Unit!$A$2:$N$78,13,FALSE),"UNIT NOT FOUND")</x:f>
        <x:v>Matched</x:v>
      </x:c>
    </x:row>
    <x:row r="262">
      <x:c r="A262" s="12" t="str">
        <x:v>FU-20260604-00261</x:v>
      </x:c>
      <x:c r="B262" s="12" t="n">
        <x:v>391</x:v>
      </x:c>
      <x:c r="C262" s="14" t="n">
        <x:v>46177</x:v>
      </x:c>
      <x:c r="D262" s="12" t="str">
        <x:v>Kamis</x:v>
      </x:c>
      <x:c r="E262" s="12" t="str">
        <x:v>09:23:00</x:v>
      </x:c>
      <x:c r="F262" s="12" t="str">
        <x:v>All Shift Day</x:v>
      </x:c>
      <x:c r="G262" s="12" t="str">
        <x:v>STRL44G138</x:v>
      </x:c>
      <x:c r="H262" s="12" t="str">
        <x:v>Dump Truck</x:v>
      </x:c>
      <x:c r="I262" s="12" t="str">
        <x:v>DUMP TRUCK RENAULT KRANGE440-P6X4 A/T</x:v>
      </x:c>
      <x:c r="J262" s="16" t="n">
        <x:v>215</x:v>
      </x:c>
      <x:c r="K262" s="16" t="n">
        <x:v>5232</x:v>
      </x:c>
      <x:c r="L262" s="16" t="n">
        <x:v>5249</x:v>
      </x:c>
      <x:c r="M262" s="16" t="n">
        <x:v>17</x:v>
      </x:c>
      <x:c r="N262" s="16" t="n">
        <x:v>12.647058823529411</x:v>
      </x:c>
      <x:c r="O262" s="12" t="str">
        <x:v>FTRL44G004</x:v>
      </x:c>
      <x:c r="P262" s="12" t="str">
        <x:v>STRL44G138</x:v>
      </x:c>
      <x:c r="Q262" s="12" t="str"/>
      <x:c r="R262" s="12" t="str"/>
      <x:c r="S262" s="12" t="str"/>
      <x:c r="T262" s="12" t="str">
        <x:v>ABM</x:v>
      </x:c>
      <x:c r="U262" s="12" t="str"/>
      <x:c r="V262" s="12" t="str"/>
      <x:c r="W262" s="12" t="str"/>
      <x:c r="X262" s="12" t="str">
        <x:v>STRL44</x:v>
      </x:c>
      <x:c r="Y262" s="12" t="str">
        <x:v>BADRI &amp; KAMRAN</x:v>
      </x:c>
      <x:c r="Z262" s="12" t="str"/>
      <x:c r="AA262" s="32" t="n">
        <x:f>IFERROR(VLOOKUP(G262,Master_Unit!$A$2:$N$78,7,FALSE),"")</x:f>
        <x:v>20</x:v>
      </x:c>
      <x:c r="AB262" s="32" t="n">
        <x:f>IF(OR(N262="",AA262=""),"",N262-AA262)</x:f>
        <x:v>-7.352941176470589</x:v>
      </x:c>
      <x:c r="AC262" s="20" t="n">
        <x:f>IF(OR(N262="",AA262="",AA262=0),"",AB262/AA262)</x:f>
        <x:v>-0.36764705882352944</x:v>
      </x:c>
      <x:c r="AD262" t="str">
        <x:f>IF(AA262="","NO STANDARD",IF(AC262&lt;=Config_Status!$B$2,"EFFICIENT",IF(AC262&lt;=Config_Status!$B$3,"NORMAL",IF(AC262&lt;=Config_Status!$B$4,"WARNING","OVER CONSUMPTION"))))</x:f>
        <x:v>EFFICIENT</x:v>
      </x:c>
      <x:c r="AE262" t="str">
        <x:f>IFERROR(VLOOKUP(G262,Master_Unit!$A$2:$N$78,13,FALSE),"UNIT NOT FOUND")</x:f>
        <x:v>Matched</x:v>
      </x:c>
    </x:row>
    <x:row r="263">
      <x:c r="A263" s="12" t="str">
        <x:v>FU-20260604-00262</x:v>
      </x:c>
      <x:c r="B263" s="12" t="n">
        <x:v>392</x:v>
      </x:c>
      <x:c r="C263" s="14" t="n">
        <x:v>46177</x:v>
      </x:c>
      <x:c r="D263" s="12" t="str">
        <x:v>Kamis</x:v>
      </x:c>
      <x:c r="E263" s="12" t="str">
        <x:v>09:27:00</x:v>
      </x:c>
      <x:c r="F263" s="12" t="str">
        <x:v>All Shift Day</x:v>
      </x:c>
      <x:c r="G263" s="12" t="str">
        <x:v>STRL44G149</x:v>
      </x:c>
      <x:c r="H263" s="12" t="str">
        <x:v>Dump Truck</x:v>
      </x:c>
      <x:c r="I263" s="12" t="str">
        <x:v>DUMP TRUCK RENAULT KRANGE440-P6X4 A/T</x:v>
      </x:c>
      <x:c r="J263" s="16" t="n">
        <x:v>215</x:v>
      </x:c>
      <x:c r="K263" s="16" t="n">
        <x:v>4223</x:v>
      </x:c>
      <x:c r="L263" s="16" t="n">
        <x:v>4240</x:v>
      </x:c>
      <x:c r="M263" s="16" t="n">
        <x:v>17</x:v>
      </x:c>
      <x:c r="N263" s="16" t="n">
        <x:v>12.647058823529411</x:v>
      </x:c>
      <x:c r="O263" s="12" t="str">
        <x:v>FTRL44G004</x:v>
      </x:c>
      <x:c r="P263" s="12" t="str">
        <x:v>STRL44G149</x:v>
      </x:c>
      <x:c r="Q263" s="12" t="str"/>
      <x:c r="R263" s="12" t="str"/>
      <x:c r="S263" s="12" t="str"/>
      <x:c r="T263" s="12" t="str">
        <x:v>ABM</x:v>
      </x:c>
      <x:c r="U263" s="12" t="str"/>
      <x:c r="V263" s="12" t="str"/>
      <x:c r="W263" s="12" t="str"/>
      <x:c r="X263" s="12" t="str">
        <x:v>STRL44</x:v>
      </x:c>
      <x:c r="Y263" s="12" t="str">
        <x:v>BADRI &amp; KAMRAN</x:v>
      </x:c>
      <x:c r="Z263" s="12" t="str"/>
      <x:c r="AA263" s="32" t="n">
        <x:f>IFERROR(VLOOKUP(G263,Master_Unit!$A$2:$N$78,7,FALSE),"")</x:f>
        <x:v>20</x:v>
      </x:c>
      <x:c r="AB263" s="32" t="n">
        <x:f>IF(OR(N263="",AA263=""),"",N263-AA263)</x:f>
        <x:v>-7.352941176470589</x:v>
      </x:c>
      <x:c r="AC263" s="20" t="n">
        <x:f>IF(OR(N263="",AA263="",AA263=0),"",AB263/AA263)</x:f>
        <x:v>-0.36764705882352944</x:v>
      </x:c>
      <x:c r="AD263" t="str">
        <x:f>IF(AA263="","NO STANDARD",IF(AC263&lt;=Config_Status!$B$2,"EFFICIENT",IF(AC263&lt;=Config_Status!$B$3,"NORMAL",IF(AC263&lt;=Config_Status!$B$4,"WARNING","OVER CONSUMPTION"))))</x:f>
        <x:v>EFFICIENT</x:v>
      </x:c>
      <x:c r="AE263" t="str">
        <x:f>IFERROR(VLOOKUP(G263,Master_Unit!$A$2:$N$78,13,FALSE),"UNIT NOT FOUND")</x:f>
        <x:v>Matched</x:v>
      </x:c>
    </x:row>
    <x:row r="264">
      <x:c r="A264" s="12" t="str">
        <x:v>FU-20260604-00263</x:v>
      </x:c>
      <x:c r="B264" s="12" t="n">
        <x:v>393</x:v>
      </x:c>
      <x:c r="C264" s="14" t="n">
        <x:v>46177</x:v>
      </x:c>
      <x:c r="D264" s="12" t="str">
        <x:v>Kamis</x:v>
      </x:c>
      <x:c r="E264" s="12" t="str">
        <x:v>09:33:00</x:v>
      </x:c>
      <x:c r="F264" s="12" t="str">
        <x:v>All Shift Day</x:v>
      </x:c>
      <x:c r="G264" s="12" t="str">
        <x:v>STRL44G152</x:v>
      </x:c>
      <x:c r="H264" s="12" t="str">
        <x:v>Dump Truck</x:v>
      </x:c>
      <x:c r="I264" s="12" t="str">
        <x:v>DUMP TRUCK RENAULT KRANGE440-P6X4 A/T</x:v>
      </x:c>
      <x:c r="J264" s="16" t="n">
        <x:v>215</x:v>
      </x:c>
      <x:c r="K264" s="16" t="n">
        <x:v>3628</x:v>
      </x:c>
      <x:c r="L264" s="16" t="n">
        <x:v>3643</x:v>
      </x:c>
      <x:c r="M264" s="16" t="n">
        <x:v>15</x:v>
      </x:c>
      <x:c r="N264" s="16" t="n">
        <x:v>14.333333333333334</x:v>
      </x:c>
      <x:c r="O264" s="12" t="str">
        <x:v>FTRL44G004</x:v>
      </x:c>
      <x:c r="P264" s="12" t="str">
        <x:v>STRL44G152</x:v>
      </x:c>
      <x:c r="Q264" s="12" t="str"/>
      <x:c r="R264" s="12" t="str"/>
      <x:c r="S264" s="12" t="str"/>
      <x:c r="T264" s="12" t="str">
        <x:v>ABM</x:v>
      </x:c>
      <x:c r="U264" s="12" t="str"/>
      <x:c r="V264" s="12" t="str"/>
      <x:c r="W264" s="12" t="str"/>
      <x:c r="X264" s="12" t="str">
        <x:v>STRL44</x:v>
      </x:c>
      <x:c r="Y264" s="12" t="str">
        <x:v>BADRI &amp; KAMRAN</x:v>
      </x:c>
      <x:c r="Z264" s="12" t="str"/>
      <x:c r="AA264" s="32" t="n">
        <x:f>IFERROR(VLOOKUP(G264,Master_Unit!$A$2:$N$78,7,FALSE),"")</x:f>
        <x:v>20</x:v>
      </x:c>
      <x:c r="AB264" s="32" t="n">
        <x:f>IF(OR(N264="",AA264=""),"",N264-AA264)</x:f>
        <x:v>-5.666666666666666</x:v>
      </x:c>
      <x:c r="AC264" s="20" t="n">
        <x:f>IF(OR(N264="",AA264="",AA264=0),"",AB264/AA264)</x:f>
        <x:v>-0.2833333333333333</x:v>
      </x:c>
      <x:c r="AD264" t="str">
        <x:f>IF(AA264="","NO STANDARD",IF(AC264&lt;=Config_Status!$B$2,"EFFICIENT",IF(AC264&lt;=Config_Status!$B$3,"NORMAL",IF(AC264&lt;=Config_Status!$B$4,"WARNING","OVER CONSUMPTION"))))</x:f>
        <x:v>EFFICIENT</x:v>
      </x:c>
      <x:c r="AE264" t="str">
        <x:f>IFERROR(VLOOKUP(G264,Master_Unit!$A$2:$N$78,13,FALSE),"UNIT NOT FOUND")</x:f>
        <x:v>Matched</x:v>
      </x:c>
    </x:row>
    <x:row r="265">
      <x:c r="A265" s="12" t="str">
        <x:v>FU-20260604-00264</x:v>
      </x:c>
      <x:c r="B265" s="12" t="n">
        <x:v>394</x:v>
      </x:c>
      <x:c r="C265" s="14" t="n">
        <x:v>46177</x:v>
      </x:c>
      <x:c r="D265" s="12" t="str">
        <x:v>Kamis</x:v>
      </x:c>
      <x:c r="E265" s="12" t="str">
        <x:v>09:41:00</x:v>
      </x:c>
      <x:c r="F265" s="12" t="str">
        <x:v>All Shift Day</x:v>
      </x:c>
      <x:c r="G265" s="12" t="str">
        <x:v>STRL44G139</x:v>
      </x:c>
      <x:c r="H265" s="12" t="str">
        <x:v>Dump Truck</x:v>
      </x:c>
      <x:c r="I265" s="12" t="str">
        <x:v>DUMP TRUCK RENAULT KRANGE440-P6X4 A/T</x:v>
      </x:c>
      <x:c r="J265" s="16" t="n">
        <x:v>215</x:v>
      </x:c>
      <x:c r="K265" s="16" t="n">
        <x:v>4898</x:v>
      </x:c>
      <x:c r="L265" s="16" t="n">
        <x:v>4915</x:v>
      </x:c>
      <x:c r="M265" s="16" t="n">
        <x:v>17</x:v>
      </x:c>
      <x:c r="N265" s="16" t="n">
        <x:v>12.647058823529411</x:v>
      </x:c>
      <x:c r="O265" s="12" t="str">
        <x:v>FTRL44G004</x:v>
      </x:c>
      <x:c r="P265" s="12" t="str">
        <x:v>STRL44G139</x:v>
      </x:c>
      <x:c r="Q265" s="12" t="str"/>
      <x:c r="R265" s="12" t="str"/>
      <x:c r="S265" s="12" t="str"/>
      <x:c r="T265" s="12" t="str">
        <x:v>ABM</x:v>
      </x:c>
      <x:c r="U265" s="12" t="str"/>
      <x:c r="V265" s="12" t="str"/>
      <x:c r="W265" s="12" t="str"/>
      <x:c r="X265" s="12" t="str">
        <x:v>STRL44</x:v>
      </x:c>
      <x:c r="Y265" s="12" t="str">
        <x:v>BADRI &amp; KAMRAN</x:v>
      </x:c>
      <x:c r="Z265" s="12" t="str"/>
      <x:c r="AA265" s="32" t="n">
        <x:f>IFERROR(VLOOKUP(G265,Master_Unit!$A$2:$N$78,7,FALSE),"")</x:f>
        <x:v>20</x:v>
      </x:c>
      <x:c r="AB265" s="32" t="n">
        <x:f>IF(OR(N265="",AA265=""),"",N265-AA265)</x:f>
        <x:v>-7.352941176470589</x:v>
      </x:c>
      <x:c r="AC265" s="20" t="n">
        <x:f>IF(OR(N265="",AA265="",AA265=0),"",AB265/AA265)</x:f>
        <x:v>-0.36764705882352944</x:v>
      </x:c>
      <x:c r="AD265" t="str">
        <x:f>IF(AA265="","NO STANDARD",IF(AC265&lt;=Config_Status!$B$2,"EFFICIENT",IF(AC265&lt;=Config_Status!$B$3,"NORMAL",IF(AC265&lt;=Config_Status!$B$4,"WARNING","OVER CONSUMPTION"))))</x:f>
        <x:v>EFFICIENT</x:v>
      </x:c>
      <x:c r="AE265" t="str">
        <x:f>IFERROR(VLOOKUP(G265,Master_Unit!$A$2:$N$78,13,FALSE),"UNIT NOT FOUND")</x:f>
        <x:v>Matched</x:v>
      </x:c>
    </x:row>
    <x:row r="266">
      <x:c r="A266" s="12" t="str">
        <x:v>FU-20260604-00265</x:v>
      </x:c>
      <x:c r="B266" s="12" t="n">
        <x:v>395</x:v>
      </x:c>
      <x:c r="C266" s="14" t="n">
        <x:v>46177</x:v>
      </x:c>
      <x:c r="D266" s="12" t="str">
        <x:v>Kamis</x:v>
      </x:c>
      <x:c r="E266" s="12" t="str">
        <x:v>09:43:00</x:v>
      </x:c>
      <x:c r="F266" s="12" t="str">
        <x:v>All Shift Day</x:v>
      </x:c>
      <x:c r="G266" s="12" t="str">
        <x:v>STRL44G143</x:v>
      </x:c>
      <x:c r="H266" s="12" t="str">
        <x:v>Dump Truck</x:v>
      </x:c>
      <x:c r="I266" s="12" t="str">
        <x:v>DUMP TRUCK RENAULT KRANGE440-P6X4 A/T</x:v>
      </x:c>
      <x:c r="J266" s="16" t="n">
        <x:v>215</x:v>
      </x:c>
      <x:c r="K266" s="16" t="n">
        <x:v>5162</x:v>
      </x:c>
      <x:c r="L266" s="16" t="n">
        <x:v>5178</x:v>
      </x:c>
      <x:c r="M266" s="16" t="n">
        <x:v>16</x:v>
      </x:c>
      <x:c r="N266" s="16" t="n">
        <x:v>13.4375</x:v>
      </x:c>
      <x:c r="O266" s="12" t="str">
        <x:v>FTRL44G004</x:v>
      </x:c>
      <x:c r="P266" s="12" t="str">
        <x:v>STRL44G143</x:v>
      </x:c>
      <x:c r="Q266" s="12" t="str"/>
      <x:c r="R266" s="12" t="str"/>
      <x:c r="S266" s="12" t="str"/>
      <x:c r="T266" s="12" t="str">
        <x:v>ABM</x:v>
      </x:c>
      <x:c r="U266" s="12" t="str"/>
      <x:c r="V266" s="12" t="str"/>
      <x:c r="W266" s="12" t="str"/>
      <x:c r="X266" s="12" t="str">
        <x:v>STRL44</x:v>
      </x:c>
      <x:c r="Y266" s="12" t="str">
        <x:v>BADRI &amp; KAMRAN</x:v>
      </x:c>
      <x:c r="Z266" s="12" t="str"/>
      <x:c r="AA266" s="32" t="n">
        <x:f>IFERROR(VLOOKUP(G266,Master_Unit!$A$2:$N$78,7,FALSE),"")</x:f>
        <x:v>20</x:v>
      </x:c>
      <x:c r="AB266" s="32" t="n">
        <x:f>IF(OR(N266="",AA266=""),"",N266-AA266)</x:f>
        <x:v>-6.5625</x:v>
      </x:c>
      <x:c r="AC266" s="20" t="n">
        <x:f>IF(OR(N266="",AA266="",AA266=0),"",AB266/AA266)</x:f>
        <x:v>-0.328125</x:v>
      </x:c>
      <x:c r="AD266" t="str">
        <x:f>IF(AA266="","NO STANDARD",IF(AC266&lt;=Config_Status!$B$2,"EFFICIENT",IF(AC266&lt;=Config_Status!$B$3,"NORMAL",IF(AC266&lt;=Config_Status!$B$4,"WARNING","OVER CONSUMPTION"))))</x:f>
        <x:v>EFFICIENT</x:v>
      </x:c>
      <x:c r="AE266" t="str">
        <x:f>IFERROR(VLOOKUP(G266,Master_Unit!$A$2:$N$78,13,FALSE),"UNIT NOT FOUND")</x:f>
        <x:v>Matched</x:v>
      </x:c>
    </x:row>
    <x:row r="267">
      <x:c r="A267" s="12" t="str">
        <x:v>FU-20260604-00266</x:v>
      </x:c>
      <x:c r="B267" s="12" t="n">
        <x:v>396</x:v>
      </x:c>
      <x:c r="C267" s="14" t="n">
        <x:v>46177</x:v>
      </x:c>
      <x:c r="D267" s="12" t="str">
        <x:v>Kamis</x:v>
      </x:c>
      <x:c r="E267" s="12" t="str">
        <x:v>09:47:00</x:v>
      </x:c>
      <x:c r="F267" s="12" t="str">
        <x:v>All Shift Day</x:v>
      </x:c>
      <x:c r="G267" s="12" t="str">
        <x:v>LVTH24R026</x:v>
      </x:c>
      <x:c r="H267" s="12" t="str">
        <x:v>Light Vehicle</x:v>
      </x:c>
      <x:c r="I267" s="12" t="str">
        <x:v>LIGHT VEHICLE TOYOTA HILUX</x:v>
      </x:c>
      <x:c r="J267" s="16" t="n">
        <x:v>20</x:v>
      </x:c>
      <x:c r="K267" s="16" t="n">
        <x:v>58503</x:v>
      </x:c>
      <x:c r="L267" s="16" t="n">
        <x:v>58711</x:v>
      </x:c>
      <x:c r="M267" s="16" t="n">
        <x:v>208</x:v>
      </x:c>
      <x:c r="N267" s="16" t="n">
        <x:v>0.09615384615384616</x:v>
      </x:c>
      <x:c r="O267" s="12" t="str">
        <x:v>FTRL44G004</x:v>
      </x:c>
      <x:c r="P267" s="12" t="str">
        <x:v>LVTH24R026</x:v>
      </x:c>
      <x:c r="Q267" s="12" t="str"/>
      <x:c r="R267" s="12" t="str"/>
      <x:c r="S267" s="12" t="str"/>
      <x:c r="T267" s="12" t="str">
        <x:v>ABM</x:v>
      </x:c>
      <x:c r="U267" s="12" t="str"/>
      <x:c r="V267" s="12" t="str"/>
      <x:c r="W267" s="12" t="str"/>
      <x:c r="X267" s="12" t="str">
        <x:v>LVTH24</x:v>
      </x:c>
      <x:c r="Y267" s="12" t="str">
        <x:v>BADRI &amp; KAMRAN</x:v>
      </x:c>
      <x:c r="Z267" s="12" t="str"/>
      <x:c r="AA267" s="32" t="n">
        <x:f>IFERROR(VLOOKUP(G267,Master_Unit!$A$2:$N$78,7,FALSE),"")</x:f>
        <x:v>0.2</x:v>
      </x:c>
      <x:c r="AB267" s="32" t="n">
        <x:f>IF(OR(N267="",AA267=""),"",N267-AA267)</x:f>
        <x:v>-0.10384615384615385</x:v>
      </x:c>
      <x:c r="AC267" s="20" t="n">
        <x:f>IF(OR(N267="",AA267="",AA267=0),"",AB267/AA267)</x:f>
        <x:v>-0.5192307692307693</x:v>
      </x:c>
      <x:c r="AD267" t="str">
        <x:f>IF(AA267="","NO STANDARD",IF(AC267&lt;=Config_Status!$B$2,"EFFICIENT",IF(AC267&lt;=Config_Status!$B$3,"NORMAL",IF(AC267&lt;=Config_Status!$B$4,"WARNING","OVER CONSUMPTION"))))</x:f>
        <x:v>EFFICIENT</x:v>
      </x:c>
      <x:c r="AE267" t="str">
        <x:f>IFERROR(VLOOKUP(G267,Master_Unit!$A$2:$N$78,13,FALSE),"UNIT NOT FOUND")</x:f>
        <x:v>Matched</x:v>
      </x:c>
    </x:row>
    <x:row r="268">
      <x:c r="A268" s="12" t="str">
        <x:v>FU-20260604-00267</x:v>
      </x:c>
      <x:c r="B268" s="12" t="n">
        <x:v>397</x:v>
      </x:c>
      <x:c r="C268" s="14" t="n">
        <x:v>46177</x:v>
      </x:c>
      <x:c r="D268" s="12" t="str">
        <x:v>Kamis</x:v>
      </x:c>
      <x:c r="E268" s="12" t="str">
        <x:v>09:55:00</x:v>
      </x:c>
      <x:c r="F268" s="12" t="str">
        <x:v>All Shift Day</x:v>
      </x:c>
      <x:c r="G268" s="12" t="str">
        <x:v>STRL44G144</x:v>
      </x:c>
      <x:c r="H268" s="12" t="str">
        <x:v>Dump Truck</x:v>
      </x:c>
      <x:c r="I268" s="12" t="str">
        <x:v>DUMP TRUCK RENAULT KRANGE440-P6X4 A/T</x:v>
      </x:c>
      <x:c r="J268" s="16" t="n">
        <x:v>203</x:v>
      </x:c>
      <x:c r="K268" s="16" t="n">
        <x:v>1464</x:v>
      </x:c>
      <x:c r="L268" s="16" t="n">
        <x:v>1481</x:v>
      </x:c>
      <x:c r="M268" s="16" t="n">
        <x:v>17</x:v>
      </x:c>
      <x:c r="N268" s="16" t="n">
        <x:v>11.941176470588236</x:v>
      </x:c>
      <x:c r="O268" s="12" t="str">
        <x:v>FTRL44G004</x:v>
      </x:c>
      <x:c r="P268" s="12" t="str">
        <x:v>STRL44G144</x:v>
      </x:c>
      <x:c r="Q268" s="12" t="str"/>
      <x:c r="R268" s="12" t="str"/>
      <x:c r="S268" s="12" t="str"/>
      <x:c r="T268" s="12" t="str">
        <x:v>ABM</x:v>
      </x:c>
      <x:c r="U268" s="12" t="str"/>
      <x:c r="V268" s="12" t="str"/>
      <x:c r="W268" s="12" t="str"/>
      <x:c r="X268" s="12" t="str">
        <x:v>STRL44</x:v>
      </x:c>
      <x:c r="Y268" s="12" t="str">
        <x:v>BADRI &amp; KAMRAN</x:v>
      </x:c>
      <x:c r="Z268" s="12" t="str"/>
      <x:c r="AA268" s="32" t="n">
        <x:f>IFERROR(VLOOKUP(G268,Master_Unit!$A$2:$N$78,7,FALSE),"")</x:f>
        <x:v>20</x:v>
      </x:c>
      <x:c r="AB268" s="32" t="n">
        <x:f>IF(OR(N268="",AA268=""),"",N268-AA268)</x:f>
        <x:v>-8.058823529411764</x:v>
      </x:c>
      <x:c r="AC268" s="20" t="n">
        <x:f>IF(OR(N268="",AA268="",AA268=0),"",AB268/AA268)</x:f>
        <x:v>-0.40294117647058825</x:v>
      </x:c>
      <x:c r="AD268" t="str">
        <x:f>IF(AA268="","NO STANDARD",IF(AC268&lt;=Config_Status!$B$2,"EFFICIENT",IF(AC268&lt;=Config_Status!$B$3,"NORMAL",IF(AC268&lt;=Config_Status!$B$4,"WARNING","OVER CONSUMPTION"))))</x:f>
        <x:v>EFFICIENT</x:v>
      </x:c>
      <x:c r="AE268" t="str">
        <x:f>IFERROR(VLOOKUP(G268,Master_Unit!$A$2:$N$78,13,FALSE),"UNIT NOT FOUND")</x:f>
        <x:v>Matched</x:v>
      </x:c>
    </x:row>
    <x:row r="269">
      <x:c r="A269" s="12" t="str">
        <x:v>FU-20260604-00268</x:v>
      </x:c>
      <x:c r="B269" s="12" t="n">
        <x:v>398</x:v>
      </x:c>
      <x:c r="C269" s="14" t="n">
        <x:v>46177</x:v>
      </x:c>
      <x:c r="D269" s="12" t="str">
        <x:v>Kamis</x:v>
      </x:c>
      <x:c r="E269" s="12" t="str">
        <x:v>09:58:00</x:v>
      </x:c>
      <x:c r="F269" s="12" t="str">
        <x:v>All Shift Day</x:v>
      </x:c>
      <x:c r="G269" s="12" t="str">
        <x:v>STRL44G154</x:v>
      </x:c>
      <x:c r="H269" s="12" t="str">
        <x:v>Dump Truck</x:v>
      </x:c>
      <x:c r="I269" s="12" t="str">
        <x:v>DUMP TRUCK RENAULT KRANGE440-P6X4 A/T</x:v>
      </x:c>
      <x:c r="J269" s="16" t="n">
        <x:v>215</x:v>
      </x:c>
      <x:c r="K269" s="16" t="n">
        <x:v>4022</x:v>
      </x:c>
      <x:c r="L269" s="16" t="n">
        <x:v>4035</x:v>
      </x:c>
      <x:c r="M269" s="16" t="n">
        <x:v>13</x:v>
      </x:c>
      <x:c r="N269" s="16" t="n">
        <x:v>16.53846153846154</x:v>
      </x:c>
      <x:c r="O269" s="12" t="str">
        <x:v>FTRL44G004</x:v>
      </x:c>
      <x:c r="P269" s="12" t="str">
        <x:v>STRL44G154</x:v>
      </x:c>
      <x:c r="Q269" s="12" t="str"/>
      <x:c r="R269" s="12" t="str"/>
      <x:c r="S269" s="12" t="str"/>
      <x:c r="T269" s="12" t="str">
        <x:v>ABM</x:v>
      </x:c>
      <x:c r="U269" s="12" t="str"/>
      <x:c r="V269" s="12" t="str"/>
      <x:c r="W269" s="12" t="str"/>
      <x:c r="X269" s="12" t="str">
        <x:v>STRL44</x:v>
      </x:c>
      <x:c r="Y269" s="12" t="str">
        <x:v>BADRI &amp; KAMRAN</x:v>
      </x:c>
      <x:c r="Z269" s="12" t="str"/>
      <x:c r="AA269" s="32" t="n">
        <x:f>IFERROR(VLOOKUP(G269,Master_Unit!$A$2:$N$78,7,FALSE),"")</x:f>
        <x:v>20</x:v>
      </x:c>
      <x:c r="AB269" s="32" t="n">
        <x:f>IF(OR(N269="",AA269=""),"",N269-AA269)</x:f>
        <x:v>-3.46153846153846</x:v>
      </x:c>
      <x:c r="AC269" s="20" t="n">
        <x:f>IF(OR(N269="",AA269="",AA269=0),"",AB269/AA269)</x:f>
        <x:v>-0.173076923076923</x:v>
      </x:c>
      <x:c r="AD269" t="str">
        <x:f>IF(AA269="","NO STANDARD",IF(AC269&lt;=Config_Status!$B$2,"EFFICIENT",IF(AC269&lt;=Config_Status!$B$3,"NORMAL",IF(AC269&lt;=Config_Status!$B$4,"WARNING","OVER CONSUMPTION"))))</x:f>
        <x:v>EFFICIENT</x:v>
      </x:c>
      <x:c r="AE269" t="str">
        <x:f>IFERROR(VLOOKUP(G269,Master_Unit!$A$2:$N$78,13,FALSE),"UNIT NOT FOUND")</x:f>
        <x:v>Matched</x:v>
      </x:c>
    </x:row>
    <x:row r="270">
      <x:c r="A270" s="12" t="str">
        <x:v>FU-20260604-00269</x:v>
      </x:c>
      <x:c r="B270" s="12" t="n">
        <x:v>399</x:v>
      </x:c>
      <x:c r="C270" s="14" t="n">
        <x:v>46177</x:v>
      </x:c>
      <x:c r="D270" s="12" t="str">
        <x:v>Kamis</x:v>
      </x:c>
      <x:c r="E270" s="12" t="str">
        <x:v>10:01:00</x:v>
      </x:c>
      <x:c r="F270" s="12" t="str">
        <x:v>All Shift Day</x:v>
      </x:c>
      <x:c r="G270" s="12" t="str">
        <x:v>STRL44G147</x:v>
      </x:c>
      <x:c r="H270" s="12" t="str">
        <x:v>Dump Truck</x:v>
      </x:c>
      <x:c r="I270" s="12" t="str">
        <x:v>DUMP TRUCK RENAULT KRANGE440-P6X4 A/T</x:v>
      </x:c>
      <x:c r="J270" s="16" t="n">
        <x:v>215</x:v>
      </x:c>
      <x:c r="K270" s="16" t="n">
        <x:v>4946</x:v>
      </x:c>
      <x:c r="L270" s="16" t="n">
        <x:v>4962</x:v>
      </x:c>
      <x:c r="M270" s="16" t="n">
        <x:v>16</x:v>
      </x:c>
      <x:c r="N270" s="16" t="n">
        <x:v>13.4375</x:v>
      </x:c>
      <x:c r="O270" s="12" t="str">
        <x:v>FTRL44G004</x:v>
      </x:c>
      <x:c r="P270" s="12" t="str">
        <x:v>STRL44G147</x:v>
      </x:c>
      <x:c r="Q270" s="12" t="str"/>
      <x:c r="R270" s="12" t="str"/>
      <x:c r="S270" s="12" t="str"/>
      <x:c r="T270" s="12" t="str">
        <x:v>ABM</x:v>
      </x:c>
      <x:c r="U270" s="12" t="str"/>
      <x:c r="V270" s="12" t="str"/>
      <x:c r="W270" s="12" t="str"/>
      <x:c r="X270" s="12" t="str">
        <x:v>STRL44</x:v>
      </x:c>
      <x:c r="Y270" s="12" t="str">
        <x:v>BADRI &amp; KAMRAN</x:v>
      </x:c>
      <x:c r="Z270" s="12" t="str"/>
      <x:c r="AA270" s="32" t="n">
        <x:f>IFERROR(VLOOKUP(G270,Master_Unit!$A$2:$N$78,7,FALSE),"")</x:f>
        <x:v>20</x:v>
      </x:c>
      <x:c r="AB270" s="32" t="n">
        <x:f>IF(OR(N270="",AA270=""),"",N270-AA270)</x:f>
        <x:v>-6.5625</x:v>
      </x:c>
      <x:c r="AC270" s="20" t="n">
        <x:f>IF(OR(N270="",AA270="",AA270=0),"",AB270/AA270)</x:f>
        <x:v>-0.328125</x:v>
      </x:c>
      <x:c r="AD270" t="str">
        <x:f>IF(AA270="","NO STANDARD",IF(AC270&lt;=Config_Status!$B$2,"EFFICIENT",IF(AC270&lt;=Config_Status!$B$3,"NORMAL",IF(AC270&lt;=Config_Status!$B$4,"WARNING","OVER CONSUMPTION"))))</x:f>
        <x:v>EFFICIENT</x:v>
      </x:c>
      <x:c r="AE270" t="str">
        <x:f>IFERROR(VLOOKUP(G270,Master_Unit!$A$2:$N$78,13,FALSE),"UNIT NOT FOUND")</x:f>
        <x:v>Matched</x:v>
      </x:c>
    </x:row>
    <x:row r="271">
      <x:c r="A271" s="12" t="str">
        <x:v>FU-20260604-00270</x:v>
      </x:c>
      <x:c r="B271" s="12" t="n">
        <x:v>400</x:v>
      </x:c>
      <x:c r="C271" s="14" t="n">
        <x:v>46177</x:v>
      </x:c>
      <x:c r="D271" s="12" t="str">
        <x:v>Kamis</x:v>
      </x:c>
      <x:c r="E271" s="12" t="str">
        <x:v>10:07:00</x:v>
      </x:c>
      <x:c r="F271" s="12" t="str">
        <x:v>All Shift Day</x:v>
      </x:c>
      <x:c r="G271" s="12" t="str">
        <x:v>STRL44G153</x:v>
      </x:c>
      <x:c r="H271" s="12" t="str">
        <x:v>Dump Truck</x:v>
      </x:c>
      <x:c r="I271" s="12" t="str">
        <x:v>DUMP TRUCK RENAULT KRANGE440-P6X4 A/T</x:v>
      </x:c>
      <x:c r="J271" s="16" t="n">
        <x:v>215</x:v>
      </x:c>
      <x:c r="K271" s="16" t="n">
        <x:v>3920</x:v>
      </x:c>
      <x:c r="L271" s="16" t="n">
        <x:v>3939</x:v>
      </x:c>
      <x:c r="M271" s="16" t="n">
        <x:v>19</x:v>
      </x:c>
      <x:c r="N271" s="16" t="n">
        <x:v>11.31578947368421</x:v>
      </x:c>
      <x:c r="O271" s="12" t="str">
        <x:v>FTRL44G004</x:v>
      </x:c>
      <x:c r="P271" s="12" t="str">
        <x:v>STRL44G153</x:v>
      </x:c>
      <x:c r="Q271" s="12" t="str"/>
      <x:c r="R271" s="12" t="str"/>
      <x:c r="S271" s="12" t="str"/>
      <x:c r="T271" s="12" t="str">
        <x:v>ABM</x:v>
      </x:c>
      <x:c r="U271" s="12" t="str"/>
      <x:c r="V271" s="12" t="str"/>
      <x:c r="W271" s="12" t="str"/>
      <x:c r="X271" s="12" t="str">
        <x:v>STRL44</x:v>
      </x:c>
      <x:c r="Y271" s="12" t="str">
        <x:v>BADRI &amp; KAMRAN</x:v>
      </x:c>
      <x:c r="Z271" s="12" t="str"/>
      <x:c r="AA271" s="32" t="n">
        <x:f>IFERROR(VLOOKUP(G271,Master_Unit!$A$2:$N$78,7,FALSE),"")</x:f>
        <x:v>20</x:v>
      </x:c>
      <x:c r="AB271" s="32" t="n">
        <x:f>IF(OR(N271="",AA271=""),"",N271-AA271)</x:f>
        <x:v>-8.68421052631579</x:v>
      </x:c>
      <x:c r="AC271" s="20" t="n">
        <x:f>IF(OR(N271="",AA271="",AA271=0),"",AB271/AA271)</x:f>
        <x:v>-0.4342105263157895</x:v>
      </x:c>
      <x:c r="AD271" t="str">
        <x:f>IF(AA271="","NO STANDARD",IF(AC271&lt;=Config_Status!$B$2,"EFFICIENT",IF(AC271&lt;=Config_Status!$B$3,"NORMAL",IF(AC271&lt;=Config_Status!$B$4,"WARNING","OVER CONSUMPTION"))))</x:f>
        <x:v>EFFICIENT</x:v>
      </x:c>
      <x:c r="AE271" t="str">
        <x:f>IFERROR(VLOOKUP(G271,Master_Unit!$A$2:$N$78,13,FALSE),"UNIT NOT FOUND")</x:f>
        <x:v>Matched</x:v>
      </x:c>
    </x:row>
    <x:row r="272">
      <x:c r="A272" s="12" t="str">
        <x:v>FU-20260604-00271</x:v>
      </x:c>
      <x:c r="B272" s="12" t="n">
        <x:v>401</x:v>
      </x:c>
      <x:c r="C272" s="14" t="n">
        <x:v>46177</x:v>
      </x:c>
      <x:c r="D272" s="12" t="str">
        <x:v>Kamis</x:v>
      </x:c>
      <x:c r="E272" s="12" t="str">
        <x:v>10:09:00</x:v>
      </x:c>
      <x:c r="F272" s="12" t="str">
        <x:v>All Shift Day</x:v>
      </x:c>
      <x:c r="G272" s="12" t="str">
        <x:v>STRL44G142</x:v>
      </x:c>
      <x:c r="H272" s="12" t="str">
        <x:v>Dump Truck</x:v>
      </x:c>
      <x:c r="I272" s="12" t="str">
        <x:v>DUMP TRUCK RENAULT KRANGE440-P6X4 A/T</x:v>
      </x:c>
      <x:c r="J272" s="16" t="n">
        <x:v>215</x:v>
      </x:c>
      <x:c r="K272" s="16" t="n">
        <x:v>3267</x:v>
      </x:c>
      <x:c r="L272" s="16" t="n">
        <x:v>3284</x:v>
      </x:c>
      <x:c r="M272" s="16" t="n">
        <x:v>17</x:v>
      </x:c>
      <x:c r="N272" s="16" t="n">
        <x:v>12.647058823529411</x:v>
      </x:c>
      <x:c r="O272" s="12" t="str">
        <x:v>FTRL44G004</x:v>
      </x:c>
      <x:c r="P272" s="12" t="str">
        <x:v>STRL44G142</x:v>
      </x:c>
      <x:c r="Q272" s="12" t="str"/>
      <x:c r="R272" s="12" t="str"/>
      <x:c r="S272" s="12" t="str"/>
      <x:c r="T272" s="12" t="str">
        <x:v>ABM</x:v>
      </x:c>
      <x:c r="U272" s="12" t="str"/>
      <x:c r="V272" s="12" t="str"/>
      <x:c r="W272" s="12" t="str"/>
      <x:c r="X272" s="12" t="str">
        <x:v>STRL44</x:v>
      </x:c>
      <x:c r="Y272" s="12" t="str">
        <x:v>BADRI &amp; KAMRAN</x:v>
      </x:c>
      <x:c r="Z272" s="12" t="str"/>
      <x:c r="AA272" s="32" t="n">
        <x:f>IFERROR(VLOOKUP(G272,Master_Unit!$A$2:$N$78,7,FALSE),"")</x:f>
        <x:v>20</x:v>
      </x:c>
      <x:c r="AB272" s="32" t="n">
        <x:f>IF(OR(N272="",AA272=""),"",N272-AA272)</x:f>
        <x:v>-7.352941176470589</x:v>
      </x:c>
      <x:c r="AC272" s="20" t="n">
        <x:f>IF(OR(N272="",AA272="",AA272=0),"",AB272/AA272)</x:f>
        <x:v>-0.36764705882352944</x:v>
      </x:c>
      <x:c r="AD272" t="str">
        <x:f>IF(AA272="","NO STANDARD",IF(AC272&lt;=Config_Status!$B$2,"EFFICIENT",IF(AC272&lt;=Config_Status!$B$3,"NORMAL",IF(AC272&lt;=Config_Status!$B$4,"WARNING","OVER CONSUMPTION"))))</x:f>
        <x:v>EFFICIENT</x:v>
      </x:c>
      <x:c r="AE272" t="str">
        <x:f>IFERROR(VLOOKUP(G272,Master_Unit!$A$2:$N$78,13,FALSE),"UNIT NOT FOUND")</x:f>
        <x:v>Matched</x:v>
      </x:c>
    </x:row>
    <x:row r="273">
      <x:c r="A273" s="12" t="str">
        <x:v>FU-20260604-00272</x:v>
      </x:c>
      <x:c r="B273" s="12" t="n">
        <x:v>402</x:v>
      </x:c>
      <x:c r="C273" s="14" t="n">
        <x:v>46177</x:v>
      </x:c>
      <x:c r="D273" s="12" t="str">
        <x:v>Kamis</x:v>
      </x:c>
      <x:c r="E273" s="12" t="str">
        <x:v>10:12:00</x:v>
      </x:c>
      <x:c r="F273" s="12" t="str">
        <x:v>All Shift Day</x:v>
      </x:c>
      <x:c r="G273" s="12" t="str">
        <x:v>STRL44G155</x:v>
      </x:c>
      <x:c r="H273" s="12" t="str">
        <x:v>Dump Truck</x:v>
      </x:c>
      <x:c r="I273" s="12" t="str">
        <x:v>DUMP TRUCK RENAULT KRANGE440-P6X4 A/T</x:v>
      </x:c>
      <x:c r="J273" s="16" t="n">
        <x:v>215</x:v>
      </x:c>
      <x:c r="K273" s="16" t="n">
        <x:v>3896</x:v>
      </x:c>
      <x:c r="L273" s="16" t="n">
        <x:v>3908</x:v>
      </x:c>
      <x:c r="M273" s="16" t="n">
        <x:v>12</x:v>
      </x:c>
      <x:c r="N273" s="16" t="n">
        <x:v>17.916666666666668</x:v>
      </x:c>
      <x:c r="O273" s="12" t="str">
        <x:v>FTRL44G004</x:v>
      </x:c>
      <x:c r="P273" s="12" t="str">
        <x:v>STRL44G155</x:v>
      </x:c>
      <x:c r="Q273" s="12" t="str"/>
      <x:c r="R273" s="12" t="str"/>
      <x:c r="S273" s="12" t="str"/>
      <x:c r="T273" s="12" t="str">
        <x:v>ABM</x:v>
      </x:c>
      <x:c r="U273" s="12" t="str"/>
      <x:c r="V273" s="12" t="str"/>
      <x:c r="W273" s="12" t="str"/>
      <x:c r="X273" s="12" t="str">
        <x:v>STRL44</x:v>
      </x:c>
      <x:c r="Y273" s="12" t="str">
        <x:v>BADRI &amp; KAMRAN</x:v>
      </x:c>
      <x:c r="Z273" s="12" t="str"/>
      <x:c r="AA273" s="32" t="n">
        <x:f>IFERROR(VLOOKUP(G273,Master_Unit!$A$2:$N$78,7,FALSE),"")</x:f>
        <x:v>20</x:v>
      </x:c>
      <x:c r="AB273" s="32" t="n">
        <x:f>IF(OR(N273="",AA273=""),"",N273-AA273)</x:f>
        <x:v>-2.083333333333332</x:v>
      </x:c>
      <x:c r="AC273" s="20" t="n">
        <x:f>IF(OR(N273="",AA273="",AA273=0),"",AB273/AA273)</x:f>
        <x:v>-0.1041666666666666</x:v>
      </x:c>
      <x:c r="AD273" t="str">
        <x:f>IF(AA273="","NO STANDARD",IF(AC273&lt;=Config_Status!$B$2,"EFFICIENT",IF(AC273&lt;=Config_Status!$B$3,"NORMAL",IF(AC273&lt;=Config_Status!$B$4,"WARNING","OVER CONSUMPTION"))))</x:f>
        <x:v>EFFICIENT</x:v>
      </x:c>
      <x:c r="AE273" t="str">
        <x:f>IFERROR(VLOOKUP(G273,Master_Unit!$A$2:$N$78,13,FALSE),"UNIT NOT FOUND")</x:f>
        <x:v>Matched</x:v>
      </x:c>
    </x:row>
    <x:row r="274">
      <x:c r="A274" s="12" t="str">
        <x:v>FU-20260604-00273</x:v>
      </x:c>
      <x:c r="B274" s="12" t="n">
        <x:v>403</x:v>
      </x:c>
      <x:c r="C274" s="14" t="n">
        <x:v>46177</x:v>
      </x:c>
      <x:c r="D274" s="12" t="str">
        <x:v>Kamis</x:v>
      </x:c>
      <x:c r="E274" s="12" t="str">
        <x:v>10:19:00</x:v>
      </x:c>
      <x:c r="F274" s="12" t="str">
        <x:v>All Shift Day</x:v>
      </x:c>
      <x:c r="G274" s="12" t="str">
        <x:v>STRL44G157</x:v>
      </x:c>
      <x:c r="H274" s="12" t="str">
        <x:v>Dump Truck</x:v>
      </x:c>
      <x:c r="I274" s="12" t="str">
        <x:v>DUMP TRUCK RENAULT KRANGE440-P6X4 A/T</x:v>
      </x:c>
      <x:c r="J274" s="16" t="n">
        <x:v>211</x:v>
      </x:c>
      <x:c r="K274" s="16" t="n">
        <x:v>3993</x:v>
      </x:c>
      <x:c r="L274" s="16" t="n">
        <x:v>4009</x:v>
      </x:c>
      <x:c r="M274" s="16" t="n">
        <x:v>16</x:v>
      </x:c>
      <x:c r="N274" s="16" t="n">
        <x:v>13.1875</x:v>
      </x:c>
      <x:c r="O274" s="12" t="str">
        <x:v>FTRL44G004</x:v>
      </x:c>
      <x:c r="P274" s="12" t="str">
        <x:v>STRL44G157</x:v>
      </x:c>
      <x:c r="Q274" s="12" t="str"/>
      <x:c r="R274" s="12" t="str"/>
      <x:c r="S274" s="12" t="str"/>
      <x:c r="T274" s="12" t="str">
        <x:v>ABM</x:v>
      </x:c>
      <x:c r="U274" s="12" t="str"/>
      <x:c r="V274" s="12" t="str"/>
      <x:c r="W274" s="12" t="str"/>
      <x:c r="X274" s="12" t="str">
        <x:v>STRL44</x:v>
      </x:c>
      <x:c r="Y274" s="12" t="str">
        <x:v>BADRI &amp; KAMRAN</x:v>
      </x:c>
      <x:c r="Z274" s="12" t="str"/>
      <x:c r="AA274" s="32" t="n">
        <x:f>IFERROR(VLOOKUP(G274,Master_Unit!$A$2:$N$78,7,FALSE),"")</x:f>
        <x:v>20</x:v>
      </x:c>
      <x:c r="AB274" s="32" t="n">
        <x:f>IF(OR(N274="",AA274=""),"",N274-AA274)</x:f>
        <x:v>-6.8125</x:v>
      </x:c>
      <x:c r="AC274" s="20" t="n">
        <x:f>IF(OR(N274="",AA274="",AA274=0),"",AB274/AA274)</x:f>
        <x:v>-0.340625</x:v>
      </x:c>
      <x:c r="AD274" t="str">
        <x:f>IF(AA274="","NO STANDARD",IF(AC274&lt;=Config_Status!$B$2,"EFFICIENT",IF(AC274&lt;=Config_Status!$B$3,"NORMAL",IF(AC274&lt;=Config_Status!$B$4,"WARNING","OVER CONSUMPTION"))))</x:f>
        <x:v>EFFICIENT</x:v>
      </x:c>
      <x:c r="AE274" t="str">
        <x:f>IFERROR(VLOOKUP(G274,Master_Unit!$A$2:$N$78,13,FALSE),"UNIT NOT FOUND")</x:f>
        <x:v>Matched</x:v>
      </x:c>
    </x:row>
    <x:row r="275">
      <x:c r="A275" s="12" t="str">
        <x:v>FU-20260604-00274</x:v>
      </x:c>
      <x:c r="B275" s="12" t="n">
        <x:v>404</x:v>
      </x:c>
      <x:c r="C275" s="14" t="n">
        <x:v>46177</x:v>
      </x:c>
      <x:c r="D275" s="12" t="str">
        <x:v>Kamis</x:v>
      </x:c>
      <x:c r="E275" s="12" t="str">
        <x:v>10:27:00</x:v>
      </x:c>
      <x:c r="F275" s="12" t="str">
        <x:v>All Shift Day</x:v>
      </x:c>
      <x:c r="G275" s="12" t="str">
        <x:v>STRL44G151</x:v>
      </x:c>
      <x:c r="H275" s="12" t="str">
        <x:v>Dump Truck</x:v>
      </x:c>
      <x:c r="I275" s="12" t="str">
        <x:v>DUMP TRUCK RENAULT KRANGE440-P6X4 A/T</x:v>
      </x:c>
      <x:c r="J275" s="16" t="n">
        <x:v>210</x:v>
      </x:c>
      <x:c r="K275" s="16" t="n">
        <x:v>4323</x:v>
      </x:c>
      <x:c r="L275" s="16" t="n">
        <x:v>4340</x:v>
      </x:c>
      <x:c r="M275" s="16" t="n">
        <x:v>17</x:v>
      </x:c>
      <x:c r="N275" s="16" t="n">
        <x:v>12.352941176470589</x:v>
      </x:c>
      <x:c r="O275" s="12" t="str">
        <x:v>FTRL44G004</x:v>
      </x:c>
      <x:c r="P275" s="12" t="str">
        <x:v>STRL44G151</x:v>
      </x:c>
      <x:c r="Q275" s="12" t="str"/>
      <x:c r="R275" s="12" t="str"/>
      <x:c r="S275" s="12" t="str"/>
      <x:c r="T275" s="12" t="str">
        <x:v>ABM</x:v>
      </x:c>
      <x:c r="U275" s="12" t="str"/>
      <x:c r="V275" s="12" t="str"/>
      <x:c r="W275" s="12" t="str"/>
      <x:c r="X275" s="12" t="str">
        <x:v>STRL44</x:v>
      </x:c>
      <x:c r="Y275" s="12" t="str">
        <x:v>BADRI &amp; KAMRAN</x:v>
      </x:c>
      <x:c r="Z275" s="12" t="str"/>
      <x:c r="AA275" s="32" t="n">
        <x:f>IFERROR(VLOOKUP(G275,Master_Unit!$A$2:$N$78,7,FALSE),"")</x:f>
        <x:v>20</x:v>
      </x:c>
      <x:c r="AB275" s="32" t="n">
        <x:f>IF(OR(N275="",AA275=""),"",N275-AA275)</x:f>
        <x:v>-7.647058823529411</x:v>
      </x:c>
      <x:c r="AC275" s="20" t="n">
        <x:f>IF(OR(N275="",AA275="",AA275=0),"",AB275/AA275)</x:f>
        <x:v>-0.38235294117647056</x:v>
      </x:c>
      <x:c r="AD275" t="str">
        <x:f>IF(AA275="","NO STANDARD",IF(AC275&lt;=Config_Status!$B$2,"EFFICIENT",IF(AC275&lt;=Config_Status!$B$3,"NORMAL",IF(AC275&lt;=Config_Status!$B$4,"WARNING","OVER CONSUMPTION"))))</x:f>
        <x:v>EFFICIENT</x:v>
      </x:c>
      <x:c r="AE275" t="str">
        <x:f>IFERROR(VLOOKUP(G275,Master_Unit!$A$2:$N$78,13,FALSE),"UNIT NOT FOUND")</x:f>
        <x:v>Matched</x:v>
      </x:c>
    </x:row>
    <x:row r="276">
      <x:c r="A276" s="12" t="str">
        <x:v>FU-20260604-00275</x:v>
      </x:c>
      <x:c r="B276" s="12" t="n">
        <x:v>405</x:v>
      </x:c>
      <x:c r="C276" s="14" t="n">
        <x:v>46177</x:v>
      </x:c>
      <x:c r="D276" s="12" t="str">
        <x:v>Kamis</x:v>
      </x:c>
      <x:c r="E276" s="12" t="str">
        <x:v>10:36:00</x:v>
      </x:c>
      <x:c r="F276" s="12" t="str">
        <x:v>All Shift Day</x:v>
      </x:c>
      <x:c r="G276" s="12" t="str">
        <x:v>STRL44G156</x:v>
      </x:c>
      <x:c r="H276" s="12" t="str">
        <x:v>Dump Truck</x:v>
      </x:c>
      <x:c r="I276" s="12" t="str">
        <x:v>DUMP TRUCK RENAULT KRANGE440-P6X4 A/T</x:v>
      </x:c>
      <x:c r="J276" s="16" t="n">
        <x:v>215</x:v>
      </x:c>
      <x:c r="K276" s="16" t="n">
        <x:v>3700</x:v>
      </x:c>
      <x:c r="L276" s="16" t="n">
        <x:v>3717</x:v>
      </x:c>
      <x:c r="M276" s="16" t="n">
        <x:v>17</x:v>
      </x:c>
      <x:c r="N276" s="16" t="n">
        <x:v>12.647058823529411</x:v>
      </x:c>
      <x:c r="O276" s="12" t="str">
        <x:v>FTRL44G004</x:v>
      </x:c>
      <x:c r="P276" s="12" t="str">
        <x:v>STRL44G156</x:v>
      </x:c>
      <x:c r="Q276" s="12" t="str"/>
      <x:c r="R276" s="12" t="str"/>
      <x:c r="S276" s="12" t="str"/>
      <x:c r="T276" s="12" t="str">
        <x:v>ABM</x:v>
      </x:c>
      <x:c r="U276" s="12" t="str"/>
      <x:c r="V276" s="12" t="str"/>
      <x:c r="W276" s="12" t="str"/>
      <x:c r="X276" s="12" t="str">
        <x:v>STRL44</x:v>
      </x:c>
      <x:c r="Y276" s="12" t="str">
        <x:v>BADRI &amp; KAMRAN</x:v>
      </x:c>
      <x:c r="Z276" s="12" t="str"/>
      <x:c r="AA276" s="32" t="n">
        <x:f>IFERROR(VLOOKUP(G276,Master_Unit!$A$2:$N$78,7,FALSE),"")</x:f>
        <x:v>20</x:v>
      </x:c>
      <x:c r="AB276" s="32" t="n">
        <x:f>IF(OR(N276="",AA276=""),"",N276-AA276)</x:f>
        <x:v>-7.352941176470589</x:v>
      </x:c>
      <x:c r="AC276" s="20" t="n">
        <x:f>IF(OR(N276="",AA276="",AA276=0),"",AB276/AA276)</x:f>
        <x:v>-0.36764705882352944</x:v>
      </x:c>
      <x:c r="AD276" t="str">
        <x:f>IF(AA276="","NO STANDARD",IF(AC276&lt;=Config_Status!$B$2,"EFFICIENT",IF(AC276&lt;=Config_Status!$B$3,"NORMAL",IF(AC276&lt;=Config_Status!$B$4,"WARNING","OVER CONSUMPTION"))))</x:f>
        <x:v>EFFICIENT</x:v>
      </x:c>
      <x:c r="AE276" t="str">
        <x:f>IFERROR(VLOOKUP(G276,Master_Unit!$A$2:$N$78,13,FALSE),"UNIT NOT FOUND")</x:f>
        <x:v>Matched</x:v>
      </x:c>
    </x:row>
    <x:row r="277">
      <x:c r="A277" s="12" t="str">
        <x:v>FU-20260604-00276</x:v>
      </x:c>
      <x:c r="B277" s="12" t="n">
        <x:v>406</x:v>
      </x:c>
      <x:c r="C277" s="14" t="n">
        <x:v>46177</x:v>
      </x:c>
      <x:c r="D277" s="12" t="str">
        <x:v>Kamis</x:v>
      </x:c>
      <x:c r="E277" s="12" t="str">
        <x:v>11:15:00</x:v>
      </x:c>
      <x:c r="F277" s="12" t="str">
        <x:v>All Shift Day</x:v>
      </x:c>
      <x:c r="G277" s="12" t="str">
        <x:v>STRL44G145</x:v>
      </x:c>
      <x:c r="H277" s="12" t="str">
        <x:v>Dump Truck</x:v>
      </x:c>
      <x:c r="I277" s="12" t="str">
        <x:v>DUMP TRUCK RENAULT KRANGE440-P6X4 A/T</x:v>
      </x:c>
      <x:c r="J277" s="16" t="n">
        <x:v>135</x:v>
      </x:c>
      <x:c r="K277" s="16" t="n">
        <x:v>4879</x:v>
      </x:c>
      <x:c r="L277" s="16" t="n">
        <x:v>4888</x:v>
      </x:c>
      <x:c r="M277" s="16" t="n">
        <x:v>9</x:v>
      </x:c>
      <x:c r="N277" s="16" t="n">
        <x:v>15</x:v>
      </x:c>
      <x:c r="O277" s="12" t="str">
        <x:v>FTRL44G004</x:v>
      </x:c>
      <x:c r="P277" s="12" t="str">
        <x:v>STRL44G145</x:v>
      </x:c>
      <x:c r="Q277" s="12" t="str"/>
      <x:c r="R277" s="12" t="str"/>
      <x:c r="S277" s="12" t="str"/>
      <x:c r="T277" s="12" t="str">
        <x:v>ABM</x:v>
      </x:c>
      <x:c r="U277" s="12" t="str"/>
      <x:c r="V277" s="12" t="str"/>
      <x:c r="W277" s="12" t="str"/>
      <x:c r="X277" s="12" t="str">
        <x:v>STRL44</x:v>
      </x:c>
      <x:c r="Y277" s="12" t="str">
        <x:v>BADRI &amp; KAMRAN</x:v>
      </x:c>
      <x:c r="Z277" s="12" t="str"/>
      <x:c r="AA277" s="32" t="n">
        <x:f>IFERROR(VLOOKUP(G277,Master_Unit!$A$2:$N$78,7,FALSE),"")</x:f>
        <x:v>20</x:v>
      </x:c>
      <x:c r="AB277" s="32" t="n">
        <x:f>IF(OR(N277="",AA277=""),"",N277-AA277)</x:f>
        <x:v>-5</x:v>
      </x:c>
      <x:c r="AC277" s="20" t="n">
        <x:f>IF(OR(N277="",AA277="",AA277=0),"",AB277/AA277)</x:f>
        <x:v>-0.25</x:v>
      </x:c>
      <x:c r="AD277" t="str">
        <x:f>IF(AA277="","NO STANDARD",IF(AC277&lt;=Config_Status!$B$2,"EFFICIENT",IF(AC277&lt;=Config_Status!$B$3,"NORMAL",IF(AC277&lt;=Config_Status!$B$4,"WARNING","OVER CONSUMPTION"))))</x:f>
        <x:v>EFFICIENT</x:v>
      </x:c>
      <x:c r="AE277" t="str">
        <x:f>IFERROR(VLOOKUP(G277,Master_Unit!$A$2:$N$78,13,FALSE),"UNIT NOT FOUND")</x:f>
        <x:v>Matched</x:v>
      </x:c>
    </x:row>
    <x:row r="278">
      <x:c r="A278" s="12" t="str">
        <x:v>FU-20260604-00277</x:v>
      </x:c>
      <x:c r="B278" s="12" t="n">
        <x:v>407</x:v>
      </x:c>
      <x:c r="C278" s="14" t="n">
        <x:v>46177</x:v>
      </x:c>
      <x:c r="D278" s="12" t="str">
        <x:v>Kamis</x:v>
      </x:c>
      <x:c r="E278" s="12" t="str">
        <x:v>11:21:00</x:v>
      </x:c>
      <x:c r="F278" s="12" t="str">
        <x:v>All Shift Day</x:v>
      </x:c>
      <x:c r="G278" s="12" t="str">
        <x:v>STRL44G146</x:v>
      </x:c>
      <x:c r="H278" s="12" t="str">
        <x:v>Dump Truck</x:v>
      </x:c>
      <x:c r="I278" s="12" t="str">
        <x:v>DUMP TRUCK RENAULT KRANGE440-P6X4 A/T</x:v>
      </x:c>
      <x:c r="J278" s="16" t="n">
        <x:v>203</x:v>
      </x:c>
      <x:c r="K278" s="16" t="n">
        <x:v>4879</x:v>
      </x:c>
      <x:c r="L278" s="16" t="n">
        <x:v>4894</x:v>
      </x:c>
      <x:c r="M278" s="16" t="n">
        <x:v>15</x:v>
      </x:c>
      <x:c r="N278" s="16" t="n">
        <x:v>13.533333333333333</x:v>
      </x:c>
      <x:c r="O278" s="12" t="str">
        <x:v>FTRL44G004</x:v>
      </x:c>
      <x:c r="P278" s="12" t="str">
        <x:v>STRL44G146</x:v>
      </x:c>
      <x:c r="Q278" s="12" t="str"/>
      <x:c r="R278" s="12" t="str"/>
      <x:c r="S278" s="12" t="str"/>
      <x:c r="T278" s="12" t="str">
        <x:v>ABM</x:v>
      </x:c>
      <x:c r="U278" s="12" t="str"/>
      <x:c r="V278" s="12" t="str"/>
      <x:c r="W278" s="12" t="str"/>
      <x:c r="X278" s="12" t="str">
        <x:v>STRL44</x:v>
      </x:c>
      <x:c r="Y278" s="12" t="str">
        <x:v>BADRI &amp; KAMRAN</x:v>
      </x:c>
      <x:c r="Z278" s="12" t="str"/>
      <x:c r="AA278" s="32" t="n">
        <x:f>IFERROR(VLOOKUP(G278,Master_Unit!$A$2:$N$78,7,FALSE),"")</x:f>
        <x:v>20</x:v>
      </x:c>
      <x:c r="AB278" s="32" t="n">
        <x:f>IF(OR(N278="",AA278=""),"",N278-AA278)</x:f>
        <x:v>-6.466666666666667</x:v>
      </x:c>
      <x:c r="AC278" s="20" t="n">
        <x:f>IF(OR(N278="",AA278="",AA278=0),"",AB278/AA278)</x:f>
        <x:v>-0.32333333333333336</x:v>
      </x:c>
      <x:c r="AD278" t="str">
        <x:f>IF(AA278="","NO STANDARD",IF(AC278&lt;=Config_Status!$B$2,"EFFICIENT",IF(AC278&lt;=Config_Status!$B$3,"NORMAL",IF(AC278&lt;=Config_Status!$B$4,"WARNING","OVER CONSUMPTION"))))</x:f>
        <x:v>EFFICIENT</x:v>
      </x:c>
      <x:c r="AE278" t="str">
        <x:f>IFERROR(VLOOKUP(G278,Master_Unit!$A$2:$N$78,13,FALSE),"UNIT NOT FOUND")</x:f>
        <x:v>Matched</x:v>
      </x:c>
    </x:row>
    <x:row r="279">
      <x:c r="A279" s="12" t="str">
        <x:v>FU-20260604-00278</x:v>
      </x:c>
      <x:c r="B279" s="12" t="n">
        <x:v>408</x:v>
      </x:c>
      <x:c r="C279" s="14" t="n">
        <x:v>46177</x:v>
      </x:c>
      <x:c r="D279" s="12" t="str">
        <x:v>Kamis</x:v>
      </x:c>
      <x:c r="E279" s="12" t="str">
        <x:v>11:52:00</x:v>
      </x:c>
      <x:c r="F279" s="12" t="str">
        <x:v>All Shift Day</x:v>
      </x:c>
      <x:c r="G279" s="12" t="str">
        <x:v>EXVV21G032</x:v>
      </x:c>
      <x:c r="H279" s="12" t="str">
        <x:v>Excavator</x:v>
      </x:c>
      <x:c r="I279" s="12" t="str">
        <x:v>EXCAVATOR VOLVO EC210D</x:v>
      </x:c>
      <x:c r="J279" s="16" t="n">
        <x:v>69</x:v>
      </x:c>
      <x:c r="K279" s="16" t="n">
        <x:v>7429.5</x:v>
      </x:c>
      <x:c r="L279" s="16" t="n">
        <x:v>7433.9</x:v>
      </x:c>
      <x:c r="M279" s="16" t="n">
        <x:v>4.399999999999636</x:v>
      </x:c>
      <x:c r="N279" s="16" t="n">
        <x:v>15.681818181819478</x:v>
      </x:c>
      <x:c r="O279" s="12" t="str">
        <x:v>FTRL44G004</x:v>
      </x:c>
      <x:c r="P279" s="12" t="str">
        <x:v>EXVV21G032</x:v>
      </x:c>
      <x:c r="Q279" s="12" t="str"/>
      <x:c r="R279" s="12" t="str"/>
      <x:c r="S279" s="12" t="str"/>
      <x:c r="T279" s="12" t="str">
        <x:v>ABM</x:v>
      </x:c>
      <x:c r="U279" s="12" t="str"/>
      <x:c r="V279" s="12" t="str"/>
      <x:c r="W279" s="12" t="str"/>
      <x:c r="X279" s="12" t="str">
        <x:v>EXVV21</x:v>
      </x:c>
      <x:c r="Y279" s="12" t="str">
        <x:v>BADRI &amp; KAMRAN</x:v>
      </x:c>
      <x:c r="Z279" s="12" t="str"/>
      <x:c r="AA279" s="32" t="n">
        <x:f>IFERROR(VLOOKUP(G279,Master_Unit!$A$2:$N$78,7,FALSE),"")</x:f>
        <x:v>20</x:v>
      </x:c>
      <x:c r="AB279" s="32" t="n">
        <x:f>IF(OR(N279="",AA279=""),"",N279-AA279)</x:f>
        <x:v>-4.318181818180522</x:v>
      </x:c>
      <x:c r="AC279" s="20" t="n">
        <x:f>IF(OR(N279="",AA279="",AA279=0),"",AB279/AA279)</x:f>
        <x:v>-0.21590909090902607</x:v>
      </x:c>
      <x:c r="AD279" t="str">
        <x:f>IF(AA279="","NO STANDARD",IF(AC279&lt;=Config_Status!$B$2,"EFFICIENT",IF(AC279&lt;=Config_Status!$B$3,"NORMAL",IF(AC279&lt;=Config_Status!$B$4,"WARNING","OVER CONSUMPTION"))))</x:f>
        <x:v>EFFICIENT</x:v>
      </x:c>
      <x:c r="AE279" t="str">
        <x:f>IFERROR(VLOOKUP(G279,Master_Unit!$A$2:$N$78,13,FALSE),"UNIT NOT FOUND")</x:f>
        <x:v>Matched</x:v>
      </x:c>
    </x:row>
    <x:row r="280">
      <x:c r="A280" s="12" t="str">
        <x:v>FU-20260604-00279</x:v>
      </x:c>
      <x:c r="B280" s="12" t="n">
        <x:v>409</x:v>
      </x:c>
      <x:c r="C280" s="14" t="n">
        <x:v>46177</x:v>
      </x:c>
      <x:c r="D280" s="12" t="str">
        <x:v>Kamis</x:v>
      </x:c>
      <x:c r="E280" s="12" t="str">
        <x:v>12:02:00</x:v>
      </x:c>
      <x:c r="F280" s="12" t="str">
        <x:v>All Shift Day</x:v>
      </x:c>
      <x:c r="G280" s="12" t="str">
        <x:v>TLPT14G001</x:v>
      </x:c>
      <x:c r="H280" s="12" t="str">
        <x:v>Other</x:v>
      </x:c>
      <x:c r="I280" s="12" t="str">
        <x:v>TOWERLAMP PATRIA LS4-1400</x:v>
      </x:c>
      <x:c r="J280" s="16" t="n">
        <x:v>9</x:v>
      </x:c>
      <x:c r="K280" s="16" t="n">
        <x:v>17664</x:v>
      </x:c>
      <x:c r="L280" s="16" t="n">
        <x:v>17729.7</x:v>
      </x:c>
      <x:c r="M280" s="16" t="n">
        <x:v>65.70000000000073</x:v>
      </x:c>
      <x:c r="N280" s="16" t="n">
        <x:v>0.1369863013698615</x:v>
      </x:c>
      <x:c r="O280" s="12" t="str">
        <x:v>FTRL44G004</x:v>
      </x:c>
      <x:c r="P280" s="12" t="str">
        <x:v>TLPT14G001</x:v>
      </x:c>
      <x:c r="Q280" s="12" t="str"/>
      <x:c r="R280" s="12" t="str"/>
      <x:c r="S280" s="12" t="str"/>
      <x:c r="T280" s="12" t="str">
        <x:v>ABM</x:v>
      </x:c>
      <x:c r="U280" s="12" t="str"/>
      <x:c r="V280" s="12" t="str"/>
      <x:c r="W280" s="12" t="str"/>
      <x:c r="X280" s="12" t="str">
        <x:v>TLPT14</x:v>
      </x:c>
      <x:c r="Y280" s="12" t="str">
        <x:v>BADRI &amp; KAMRAN</x:v>
      </x:c>
      <x:c r="Z280" s="12" t="str"/>
      <x:c r="AA280" s="32" t="str">
        <x:f>IFERROR(VLOOKUP(G280,Master_Unit!$A$2:$N$78,7,FALSE),"")</x:f>
      </x:c>
      <x:c r="AB280" s="32" t="str">
        <x:f>IF(OR(N280="",AA280=""),"",N280-AA280)</x:f>
      </x:c>
      <x:c r="AC280" s="20" t="str">
        <x:f>IF(OR(N280="",AA280="",AA280=0),"",AB280/AA280)</x:f>
      </x:c>
      <x:c r="AD280" t="str">
        <x:f>IF(AA280="","NO STANDARD",IF(AC280&lt;=Config_Status!$B$2,"EFFICIENT",IF(AC280&lt;=Config_Status!$B$3,"NORMAL",IF(AC280&lt;=Config_Status!$B$4,"WARNING","OVER CONSUMPTION"))))</x:f>
        <x:v>NO STANDARD</x:v>
      </x:c>
      <x:c r="AE280" t="str">
        <x:f>IFERROR(VLOOKUP(G280,Master_Unit!$A$2:$N$78,13,FALSE),"UNIT NOT FOUND")</x:f>
        <x:v>No Standard</x:v>
      </x:c>
    </x:row>
    <x:row r="281">
      <x:c r="A281" s="12" t="str">
        <x:v>FU-20260604-00280</x:v>
      </x:c>
      <x:c r="B281" s="12" t="n">
        <x:v>410</x:v>
      </x:c>
      <x:c r="C281" s="14" t="n">
        <x:v>46177</x:v>
      </x:c>
      <x:c r="D281" s="12" t="str">
        <x:v>Kamis</x:v>
      </x:c>
      <x:c r="E281" s="12" t="str">
        <x:v>12:12:00</x:v>
      </x:c>
      <x:c r="F281" s="12" t="str">
        <x:v>All Shift Day</x:v>
      </x:c>
      <x:c r="G281" s="12" t="str">
        <x:v>GSHT25G001</x:v>
      </x:c>
      <x:c r="H281" s="12" t="str">
        <x:v>Genset</x:v>
      </x:c>
      <x:c r="I281" s="12" t="str">
        <x:v>GENSET HARTECH HT-250-V</x:v>
      </x:c>
      <x:c r="J281" s="16" t="n">
        <x:v>436</x:v>
      </x:c>
      <x:c r="K281" s="16" t="n">
        <x:v>1754.15</x:v>
      </x:c>
      <x:c r="L281" s="16" t="n">
        <x:v>1778.17</x:v>
      </x:c>
      <x:c r="M281" s="16" t="n">
        <x:v>24.019999999999982</x:v>
      </x:c>
      <x:c r="N281" s="16" t="n">
        <x:v>18.15154038301417</x:v>
      </x:c>
      <x:c r="O281" s="12" t="str">
        <x:v>FTRL44G004</x:v>
      </x:c>
      <x:c r="P281" s="12" t="str">
        <x:v>GSHT25G001</x:v>
      </x:c>
      <x:c r="Q281" s="12" t="str"/>
      <x:c r="R281" s="12" t="str"/>
      <x:c r="S281" s="12" t="str"/>
      <x:c r="T281" s="12" t="str">
        <x:v>ABM</x:v>
      </x:c>
      <x:c r="U281" s="12" t="str"/>
      <x:c r="V281" s="12" t="str"/>
      <x:c r="W281" s="12" t="str"/>
      <x:c r="X281" s="12" t="str">
        <x:v>GSHT25</x:v>
      </x:c>
      <x:c r="Y281" s="12" t="str">
        <x:v>BADRI &amp; KAMRAN</x:v>
      </x:c>
      <x:c r="Z281" s="12" t="str"/>
      <x:c r="AA281" s="32" t="n">
        <x:f>IFERROR(VLOOKUP(G281,Master_Unit!$A$2:$N$78,7,FALSE),"")</x:f>
        <x:v>15</x:v>
      </x:c>
      <x:c r="AB281" s="32" t="n">
        <x:f>IF(OR(N281="",AA281=""),"",N281-AA281)</x:f>
        <x:v>3.1515403830141686</x:v>
      </x:c>
      <x:c r="AC281" s="20" t="n">
        <x:f>IF(OR(N281="",AA281="",AA281=0),"",AB281/AA281)</x:f>
        <x:v>0.21010269220094457</x:v>
      </x:c>
      <x:c r="AD281" t="str">
        <x:f>IF(AA281="","NO STANDARD",IF(AC281&lt;=Config_Status!$B$2,"EFFICIENT",IF(AC281&lt;=Config_Status!$B$3,"NORMAL",IF(AC281&lt;=Config_Status!$B$4,"WARNING","OVER CONSUMPTION"))))</x:f>
        <x:v>OVER CONSUMPTION</x:v>
      </x:c>
      <x:c r="AE281" t="str">
        <x:f>IFERROR(VLOOKUP(G281,Master_Unit!$A$2:$N$78,13,FALSE),"UNIT NOT FOUND")</x:f>
        <x:v>Matched</x:v>
      </x:c>
    </x:row>
    <x:row r="282">
      <x:c r="A282" s="12" t="str">
        <x:v>FU-20260604-00281</x:v>
      </x:c>
      <x:c r="B282" s="12" t="n">
        <x:v>411</x:v>
      </x:c>
      <x:c r="C282" s="14" t="n">
        <x:v>46177</x:v>
      </x:c>
      <x:c r="D282" s="12" t="str">
        <x:v>Kamis</x:v>
      </x:c>
      <x:c r="E282" s="12" t="str">
        <x:v>12:20:00</x:v>
      </x:c>
      <x:c r="F282" s="12" t="str">
        <x:v>All Shift Day</x:v>
      </x:c>
      <x:c r="G282" s="12" t="str">
        <x:v>WFIZ15G001</x:v>
      </x:c>
      <x:c r="H282" s="12" t="str">
        <x:v>Other</x:v>
      </x:c>
      <x:c r="I282" s="12" t="str">
        <x:v>WATERFILL ISUZU ELF-150</x:v>
      </x:c>
      <x:c r="J282" s="16" t="n">
        <x:v>14</x:v>
      </x:c>
      <x:c r="K282" s="16" t="n">
        <x:v>396.8</x:v>
      </x:c>
      <x:c r="L282" s="16" t="n">
        <x:v>425.5</x:v>
      </x:c>
      <x:c r="M282" s="16" t="n">
        <x:v>28.69999999999999</x:v>
      </x:c>
      <x:c r="N282" s="16" t="n">
        <x:v>0.4878048780487807</x:v>
      </x:c>
      <x:c r="O282" s="12" t="str">
        <x:v>FTRL44G004</x:v>
      </x:c>
      <x:c r="P282" s="12" t="str">
        <x:v>WFIZ15G001</x:v>
      </x:c>
      <x:c r="Q282" s="12" t="str"/>
      <x:c r="R282" s="12" t="str"/>
      <x:c r="S282" s="12" t="str"/>
      <x:c r="T282" s="12" t="str">
        <x:v>ABM</x:v>
      </x:c>
      <x:c r="U282" s="12" t="str"/>
      <x:c r="V282" s="12" t="str"/>
      <x:c r="W282" s="12" t="str"/>
      <x:c r="X282" s="12" t="str">
        <x:v>WFIZ15</x:v>
      </x:c>
      <x:c r="Y282" s="12" t="str">
        <x:v>BADRI &amp; KAMRAN</x:v>
      </x:c>
      <x:c r="Z282" s="12" t="str"/>
      <x:c r="AA282" s="32" t="str">
        <x:f>IFERROR(VLOOKUP(G282,Master_Unit!$A$2:$N$78,7,FALSE),"")</x:f>
      </x:c>
      <x:c r="AB282" s="32" t="str">
        <x:f>IF(OR(N282="",AA282=""),"",N282-AA282)</x:f>
      </x:c>
      <x:c r="AC282" s="20" t="str">
        <x:f>IF(OR(N282="",AA282="",AA282=0),"",AB282/AA282)</x:f>
      </x:c>
      <x:c r="AD282" t="str">
        <x:f>IF(AA282="","NO STANDARD",IF(AC282&lt;=Config_Status!$B$2,"EFFICIENT",IF(AC282&lt;=Config_Status!$B$3,"NORMAL",IF(AC282&lt;=Config_Status!$B$4,"WARNING","OVER CONSUMPTION"))))</x:f>
        <x:v>NO STANDARD</x:v>
      </x:c>
      <x:c r="AE282" t="str">
        <x:f>IFERROR(VLOOKUP(G282,Master_Unit!$A$2:$N$78,13,FALSE),"UNIT NOT FOUND")</x:f>
        <x:v>No Standard</x:v>
      </x:c>
    </x:row>
    <x:row r="283">
      <x:c r="A283" s="12" t="str">
        <x:v>FU-20260605-00282</x:v>
      </x:c>
      <x:c r="B283" s="12" t="n">
        <x:v>412</x:v>
      </x:c>
      <x:c r="C283" s="14" t="n">
        <x:v>46178</x:v>
      </x:c>
      <x:c r="D283" s="12" t="str">
        <x:v>Jum'at</x:v>
      </x:c>
      <x:c r="E283" s="12" t="str">
        <x:v>06:48:00</x:v>
      </x:c>
      <x:c r="F283" s="12" t="str">
        <x:v>All Shift Day</x:v>
      </x:c>
      <x:c r="G283" s="12" t="str">
        <x:v>GSHT40G002</x:v>
      </x:c>
      <x:c r="H283" s="12" t="str">
        <x:v>Genset</x:v>
      </x:c>
      <x:c r="I283" s="12" t="str">
        <x:v>GENSET HARTECH HT-400-V</x:v>
      </x:c>
      <x:c r="J283" s="16" t="n">
        <x:v>565</x:v>
      </x:c>
      <x:c r="K283" s="16" t="n">
        <x:v>14555.11</x:v>
      </x:c>
      <x:c r="L283" s="16" t="n">
        <x:v>14580.1</x:v>
      </x:c>
      <x:c r="M283" s="16" t="n">
        <x:v>24.98999999999978</x:v>
      </x:c>
      <x:c r="N283" s="16" t="n">
        <x:v>22.609043617447178</x:v>
      </x:c>
      <x:c r="O283" s="12" t="str">
        <x:v>FTRL44G005</x:v>
      </x:c>
      <x:c r="P283" s="12" t="str">
        <x:v>GSHT40G002</x:v>
      </x:c>
      <x:c r="Q283" s="12" t="str"/>
      <x:c r="R283" s="12" t="str"/>
      <x:c r="S283" s="12" t="str"/>
      <x:c r="T283" s="12" t="str">
        <x:v>ABM</x:v>
      </x:c>
      <x:c r="U283" s="12" t="str"/>
      <x:c r="V283" s="12" t="str"/>
      <x:c r="W283" s="12" t="str"/>
      <x:c r="X283" s="12" t="str">
        <x:v>GSHT40</x:v>
      </x:c>
      <x:c r="Y283" s="12" t="str">
        <x:v>FANGKI &amp; ACUNG</x:v>
      </x:c>
      <x:c r="Z283" s="12" t="str"/>
      <x:c r="AA283" s="32" t="n">
        <x:f>IFERROR(VLOOKUP(G283,Master_Unit!$A$2:$N$78,7,FALSE),"")</x:f>
        <x:v>25</x:v>
      </x:c>
      <x:c r="AB283" s="32" t="n">
        <x:f>IF(OR(N283="",AA283=""),"",N283-AA283)</x:f>
        <x:v>-2.3909563825528224</x:v>
      </x:c>
      <x:c r="AC283" s="20" t="n">
        <x:f>IF(OR(N283="",AA283="",AA283=0),"",AB283/AA283)</x:f>
        <x:v>-0.0956382553021129</x:v>
      </x:c>
      <x:c r="AD283" t="str">
        <x:f>IF(AA283="","NO STANDARD",IF(AC283&lt;=Config_Status!$B$2,"EFFICIENT",IF(AC283&lt;=Config_Status!$B$3,"NORMAL",IF(AC283&lt;=Config_Status!$B$4,"WARNING","OVER CONSUMPTION"))))</x:f>
        <x:v>NORMAL</x:v>
      </x:c>
      <x:c r="AE283" t="str">
        <x:f>IFERROR(VLOOKUP(G283,Master_Unit!$A$2:$N$78,13,FALSE),"UNIT NOT FOUND")</x:f>
        <x:v>Matched</x:v>
      </x:c>
    </x:row>
    <x:row r="284">
      <x:c r="A284" s="12" t="str">
        <x:v>FU-20260605-00283</x:v>
      </x:c>
      <x:c r="B284" s="12" t="n">
        <x:v>413</x:v>
      </x:c>
      <x:c r="C284" s="14" t="n">
        <x:v>46178</x:v>
      </x:c>
      <x:c r="D284" s="12" t="str">
        <x:v>Jum'at</x:v>
      </x:c>
      <x:c r="E284" s="12" t="str">
        <x:v>07:18:00</x:v>
      </x:c>
      <x:c r="F284" s="12" t="str">
        <x:v>All Shift Day</x:v>
      </x:c>
      <x:c r="G284" s="12" t="str">
        <x:v>LVTH24R053</x:v>
      </x:c>
      <x:c r="H284" s="12" t="str">
        <x:v>Light Vehicle</x:v>
      </x:c>
      <x:c r="I284" s="12" t="str">
        <x:v>LIGHT VEHICLE TOYOTA HILUX</x:v>
      </x:c>
      <x:c r="J284" s="16" t="n">
        <x:v>35</x:v>
      </x:c>
      <x:c r="K284" s="16" t="n">
        <x:v>24011</x:v>
      </x:c>
      <x:c r="L284" s="16" t="n">
        <x:v>24257</x:v>
      </x:c>
      <x:c r="M284" s="16" t="n">
        <x:v>246</x:v>
      </x:c>
      <x:c r="N284" s="16" t="n">
        <x:v>0.14227642276422764</x:v>
      </x:c>
      <x:c r="O284" s="12" t="str">
        <x:v>FTRL44G005</x:v>
      </x:c>
      <x:c r="P284" s="12" t="str">
        <x:v>LVTH24R053</x:v>
      </x:c>
      <x:c r="Q284" s="12" t="str"/>
      <x:c r="R284" s="12" t="str"/>
      <x:c r="S284" s="12" t="str"/>
      <x:c r="T284" s="12" t="str">
        <x:v>ABM</x:v>
      </x:c>
      <x:c r="U284" s="12" t="str"/>
      <x:c r="V284" s="12" t="str"/>
      <x:c r="W284" s="12" t="str"/>
      <x:c r="X284" s="12" t="str">
        <x:v>LVTH24</x:v>
      </x:c>
      <x:c r="Y284" s="12" t="str">
        <x:v>FANGKI &amp; ACUNG</x:v>
      </x:c>
      <x:c r="Z284" s="12" t="str"/>
      <x:c r="AA284" s="32" t="n">
        <x:f>IFERROR(VLOOKUP(G284,Master_Unit!$A$2:$N$78,7,FALSE),"")</x:f>
        <x:v>0.2</x:v>
      </x:c>
      <x:c r="AB284" s="32" t="n">
        <x:f>IF(OR(N284="",AA284=""),"",N284-AA284)</x:f>
        <x:v>-0.05772357723577237</x:v>
      </x:c>
      <x:c r="AC284" s="20" t="n">
        <x:f>IF(OR(N284="",AA284="",AA284=0),"",AB284/AA284)</x:f>
        <x:v>-0.28861788617886186</x:v>
      </x:c>
      <x:c r="AD284" t="str">
        <x:f>IF(AA284="","NO STANDARD",IF(AC284&lt;=Config_Status!$B$2,"EFFICIENT",IF(AC284&lt;=Config_Status!$B$3,"NORMAL",IF(AC284&lt;=Config_Status!$B$4,"WARNING","OVER CONSUMPTION"))))</x:f>
        <x:v>EFFICIENT</x:v>
      </x:c>
      <x:c r="AE284" t="str">
        <x:f>IFERROR(VLOOKUP(G284,Master_Unit!$A$2:$N$78,13,FALSE),"UNIT NOT FOUND")</x:f>
        <x:v>Matched</x:v>
      </x:c>
    </x:row>
    <x:row r="285">
      <x:c r="A285" s="12" t="str">
        <x:v>FU-20260605-00284</x:v>
      </x:c>
      <x:c r="B285" s="12" t="n">
        <x:v>414</x:v>
      </x:c>
      <x:c r="C285" s="14" t="n">
        <x:v>46178</x:v>
      </x:c>
      <x:c r="D285" s="12" t="str">
        <x:v>Jum'at</x:v>
      </x:c>
      <x:c r="E285" s="12" t="str">
        <x:v>07:24:00</x:v>
      </x:c>
      <x:c r="F285" s="12" t="str">
        <x:v>All Shift Day</x:v>
      </x:c>
      <x:c r="G285" s="12" t="str">
        <x:v>BDKM85G039</x:v>
      </x:c>
      <x:c r="H285" s="12" t="str">
        <x:v>Dozer</x:v>
      </x:c>
      <x:c r="I285" s="12" t="str">
        <x:v>BULDOZER KOMATSU D85ESS-2</x:v>
      </x:c>
      <x:c r="J285" s="16" t="n">
        <x:v>104</x:v>
      </x:c>
      <x:c r="K285" s="16" t="n">
        <x:v>7040.4</x:v>
      </x:c>
      <x:c r="L285" s="16" t="n">
        <x:v>7047.8</x:v>
      </x:c>
      <x:c r="M285" s="16" t="n">
        <x:v>7.400000000000546</x:v>
      </x:c>
      <x:c r="N285" s="16" t="n">
        <x:v>14.054054054053017</x:v>
      </x:c>
      <x:c r="O285" s="12" t="str">
        <x:v>FTRL44G005</x:v>
      </x:c>
      <x:c r="P285" s="12" t="str">
        <x:v>BDKM85G039</x:v>
      </x:c>
      <x:c r="Q285" s="12" t="str"/>
      <x:c r="R285" s="12" t="str"/>
      <x:c r="S285" s="12" t="str"/>
      <x:c r="T285" s="12" t="str">
        <x:v>ABM</x:v>
      </x:c>
      <x:c r="U285" s="12" t="str"/>
      <x:c r="V285" s="12" t="str"/>
      <x:c r="W285" s="12" t="str"/>
      <x:c r="X285" s="12" t="str">
        <x:v>BDKM85</x:v>
      </x:c>
      <x:c r="Y285" s="12" t="str">
        <x:v>FANGKI &amp; ACUNG</x:v>
      </x:c>
      <x:c r="Z285" s="12" t="str"/>
      <x:c r="AA285" s="32" t="n">
        <x:f>IFERROR(VLOOKUP(G285,Master_Unit!$A$2:$N$78,7,FALSE),"")</x:f>
        <x:v>30</x:v>
      </x:c>
      <x:c r="AB285" s="32" t="n">
        <x:f>IF(OR(N285="",AA285=""),"",N285-AA285)</x:f>
        <x:v>-15.945945945946983</x:v>
      </x:c>
      <x:c r="AC285" s="20" t="n">
        <x:f>IF(OR(N285="",AA285="",AA285=0),"",AB285/AA285)</x:f>
        <x:v>-0.5315315315315661</x:v>
      </x:c>
      <x:c r="AD285" t="str">
        <x:f>IF(AA285="","NO STANDARD",IF(AC285&lt;=Config_Status!$B$2,"EFFICIENT",IF(AC285&lt;=Config_Status!$B$3,"NORMAL",IF(AC285&lt;=Config_Status!$B$4,"WARNING","OVER CONSUMPTION"))))</x:f>
        <x:v>EFFICIENT</x:v>
      </x:c>
      <x:c r="AE285" t="str">
        <x:f>IFERROR(VLOOKUP(G285,Master_Unit!$A$2:$N$78,13,FALSE),"UNIT NOT FOUND")</x:f>
        <x:v>Matched</x:v>
      </x:c>
    </x:row>
    <x:row r="286">
      <x:c r="A286" s="12" t="str">
        <x:v>FU-20260605-00285</x:v>
      </x:c>
      <x:c r="B286" s="12" t="n">
        <x:v>415</x:v>
      </x:c>
      <x:c r="C286" s="14" t="n">
        <x:v>46178</x:v>
      </x:c>
      <x:c r="D286" s="12" t="str">
        <x:v>Jum'at</x:v>
      </x:c>
      <x:c r="E286" s="12" t="str">
        <x:v>07:30:00</x:v>
      </x:c>
      <x:c r="F286" s="12" t="str">
        <x:v>All Shift Day</x:v>
      </x:c>
      <x:c r="G286" s="12" t="str">
        <x:v>LVTH24R033</x:v>
      </x:c>
      <x:c r="H286" s="12" t="str">
        <x:v>Light Vehicle</x:v>
      </x:c>
      <x:c r="I286" s="12" t="str">
        <x:v>LIGHT VEHICLE TOYOTA HILUX</x:v>
      </x:c>
      <x:c r="J286" s="16" t="n">
        <x:v>30</x:v>
      </x:c>
      <x:c r="K286" s="16" t="n">
        <x:v>137589</x:v>
      </x:c>
      <x:c r="L286" s="16" t="n">
        <x:v>137938</x:v>
      </x:c>
      <x:c r="M286" s="16" t="n">
        <x:v>349</x:v>
      </x:c>
      <x:c r="N286" s="16" t="n">
        <x:v>0.08595988538681948</x:v>
      </x:c>
      <x:c r="O286" s="12" t="str">
        <x:v>FTRL44G005</x:v>
      </x:c>
      <x:c r="P286" s="12" t="str">
        <x:v>LVTH24R033</x:v>
      </x:c>
      <x:c r="Q286" s="12" t="str"/>
      <x:c r="R286" s="12" t="str"/>
      <x:c r="S286" s="12" t="str"/>
      <x:c r="T286" s="12" t="str">
        <x:v>ABM</x:v>
      </x:c>
      <x:c r="U286" s="12" t="str"/>
      <x:c r="V286" s="12" t="str"/>
      <x:c r="W286" s="12" t="str"/>
      <x:c r="X286" s="12" t="str">
        <x:v>LVTH24</x:v>
      </x:c>
      <x:c r="Y286" s="12" t="str">
        <x:v>FANGKI &amp; ACUNG</x:v>
      </x:c>
      <x:c r="Z286" s="12" t="str"/>
      <x:c r="AA286" s="32" t="n">
        <x:f>IFERROR(VLOOKUP(G286,Master_Unit!$A$2:$N$78,7,FALSE),"")</x:f>
        <x:v>0.2</x:v>
      </x:c>
      <x:c r="AB286" s="32" t="n">
        <x:f>IF(OR(N286="",AA286=""),"",N286-AA286)</x:f>
        <x:v>-0.11404011461318053</x:v>
      </x:c>
      <x:c r="AC286" s="20" t="n">
        <x:f>IF(OR(N286="",AA286="",AA286=0),"",AB286/AA286)</x:f>
        <x:v>-0.5702005730659027</x:v>
      </x:c>
      <x:c r="AD286" t="str">
        <x:f>IF(AA286="","NO STANDARD",IF(AC286&lt;=Config_Status!$B$2,"EFFICIENT",IF(AC286&lt;=Config_Status!$B$3,"NORMAL",IF(AC286&lt;=Config_Status!$B$4,"WARNING","OVER CONSUMPTION"))))</x:f>
        <x:v>EFFICIENT</x:v>
      </x:c>
      <x:c r="AE286" t="str">
        <x:f>IFERROR(VLOOKUP(G286,Master_Unit!$A$2:$N$78,13,FALSE),"UNIT NOT FOUND")</x:f>
        <x:v>Matched</x:v>
      </x:c>
    </x:row>
    <x:row r="287">
      <x:c r="A287" s="12" t="str">
        <x:v>FU-20260605-00286</x:v>
      </x:c>
      <x:c r="B287" s="12" t="n">
        <x:v>416</x:v>
      </x:c>
      <x:c r="C287" s="14" t="n">
        <x:v>46178</x:v>
      </x:c>
      <x:c r="D287" s="12" t="str">
        <x:v>Jum'at</x:v>
      </x:c>
      <x:c r="E287" s="12" t="str">
        <x:v>07:32:00</x:v>
      </x:c>
      <x:c r="F287" s="12" t="str">
        <x:v>All Shift Day</x:v>
      </x:c>
      <x:c r="G287" s="12" t="str">
        <x:v>LVTH24R023</x:v>
      </x:c>
      <x:c r="H287" s="12" t="str">
        <x:v>Light Vehicle</x:v>
      </x:c>
      <x:c r="I287" s="12" t="str">
        <x:v>LIGHT VEHICLE TOYOTA HILUX</x:v>
      </x:c>
      <x:c r="J287" s="16" t="n">
        <x:v>20</x:v>
      </x:c>
      <x:c r="K287" s="16" t="n">
        <x:v>48902</x:v>
      </x:c>
      <x:c r="L287" s="16" t="n">
        <x:v>49015</x:v>
      </x:c>
      <x:c r="M287" s="16" t="n">
        <x:v>113</x:v>
      </x:c>
      <x:c r="N287" s="16" t="n">
        <x:v>0.17699115044247787</x:v>
      </x:c>
      <x:c r="O287" s="12" t="str">
        <x:v>FTRL44G005</x:v>
      </x:c>
      <x:c r="P287" s="12" t="str">
        <x:v>LVTH24R023</x:v>
      </x:c>
      <x:c r="Q287" s="12" t="str"/>
      <x:c r="R287" s="12" t="str"/>
      <x:c r="S287" s="12" t="str"/>
      <x:c r="T287" s="12" t="str">
        <x:v>ABM</x:v>
      </x:c>
      <x:c r="U287" s="12" t="str"/>
      <x:c r="V287" s="12" t="str"/>
      <x:c r="W287" s="12" t="str"/>
      <x:c r="X287" s="12" t="str">
        <x:v>LVTH24</x:v>
      </x:c>
      <x:c r="Y287" s="12" t="str">
        <x:v>FANGKI &amp; ACUNG</x:v>
      </x:c>
      <x:c r="Z287" s="12" t="str"/>
      <x:c r="AA287" s="32" t="n">
        <x:f>IFERROR(VLOOKUP(G287,Master_Unit!$A$2:$N$78,7,FALSE),"")</x:f>
        <x:v>0.2</x:v>
      </x:c>
      <x:c r="AB287" s="32" t="n">
        <x:f>IF(OR(N287="",AA287=""),"",N287-AA287)</x:f>
        <x:v>-0.023008849557522137</x:v>
      </x:c>
      <x:c r="AC287" s="20" t="n">
        <x:f>IF(OR(N287="",AA287="",AA287=0),"",AB287/AA287)</x:f>
        <x:v>-0.11504424778761069</x:v>
      </x:c>
      <x:c r="AD287" t="str">
        <x:f>IF(AA287="","NO STANDARD",IF(AC287&lt;=Config_Status!$B$2,"EFFICIENT",IF(AC287&lt;=Config_Status!$B$3,"NORMAL",IF(AC287&lt;=Config_Status!$B$4,"WARNING","OVER CONSUMPTION"))))</x:f>
        <x:v>EFFICIENT</x:v>
      </x:c>
      <x:c r="AE287" t="str">
        <x:f>IFERROR(VLOOKUP(G287,Master_Unit!$A$2:$N$78,13,FALSE),"UNIT NOT FOUND")</x:f>
        <x:v>Matched</x:v>
      </x:c>
    </x:row>
    <x:row r="288">
      <x:c r="A288" s="12" t="str">
        <x:v>FU-20260605-00287</x:v>
      </x:c>
      <x:c r="B288" s="12" t="n">
        <x:v>417</x:v>
      </x:c>
      <x:c r="C288" s="14" t="n">
        <x:v>46178</x:v>
      </x:c>
      <x:c r="D288" s="12" t="str">
        <x:v>Jum'at</x:v>
      </x:c>
      <x:c r="E288" s="12" t="str">
        <x:v>07:34:00</x:v>
      </x:c>
      <x:c r="F288" s="12" t="str">
        <x:v>All Shift Day</x:v>
      </x:c>
      <x:c r="G288" s="12" t="str">
        <x:v>STRL44G157</x:v>
      </x:c>
      <x:c r="H288" s="12" t="str">
        <x:v>Dump Truck</x:v>
      </x:c>
      <x:c r="I288" s="12" t="str">
        <x:v>DUMP TRUCK RENAULT KRANGE440-P6X4 A/T</x:v>
      </x:c>
      <x:c r="J288" s="16" t="n">
        <x:v>61</x:v>
      </x:c>
      <x:c r="K288" s="16" t="n">
        <x:v>4009</x:v>
      </x:c>
      <x:c r="L288" s="16" t="n">
        <x:v>4011</x:v>
      </x:c>
      <x:c r="M288" s="16" t="n">
        <x:v>2</x:v>
      </x:c>
      <x:c r="N288" s="16" t="n">
        <x:v>30.5</x:v>
      </x:c>
      <x:c r="O288" s="12" t="str">
        <x:v>FTRL44G005</x:v>
      </x:c>
      <x:c r="P288" s="12" t="str">
        <x:v>STRL44G157</x:v>
      </x:c>
      <x:c r="Q288" s="12" t="str"/>
      <x:c r="R288" s="12" t="str"/>
      <x:c r="S288" s="12" t="str"/>
      <x:c r="T288" s="12" t="str">
        <x:v>ABM</x:v>
      </x:c>
      <x:c r="U288" s="12" t="str"/>
      <x:c r="V288" s="12" t="str"/>
      <x:c r="W288" s="12" t="str"/>
      <x:c r="X288" s="12" t="str">
        <x:v>STRL44</x:v>
      </x:c>
      <x:c r="Y288" s="12" t="str">
        <x:v>FANGKI &amp; ACUNG</x:v>
      </x:c>
      <x:c r="Z288" s="12" t="str"/>
      <x:c r="AA288" s="32" t="n">
        <x:f>IFERROR(VLOOKUP(G288,Master_Unit!$A$2:$N$78,7,FALSE),"")</x:f>
        <x:v>20</x:v>
      </x:c>
      <x:c r="AB288" s="32" t="n">
        <x:f>IF(OR(N288="",AA288=""),"",N288-AA288)</x:f>
        <x:v>10.5</x:v>
      </x:c>
      <x:c r="AC288" s="20" t="n">
        <x:f>IF(OR(N288="",AA288="",AA288=0),"",AB288/AA288)</x:f>
        <x:v>0.525</x:v>
      </x:c>
      <x:c r="AD288" t="str">
        <x:f>IF(AA288="","NO STANDARD",IF(AC288&lt;=Config_Status!$B$2,"EFFICIENT",IF(AC288&lt;=Config_Status!$B$3,"NORMAL",IF(AC288&lt;=Config_Status!$B$4,"WARNING","OVER CONSUMPTION"))))</x:f>
        <x:v>OVER CONSUMPTION</x:v>
      </x:c>
      <x:c r="AE288" t="str">
        <x:f>IFERROR(VLOOKUP(G288,Master_Unit!$A$2:$N$78,13,FALSE),"UNIT NOT FOUND")</x:f>
        <x:v>Matched</x:v>
      </x:c>
    </x:row>
    <x:row r="289">
      <x:c r="A289" s="12" t="str">
        <x:v>FU-20260605-00288</x:v>
      </x:c>
      <x:c r="B289" s="12" t="n">
        <x:v>418</x:v>
      </x:c>
      <x:c r="C289" s="14" t="n">
        <x:v>46178</x:v>
      </x:c>
      <x:c r="D289" s="12" t="str">
        <x:v>Jum'at</x:v>
      </x:c>
      <x:c r="E289" s="12" t="str">
        <x:v>07:39:00</x:v>
      </x:c>
      <x:c r="F289" s="12" t="str">
        <x:v>All Shift Day</x:v>
      </x:c>
      <x:c r="G289" s="12" t="str">
        <x:v>STRL44G139</x:v>
      </x:c>
      <x:c r="H289" s="12" t="str">
        <x:v>Dump Truck</x:v>
      </x:c>
      <x:c r="I289" s="12" t="str">
        <x:v>DUMP TRUCK RENAULT KRANGE440-P6X4 A/T</x:v>
      </x:c>
      <x:c r="J289" s="16" t="n">
        <x:v>87</x:v>
      </x:c>
      <x:c r="K289" s="16" t="n">
        <x:v>4915</x:v>
      </x:c>
      <x:c r="L289" s="16" t="n">
        <x:v>4918</x:v>
      </x:c>
      <x:c r="M289" s="16" t="n">
        <x:v>3</x:v>
      </x:c>
      <x:c r="N289" s="16" t="n">
        <x:v>29</x:v>
      </x:c>
      <x:c r="O289" s="12" t="str">
        <x:v>FTRL44G005</x:v>
      </x:c>
      <x:c r="P289" s="12" t="str">
        <x:v>STRL44G139</x:v>
      </x:c>
      <x:c r="Q289" s="12" t="str"/>
      <x:c r="R289" s="12" t="str"/>
      <x:c r="S289" s="12" t="str"/>
      <x:c r="T289" s="12" t="str">
        <x:v>ABM</x:v>
      </x:c>
      <x:c r="U289" s="12" t="str"/>
      <x:c r="V289" s="12" t="str"/>
      <x:c r="W289" s="12" t="str"/>
      <x:c r="X289" s="12" t="str">
        <x:v>STRL44</x:v>
      </x:c>
      <x:c r="Y289" s="12" t="str">
        <x:v>FANGKI &amp; ACUNG</x:v>
      </x:c>
      <x:c r="Z289" s="12" t="str"/>
      <x:c r="AA289" s="32" t="n">
        <x:f>IFERROR(VLOOKUP(G289,Master_Unit!$A$2:$N$78,7,FALSE),"")</x:f>
        <x:v>20</x:v>
      </x:c>
      <x:c r="AB289" s="32" t="n">
        <x:f>IF(OR(N289="",AA289=""),"",N289-AA289)</x:f>
        <x:v>9</x:v>
      </x:c>
      <x:c r="AC289" s="20" t="n">
        <x:f>IF(OR(N289="",AA289="",AA289=0),"",AB289/AA289)</x:f>
        <x:v>0.45</x:v>
      </x:c>
      <x:c r="AD289" t="str">
        <x:f>IF(AA289="","NO STANDARD",IF(AC289&lt;=Config_Status!$B$2,"EFFICIENT",IF(AC289&lt;=Config_Status!$B$3,"NORMAL",IF(AC289&lt;=Config_Status!$B$4,"WARNING","OVER CONSUMPTION"))))</x:f>
        <x:v>OVER CONSUMPTION</x:v>
      </x:c>
      <x:c r="AE289" t="str">
        <x:f>IFERROR(VLOOKUP(G289,Master_Unit!$A$2:$N$78,13,FALSE),"UNIT NOT FOUND")</x:f>
        <x:v>Matched</x:v>
      </x:c>
    </x:row>
    <x:row r="290">
      <x:c r="A290" s="12" t="str">
        <x:v>FU-20260605-00289</x:v>
      </x:c>
      <x:c r="B290" s="12" t="n">
        <x:v>419</x:v>
      </x:c>
      <x:c r="C290" s="14" t="n">
        <x:v>46178</x:v>
      </x:c>
      <x:c r="D290" s="12" t="str">
        <x:v>Jum'at</x:v>
      </x:c>
      <x:c r="E290" s="12" t="str">
        <x:v>07:42:00</x:v>
      </x:c>
      <x:c r="F290" s="12" t="str">
        <x:v>All Shift Day</x:v>
      </x:c>
      <x:c r="G290" s="12" t="str">
        <x:v>STRL44G135</x:v>
      </x:c>
      <x:c r="H290" s="12" t="str">
        <x:v>Dump Truck</x:v>
      </x:c>
      <x:c r="I290" s="12" t="str">
        <x:v>DUMP TRUCK RENAULT KRANGE440-P6X4 A/T</x:v>
      </x:c>
      <x:c r="J290" s="16" t="n">
        <x:v>101</x:v>
      </x:c>
      <x:c r="K290" s="16" t="n">
        <x:v>5765</x:v>
      </x:c>
      <x:c r="L290" s="16" t="n">
        <x:v>5781</x:v>
      </x:c>
      <x:c r="M290" s="16" t="n">
        <x:v>16</x:v>
      </x:c>
      <x:c r="N290" s="16" t="n">
        <x:v>6.3125</x:v>
      </x:c>
      <x:c r="O290" s="12" t="str">
        <x:v>FTRL44G005</x:v>
      </x:c>
      <x:c r="P290" s="12" t="str">
        <x:v>STRL44G135</x:v>
      </x:c>
      <x:c r="Q290" s="12" t="str"/>
      <x:c r="R290" s="12" t="str"/>
      <x:c r="S290" s="12" t="str"/>
      <x:c r="T290" s="12" t="str">
        <x:v>ABM</x:v>
      </x:c>
      <x:c r="U290" s="12" t="str"/>
      <x:c r="V290" s="12" t="str"/>
      <x:c r="W290" s="12" t="str"/>
      <x:c r="X290" s="12" t="str">
        <x:v>STRL44</x:v>
      </x:c>
      <x:c r="Y290" s="12" t="str">
        <x:v>FANGKI &amp; ACUNG</x:v>
      </x:c>
      <x:c r="Z290" s="12" t="str"/>
      <x:c r="AA290" s="32" t="n">
        <x:f>IFERROR(VLOOKUP(G290,Master_Unit!$A$2:$N$78,7,FALSE),"")</x:f>
        <x:v>20</x:v>
      </x:c>
      <x:c r="AB290" s="32" t="n">
        <x:f>IF(OR(N290="",AA290=""),"",N290-AA290)</x:f>
        <x:v>-13.6875</x:v>
      </x:c>
      <x:c r="AC290" s="20" t="n">
        <x:f>IF(OR(N290="",AA290="",AA290=0),"",AB290/AA290)</x:f>
        <x:v>-0.684375</x:v>
      </x:c>
      <x:c r="AD290" t="str">
        <x:f>IF(AA290="","NO STANDARD",IF(AC290&lt;=Config_Status!$B$2,"EFFICIENT",IF(AC290&lt;=Config_Status!$B$3,"NORMAL",IF(AC290&lt;=Config_Status!$B$4,"WARNING","OVER CONSUMPTION"))))</x:f>
        <x:v>EFFICIENT</x:v>
      </x:c>
      <x:c r="AE290" t="str">
        <x:f>IFERROR(VLOOKUP(G290,Master_Unit!$A$2:$N$78,13,FALSE),"UNIT NOT FOUND")</x:f>
        <x:v>Matched</x:v>
      </x:c>
    </x:row>
    <x:row r="291">
      <x:c r="A291" s="12" t="str">
        <x:v>FU-20260605-00290</x:v>
      </x:c>
      <x:c r="B291" s="12" t="n">
        <x:v>420</x:v>
      </x:c>
      <x:c r="C291" s="14" t="n">
        <x:v>46178</x:v>
      </x:c>
      <x:c r="D291" s="12" t="str">
        <x:v>Jum'at</x:v>
      </x:c>
      <x:c r="E291" s="12" t="str">
        <x:v>07:48:00</x:v>
      </x:c>
      <x:c r="F291" s="12" t="str">
        <x:v>All Shift Day</x:v>
      </x:c>
      <x:c r="G291" s="12" t="str">
        <x:v>LTRL44G002</x:v>
      </x:c>
      <x:c r="H291" s="12" t="str">
        <x:v>Lube Truck</x:v>
      </x:c>
      <x:c r="I291" s="12" t="str">
        <x:v>LUBE TRUCK RENAULT KRANGE440-P6X4 A/T</x:v>
      </x:c>
      <x:c r="J291" s="16" t="n">
        <x:v>72</x:v>
      </x:c>
      <x:c r="K291" s="16" t="n">
        <x:v>2047</x:v>
      </x:c>
      <x:c r="L291" s="16" t="n">
        <x:v>2058</x:v>
      </x:c>
      <x:c r="M291" s="16" t="n">
        <x:v>11</x:v>
      </x:c>
      <x:c r="N291" s="16" t="n">
        <x:v>6.545454545454546</x:v>
      </x:c>
      <x:c r="O291" s="12" t="str">
        <x:v>FTRL44G005</x:v>
      </x:c>
      <x:c r="P291" s="12" t="str">
        <x:v>LTRL44G002</x:v>
      </x:c>
      <x:c r="Q291" s="12" t="str"/>
      <x:c r="R291" s="12" t="str"/>
      <x:c r="S291" s="12" t="str"/>
      <x:c r="T291" s="12" t="str">
        <x:v>ABM</x:v>
      </x:c>
      <x:c r="U291" s="12" t="str"/>
      <x:c r="V291" s="12" t="str"/>
      <x:c r="W291" s="12" t="str"/>
      <x:c r="X291" s="12" t="str">
        <x:v>LTRL44</x:v>
      </x:c>
      <x:c r="Y291" s="12" t="str">
        <x:v>FANGKI &amp; ACUNG</x:v>
      </x:c>
      <x:c r="Z291" s="12" t="str"/>
      <x:c r="AA291" s="32" t="n">
        <x:f>IFERROR(VLOOKUP(G291,Master_Unit!$A$2:$N$78,7,FALSE),"")</x:f>
        <x:v>20</x:v>
      </x:c>
      <x:c r="AB291" s="32" t="n">
        <x:f>IF(OR(N291="",AA291=""),"",N291-AA291)</x:f>
        <x:v>-13.454545454545453</x:v>
      </x:c>
      <x:c r="AC291" s="20" t="n">
        <x:f>IF(OR(N291="",AA291="",AA291=0),"",AB291/AA291)</x:f>
        <x:v>-0.6727272727272726</x:v>
      </x:c>
      <x:c r="AD291" t="str">
        <x:f>IF(AA291="","NO STANDARD",IF(AC291&lt;=Config_Status!$B$2,"EFFICIENT",IF(AC291&lt;=Config_Status!$B$3,"NORMAL",IF(AC291&lt;=Config_Status!$B$4,"WARNING","OVER CONSUMPTION"))))</x:f>
        <x:v>EFFICIENT</x:v>
      </x:c>
      <x:c r="AE291" t="str">
        <x:f>IFERROR(VLOOKUP(G291,Master_Unit!$A$2:$N$78,13,FALSE),"UNIT NOT FOUND")</x:f>
        <x:v>Matched</x:v>
      </x:c>
    </x:row>
    <x:row r="292">
      <x:c r="A292" s="12" t="str">
        <x:v>FU-20260605-00291</x:v>
      </x:c>
      <x:c r="B292" s="12" t="n">
        <x:v>421</x:v>
      </x:c>
      <x:c r="C292" s="14" t="n">
        <x:v>46178</x:v>
      </x:c>
      <x:c r="D292" s="12" t="str">
        <x:v>Jum'at</x:v>
      </x:c>
      <x:c r="E292" s="12" t="str">
        <x:v>07:55:00</x:v>
      </x:c>
      <x:c r="F292" s="12" t="str">
        <x:v>All Shift Day</x:v>
      </x:c>
      <x:c r="G292" s="12" t="str">
        <x:v>STRL44G136</x:v>
      </x:c>
      <x:c r="H292" s="12" t="str">
        <x:v>Dump Truck</x:v>
      </x:c>
      <x:c r="I292" s="12" t="str">
        <x:v>DUMP TRUCK RENAULT KRANGE440-P6X4 A/T</x:v>
      </x:c>
      <x:c r="J292" s="16" t="n">
        <x:v>48</x:v>
      </x:c>
      <x:c r="K292" s="16" t="n">
        <x:v>5790</x:v>
      </x:c>
      <x:c r="L292" s="16" t="n">
        <x:v>5799</x:v>
      </x:c>
      <x:c r="M292" s="16" t="n">
        <x:v>9</x:v>
      </x:c>
      <x:c r="N292" s="16" t="n">
        <x:v>5.333333333333333</x:v>
      </x:c>
      <x:c r="O292" s="12" t="str">
        <x:v>FTRL44G005</x:v>
      </x:c>
      <x:c r="P292" s="12" t="str">
        <x:v>STRL44G136</x:v>
      </x:c>
      <x:c r="Q292" s="12" t="str"/>
      <x:c r="R292" s="12" t="str"/>
      <x:c r="S292" s="12" t="str"/>
      <x:c r="T292" s="12" t="str">
        <x:v>ABM</x:v>
      </x:c>
      <x:c r="U292" s="12" t="str"/>
      <x:c r="V292" s="12" t="str"/>
      <x:c r="W292" s="12" t="str"/>
      <x:c r="X292" s="12" t="str">
        <x:v>STRL44</x:v>
      </x:c>
      <x:c r="Y292" s="12" t="str">
        <x:v>FANGKI &amp; ACUNG</x:v>
      </x:c>
      <x:c r="Z292" s="12" t="str"/>
      <x:c r="AA292" s="32" t="n">
        <x:f>IFERROR(VLOOKUP(G292,Master_Unit!$A$2:$N$78,7,FALSE),"")</x:f>
        <x:v>20</x:v>
      </x:c>
      <x:c r="AB292" s="32" t="n">
        <x:f>IF(OR(N292="",AA292=""),"",N292-AA292)</x:f>
        <x:v>-14.666666666666668</x:v>
      </x:c>
      <x:c r="AC292" s="20" t="n">
        <x:f>IF(OR(N292="",AA292="",AA292=0),"",AB292/AA292)</x:f>
        <x:v>-0.7333333333333334</x:v>
      </x:c>
      <x:c r="AD292" t="str">
        <x:f>IF(AA292="","NO STANDARD",IF(AC292&lt;=Config_Status!$B$2,"EFFICIENT",IF(AC292&lt;=Config_Status!$B$3,"NORMAL",IF(AC292&lt;=Config_Status!$B$4,"WARNING","OVER CONSUMPTION"))))</x:f>
        <x:v>EFFICIENT</x:v>
      </x:c>
      <x:c r="AE292" t="str">
        <x:f>IFERROR(VLOOKUP(G292,Master_Unit!$A$2:$N$78,13,FALSE),"UNIT NOT FOUND")</x:f>
        <x:v>Matched</x:v>
      </x:c>
    </x:row>
    <x:row r="293">
      <x:c r="A293" s="12" t="str">
        <x:v>FU-20260605-00292</x:v>
      </x:c>
      <x:c r="B293" s="12" t="n">
        <x:v>422</x:v>
      </x:c>
      <x:c r="C293" s="14" t="n">
        <x:v>46178</x:v>
      </x:c>
      <x:c r="D293" s="12" t="str">
        <x:v>Jum'at</x:v>
      </x:c>
      <x:c r="E293" s="12" t="str">
        <x:v>08:05:00</x:v>
      </x:c>
      <x:c r="F293" s="12" t="str">
        <x:v>All Shift Day</x:v>
      </x:c>
      <x:c r="G293" s="12" t="str">
        <x:v>STRL44G141</x:v>
      </x:c>
      <x:c r="H293" s="12" t="str">
        <x:v>Dump Truck</x:v>
      </x:c>
      <x:c r="I293" s="12" t="str">
        <x:v>DUMP TRUCK RENAULT KRANGE440-P6X4 A/T</x:v>
      </x:c>
      <x:c r="J293" s="16" t="n">
        <x:v>121</x:v>
      </x:c>
      <x:c r="K293" s="16" t="n">
        <x:v>3131</x:v>
      </x:c>
      <x:c r="L293" s="16" t="n">
        <x:v>3139</x:v>
      </x:c>
      <x:c r="M293" s="16" t="n">
        <x:v>8</x:v>
      </x:c>
      <x:c r="N293" s="16" t="n">
        <x:v>15.125</x:v>
      </x:c>
      <x:c r="O293" s="12" t="str">
        <x:v>FTRL44G005</x:v>
      </x:c>
      <x:c r="P293" s="12" t="str">
        <x:v>STRL44G141</x:v>
      </x:c>
      <x:c r="Q293" s="12" t="str"/>
      <x:c r="R293" s="12" t="str"/>
      <x:c r="S293" s="12" t="str"/>
      <x:c r="T293" s="12" t="str">
        <x:v>ABM</x:v>
      </x:c>
      <x:c r="U293" s="12" t="str"/>
      <x:c r="V293" s="12" t="str"/>
      <x:c r="W293" s="12" t="str"/>
      <x:c r="X293" s="12" t="str">
        <x:v>STRL44</x:v>
      </x:c>
      <x:c r="Y293" s="12" t="str">
        <x:v>FANGKI &amp; ACUNG</x:v>
      </x:c>
      <x:c r="Z293" s="12" t="str"/>
      <x:c r="AA293" s="32" t="n">
        <x:f>IFERROR(VLOOKUP(G293,Master_Unit!$A$2:$N$78,7,FALSE),"")</x:f>
        <x:v>20</x:v>
      </x:c>
      <x:c r="AB293" s="32" t="n">
        <x:f>IF(OR(N293="",AA293=""),"",N293-AA293)</x:f>
        <x:v>-4.875</x:v>
      </x:c>
      <x:c r="AC293" s="20" t="n">
        <x:f>IF(OR(N293="",AA293="",AA293=0),"",AB293/AA293)</x:f>
        <x:v>-0.24375</x:v>
      </x:c>
      <x:c r="AD293" t="str">
        <x:f>IF(AA293="","NO STANDARD",IF(AC293&lt;=Config_Status!$B$2,"EFFICIENT",IF(AC293&lt;=Config_Status!$B$3,"NORMAL",IF(AC293&lt;=Config_Status!$B$4,"WARNING","OVER CONSUMPTION"))))</x:f>
        <x:v>EFFICIENT</x:v>
      </x:c>
      <x:c r="AE293" t="str">
        <x:f>IFERROR(VLOOKUP(G293,Master_Unit!$A$2:$N$78,13,FALSE),"UNIT NOT FOUND")</x:f>
        <x:v>Matched</x:v>
      </x:c>
    </x:row>
    <x:row r="294">
      <x:c r="A294" s="12" t="str">
        <x:v>FU-20260605-00293</x:v>
      </x:c>
      <x:c r="B294" s="12" t="n">
        <x:v>423</x:v>
      </x:c>
      <x:c r="C294" s="14" t="n">
        <x:v>46178</x:v>
      </x:c>
      <x:c r="D294" s="12" t="str">
        <x:v>Jum'at</x:v>
      </x:c>
      <x:c r="E294" s="12" t="str">
        <x:v>08:16:00</x:v>
      </x:c>
      <x:c r="F294" s="12" t="str">
        <x:v>All Shift Day</x:v>
      </x:c>
      <x:c r="G294" s="12" t="str">
        <x:v>MGSD20G007</x:v>
      </x:c>
      <x:c r="H294" s="12" t="str">
        <x:v>Other</x:v>
      </x:c>
      <x:c r="I294" s="12" t="str">
        <x:v>MOTOR GRADER SDLG GD9220F</x:v>
      </x:c>
      <x:c r="J294" s="16" t="n">
        <x:v>80</x:v>
      </x:c>
      <x:c r="K294" s="16" t="n">
        <x:v>3698.4</x:v>
      </x:c>
      <x:c r="L294" s="16" t="n">
        <x:v>3706.4</x:v>
      </x:c>
      <x:c r="M294" s="16" t="n">
        <x:v>8</x:v>
      </x:c>
      <x:c r="N294" s="16" t="n">
        <x:v>10</x:v>
      </x:c>
      <x:c r="O294" s="12" t="str">
        <x:v>FTRL44G005</x:v>
      </x:c>
      <x:c r="P294" s="12" t="str">
        <x:v>MGSD20G007</x:v>
      </x:c>
      <x:c r="Q294" s="12" t="str"/>
      <x:c r="R294" s="12" t="str"/>
      <x:c r="S294" s="12" t="str"/>
      <x:c r="T294" s="12" t="str">
        <x:v>ABM</x:v>
      </x:c>
      <x:c r="U294" s="12" t="str"/>
      <x:c r="V294" s="12" t="str"/>
      <x:c r="W294" s="12" t="str"/>
      <x:c r="X294" s="12" t="str">
        <x:v>MGSD20</x:v>
      </x:c>
      <x:c r="Y294" s="12" t="str">
        <x:v>FANGKI &amp; ACUNG</x:v>
      </x:c>
      <x:c r="Z294" s="12" t="str"/>
      <x:c r="AA294" s="32" t="n">
        <x:f>IFERROR(VLOOKUP(G294,Master_Unit!$A$2:$N$78,7,FALSE),"")</x:f>
        <x:v>20</x:v>
      </x:c>
      <x:c r="AB294" s="32" t="n">
        <x:f>IF(OR(N294="",AA294=""),"",N294-AA294)</x:f>
        <x:v>-10</x:v>
      </x:c>
      <x:c r="AC294" s="20" t="n">
        <x:f>IF(OR(N294="",AA294="",AA294=0),"",AB294/AA294)</x:f>
        <x:v>-0.5</x:v>
      </x:c>
      <x:c r="AD294" t="str">
        <x:f>IF(AA294="","NO STANDARD",IF(AC294&lt;=Config_Status!$B$2,"EFFICIENT",IF(AC294&lt;=Config_Status!$B$3,"NORMAL",IF(AC294&lt;=Config_Status!$B$4,"WARNING","OVER CONSUMPTION"))))</x:f>
        <x:v>EFFICIENT</x:v>
      </x:c>
      <x:c r="AE294" t="str">
        <x:f>IFERROR(VLOOKUP(G294,Master_Unit!$A$2:$N$78,13,FALSE),"UNIT NOT FOUND")</x:f>
        <x:v>Matched</x:v>
      </x:c>
    </x:row>
    <x:row r="295">
      <x:c r="A295" s="12" t="str">
        <x:v>FU-20260605-00294</x:v>
      </x:c>
      <x:c r="B295" s="12" t="n">
        <x:v>424</x:v>
      </x:c>
      <x:c r="C295" s="14" t="n">
        <x:v>46178</x:v>
      </x:c>
      <x:c r="D295" s="12" t="str">
        <x:v>Jum'at</x:v>
      </x:c>
      <x:c r="E295" s="12" t="str">
        <x:v>08:56:00</x:v>
      </x:c>
      <x:c r="F295" s="12" t="str">
        <x:v>All Shift Day</x:v>
      </x:c>
      <x:c r="G295" s="12" t="str">
        <x:v>WTRL44G007</x:v>
      </x:c>
      <x:c r="H295" s="12" t="str">
        <x:v>Water Truck</x:v>
      </x:c>
      <x:c r="I295" s="12" t="str">
        <x:v>WATER TRUCK RENAULT KRANGE440-P6X4 A/T</x:v>
      </x:c>
      <x:c r="J295" s="16" t="n">
        <x:v>70</x:v>
      </x:c>
      <x:c r="K295" s="16" t="n">
        <x:v>1598</x:v>
      </x:c>
      <x:c r="L295" s="16" t="n">
        <x:v>1604</x:v>
      </x:c>
      <x:c r="M295" s="16" t="n">
        <x:v>6</x:v>
      </x:c>
      <x:c r="N295" s="16" t="n">
        <x:v>11.666666666666666</x:v>
      </x:c>
      <x:c r="O295" s="12" t="str">
        <x:v>FTRL44G005</x:v>
      </x:c>
      <x:c r="P295" s="12" t="str">
        <x:v>WTRL44G007</x:v>
      </x:c>
      <x:c r="Q295" s="12" t="str"/>
      <x:c r="R295" s="12" t="str"/>
      <x:c r="S295" s="12" t="str"/>
      <x:c r="T295" s="12" t="str">
        <x:v>ABM</x:v>
      </x:c>
      <x:c r="U295" s="12" t="str"/>
      <x:c r="V295" s="12" t="str"/>
      <x:c r="W295" s="12" t="str"/>
      <x:c r="X295" s="12" t="str">
        <x:v>WTRL44</x:v>
      </x:c>
      <x:c r="Y295" s="12" t="str">
        <x:v>FANGKI &amp; ACUNG</x:v>
      </x:c>
      <x:c r="Z295" s="12" t="str"/>
      <x:c r="AA295" s="32" t="n">
        <x:f>IFERROR(VLOOKUP(G295,Master_Unit!$A$2:$N$78,7,FALSE),"")</x:f>
        <x:v>20</x:v>
      </x:c>
      <x:c r="AB295" s="32" t="n">
        <x:f>IF(OR(N295="",AA295=""),"",N295-AA295)</x:f>
        <x:v>-8.333333333333334</x:v>
      </x:c>
      <x:c r="AC295" s="20" t="n">
        <x:f>IF(OR(N295="",AA295="",AA295=0),"",AB295/AA295)</x:f>
        <x:v>-0.4166666666666667</x:v>
      </x:c>
      <x:c r="AD295" t="str">
        <x:f>IF(AA295="","NO STANDARD",IF(AC295&lt;=Config_Status!$B$2,"EFFICIENT",IF(AC295&lt;=Config_Status!$B$3,"NORMAL",IF(AC295&lt;=Config_Status!$B$4,"WARNING","OVER CONSUMPTION"))))</x:f>
        <x:v>EFFICIENT</x:v>
      </x:c>
      <x:c r="AE295" t="str">
        <x:f>IFERROR(VLOOKUP(G295,Master_Unit!$A$2:$N$78,13,FALSE),"UNIT NOT FOUND")</x:f>
        <x:v>Matched</x:v>
      </x:c>
    </x:row>
    <x:row r="296">
      <x:c r="A296" s="12" t="str">
        <x:v>FU-20260605-00295</x:v>
      </x:c>
      <x:c r="B296" s="12" t="n">
        <x:v>425</x:v>
      </x:c>
      <x:c r="C296" s="14" t="n">
        <x:v>46178</x:v>
      </x:c>
      <x:c r="D296" s="12" t="str">
        <x:v>Jum'at</x:v>
      </x:c>
      <x:c r="E296" s="12" t="str">
        <x:v>10:12:00</x:v>
      </x:c>
      <x:c r="F296" s="12" t="str">
        <x:v>All Shift Day</x:v>
      </x:c>
      <x:c r="G296" s="12" t="str">
        <x:v>STRL44G138</x:v>
      </x:c>
      <x:c r="H296" s="12" t="str">
        <x:v>Dump Truck</x:v>
      </x:c>
      <x:c r="I296" s="12" t="str">
        <x:v>DUMP TRUCK RENAULT KRANGE440-P6X4 A/T</x:v>
      </x:c>
      <x:c r="J296" s="16" t="n">
        <x:v>120</x:v>
      </x:c>
      <x:c r="K296" s="16" t="n">
        <x:v>5249</x:v>
      </x:c>
      <x:c r="L296" s="16" t="n">
        <x:v>5254</x:v>
      </x:c>
      <x:c r="M296" s="16" t="n">
        <x:v>5</x:v>
      </x:c>
      <x:c r="N296" s="16" t="n">
        <x:v>24</x:v>
      </x:c>
      <x:c r="O296" s="12" t="str">
        <x:v>FTRL44G005</x:v>
      </x:c>
      <x:c r="P296" s="12" t="str">
        <x:v>STRL44G138</x:v>
      </x:c>
      <x:c r="Q296" s="12" t="str"/>
      <x:c r="R296" s="12" t="str"/>
      <x:c r="S296" s="12" t="str"/>
      <x:c r="T296" s="12" t="str">
        <x:v>ABM</x:v>
      </x:c>
      <x:c r="U296" s="12" t="str"/>
      <x:c r="V296" s="12" t="str"/>
      <x:c r="W296" s="12" t="str"/>
      <x:c r="X296" s="12" t="str">
        <x:v>STRL44</x:v>
      </x:c>
      <x:c r="Y296" s="12" t="str">
        <x:v>FANGKI &amp; ACUNG</x:v>
      </x:c>
      <x:c r="Z296" s="12" t="str"/>
      <x:c r="AA296" s="32" t="n">
        <x:f>IFERROR(VLOOKUP(G296,Master_Unit!$A$2:$N$78,7,FALSE),"")</x:f>
        <x:v>20</x:v>
      </x:c>
      <x:c r="AB296" s="32" t="n">
        <x:f>IF(OR(N296="",AA296=""),"",N296-AA296)</x:f>
        <x:v>4</x:v>
      </x:c>
      <x:c r="AC296" s="20" t="n">
        <x:f>IF(OR(N296="",AA296="",AA296=0),"",AB296/AA296)</x:f>
        <x:v>0.2</x:v>
      </x:c>
      <x:c r="AD296" t="str">
        <x:f>IF(AA296="","NO STANDARD",IF(AC296&lt;=Config_Status!$B$2,"EFFICIENT",IF(AC296&lt;=Config_Status!$B$3,"NORMAL",IF(AC296&lt;=Config_Status!$B$4,"WARNING","OVER CONSUMPTION"))))</x:f>
        <x:v>WARNING</x:v>
      </x:c>
      <x:c r="AE296" t="str">
        <x:f>IFERROR(VLOOKUP(G296,Master_Unit!$A$2:$N$78,13,FALSE),"UNIT NOT FOUND")</x:f>
        <x:v>Matched</x:v>
      </x:c>
    </x:row>
    <x:row r="297">
      <x:c r="A297" s="12" t="str">
        <x:v>FU-20260605-00296</x:v>
      </x:c>
      <x:c r="B297" s="12" t="n">
        <x:v>426</x:v>
      </x:c>
      <x:c r="C297" s="14" t="n">
        <x:v>46178</x:v>
      </x:c>
      <x:c r="D297" s="12" t="str">
        <x:v>Jum'at</x:v>
      </x:c>
      <x:c r="E297" s="12" t="str">
        <x:v>10:14:00</x:v>
      </x:c>
      <x:c r="F297" s="12" t="str">
        <x:v>All Shift Day</x:v>
      </x:c>
      <x:c r="G297" s="12" t="str">
        <x:v>STRL44G151</x:v>
      </x:c>
      <x:c r="H297" s="12" t="str">
        <x:v>Dump Truck</x:v>
      </x:c>
      <x:c r="I297" s="12" t="str">
        <x:v>DUMP TRUCK RENAULT KRANGE440-P6X4 A/T</x:v>
      </x:c>
      <x:c r="J297" s="16" t="n">
        <x:v>144</x:v>
      </x:c>
      <x:c r="K297" s="16" t="n">
        <x:v>4340</x:v>
      </x:c>
      <x:c r="L297" s="16" t="n">
        <x:v>4348</x:v>
      </x:c>
      <x:c r="M297" s="16" t="n">
        <x:v>8</x:v>
      </x:c>
      <x:c r="N297" s="16" t="n">
        <x:v>18</x:v>
      </x:c>
      <x:c r="O297" s="12" t="str">
        <x:v>FTRL44G005</x:v>
      </x:c>
      <x:c r="P297" s="12" t="str">
        <x:v>STRL44G151</x:v>
      </x:c>
      <x:c r="Q297" s="12" t="str"/>
      <x:c r="R297" s="12" t="str"/>
      <x:c r="S297" s="12" t="str"/>
      <x:c r="T297" s="12" t="str">
        <x:v>ABM</x:v>
      </x:c>
      <x:c r="U297" s="12" t="str"/>
      <x:c r="V297" s="12" t="str"/>
      <x:c r="W297" s="12" t="str"/>
      <x:c r="X297" s="12" t="str">
        <x:v>STRL44</x:v>
      </x:c>
      <x:c r="Y297" s="12" t="str">
        <x:v>FANGKI &amp; ACUNG</x:v>
      </x:c>
      <x:c r="Z297" s="12" t="str"/>
      <x:c r="AA297" s="32" t="n">
        <x:f>IFERROR(VLOOKUP(G297,Master_Unit!$A$2:$N$78,7,FALSE),"")</x:f>
        <x:v>20</x:v>
      </x:c>
      <x:c r="AB297" s="32" t="n">
        <x:f>IF(OR(N297="",AA297=""),"",N297-AA297)</x:f>
        <x:v>-2</x:v>
      </x:c>
      <x:c r="AC297" s="20" t="n">
        <x:f>IF(OR(N297="",AA297="",AA297=0),"",AB297/AA297)</x:f>
        <x:v>-0.1</x:v>
      </x:c>
      <x:c r="AD297" t="str">
        <x:f>IF(AA297="","NO STANDARD",IF(AC297&lt;=Config_Status!$B$2,"EFFICIENT",IF(AC297&lt;=Config_Status!$B$3,"NORMAL",IF(AC297&lt;=Config_Status!$B$4,"WARNING","OVER CONSUMPTION"))))</x:f>
        <x:v>EFFICIENT</x:v>
      </x:c>
      <x:c r="AE297" t="str">
        <x:f>IFERROR(VLOOKUP(G297,Master_Unit!$A$2:$N$78,13,FALSE),"UNIT NOT FOUND")</x:f>
        <x:v>Matched</x:v>
      </x:c>
    </x:row>
    <x:row r="298">
      <x:c r="A298" s="12" t="str">
        <x:v>FU-20260605-00297</x:v>
      </x:c>
      <x:c r="B298" s="12" t="n">
        <x:v>427</x:v>
      </x:c>
      <x:c r="C298" s="14" t="n">
        <x:v>46178</x:v>
      </x:c>
      <x:c r="D298" s="12" t="str">
        <x:v>Jum'at</x:v>
      </x:c>
      <x:c r="E298" s="12" t="str">
        <x:v>10:17:00</x:v>
      </x:c>
      <x:c r="F298" s="12" t="str">
        <x:v>All Shift Day</x:v>
      </x:c>
      <x:c r="G298" s="12" t="str">
        <x:v>STRL44G143</x:v>
      </x:c>
      <x:c r="H298" s="12" t="str">
        <x:v>Dump Truck</x:v>
      </x:c>
      <x:c r="I298" s="12" t="str">
        <x:v>DUMP TRUCK RENAULT KRANGE440-P6X4 A/T</x:v>
      </x:c>
      <x:c r="J298" s="16" t="n">
        <x:v>134</x:v>
      </x:c>
      <x:c r="K298" s="16" t="n">
        <x:v>5178</x:v>
      </x:c>
      <x:c r="L298" s="16" t="n">
        <x:v>5184</x:v>
      </x:c>
      <x:c r="M298" s="16" t="n">
        <x:v>6</x:v>
      </x:c>
      <x:c r="N298" s="16" t="n">
        <x:v>22.333333333333332</x:v>
      </x:c>
      <x:c r="O298" s="12" t="str">
        <x:v>FTRL44G005</x:v>
      </x:c>
      <x:c r="P298" s="12" t="str">
        <x:v>STRL44G143</x:v>
      </x:c>
      <x:c r="Q298" s="12" t="str"/>
      <x:c r="R298" s="12" t="str"/>
      <x:c r="S298" s="12" t="str"/>
      <x:c r="T298" s="12" t="str">
        <x:v>ABM</x:v>
      </x:c>
      <x:c r="U298" s="12" t="str"/>
      <x:c r="V298" s="12" t="str"/>
      <x:c r="W298" s="12" t="str"/>
      <x:c r="X298" s="12" t="str">
        <x:v>STRL44</x:v>
      </x:c>
      <x:c r="Y298" s="12" t="str">
        <x:v>FANGKI &amp; ACUNG</x:v>
      </x:c>
      <x:c r="Z298" s="12" t="str"/>
      <x:c r="AA298" s="32" t="n">
        <x:f>IFERROR(VLOOKUP(G298,Master_Unit!$A$2:$N$78,7,FALSE),"")</x:f>
        <x:v>20</x:v>
      </x:c>
      <x:c r="AB298" s="32" t="n">
        <x:f>IF(OR(N298="",AA298=""),"",N298-AA298)</x:f>
        <x:v>2.333333333333332</x:v>
      </x:c>
      <x:c r="AC298" s="20" t="n">
        <x:f>IF(OR(N298="",AA298="",AA298=0),"",AB298/AA298)</x:f>
        <x:v>0.11666666666666661</x:v>
      </x:c>
      <x:c r="AD298" t="str">
        <x:f>IF(AA298="","NO STANDARD",IF(AC298&lt;=Config_Status!$B$2,"EFFICIENT",IF(AC298&lt;=Config_Status!$B$3,"NORMAL",IF(AC298&lt;=Config_Status!$B$4,"WARNING","OVER CONSUMPTION"))))</x:f>
        <x:v>WARNING</x:v>
      </x:c>
      <x:c r="AE298" t="str">
        <x:f>IFERROR(VLOOKUP(G298,Master_Unit!$A$2:$N$78,13,FALSE),"UNIT NOT FOUND")</x:f>
        <x:v>Matched</x:v>
      </x:c>
    </x:row>
    <x:row r="299">
      <x:c r="A299" s="12" t="str">
        <x:v>FU-20260605-00298</x:v>
      </x:c>
      <x:c r="B299" s="12" t="n">
        <x:v>428</x:v>
      </x:c>
      <x:c r="C299" s="14" t="n">
        <x:v>46178</x:v>
      </x:c>
      <x:c r="D299" s="12" t="str">
        <x:v>Jum'at</x:v>
      </x:c>
      <x:c r="E299" s="12" t="str">
        <x:v>10:27:00</x:v>
      </x:c>
      <x:c r="F299" s="12" t="str">
        <x:v>All Shift Day</x:v>
      </x:c>
      <x:c r="G299" s="12" t="str">
        <x:v>LVTH24R026</x:v>
      </x:c>
      <x:c r="H299" s="12" t="str">
        <x:v>Light Vehicle</x:v>
      </x:c>
      <x:c r="I299" s="12" t="str">
        <x:v>LIGHT VEHICLE TOYOTA HILUX</x:v>
      </x:c>
      <x:c r="J299" s="16" t="n">
        <x:v>21</x:v>
      </x:c>
      <x:c r="K299" s="16" t="n">
        <x:v>58711</x:v>
      </x:c>
      <x:c r="L299" s="16" t="n">
        <x:v>58870</x:v>
      </x:c>
      <x:c r="M299" s="16" t="n">
        <x:v>159</x:v>
      </x:c>
      <x:c r="N299" s="16" t="n">
        <x:v>0.1320754716981132</x:v>
      </x:c>
      <x:c r="O299" s="12" t="str">
        <x:v>FTRL44G005</x:v>
      </x:c>
      <x:c r="P299" s="12" t="str">
        <x:v>LVTH24R026</x:v>
      </x:c>
      <x:c r="Q299" s="12" t="str"/>
      <x:c r="R299" s="12" t="str"/>
      <x:c r="S299" s="12" t="str"/>
      <x:c r="T299" s="12" t="str">
        <x:v>ABM</x:v>
      </x:c>
      <x:c r="U299" s="12" t="str"/>
      <x:c r="V299" s="12" t="str"/>
      <x:c r="W299" s="12" t="str"/>
      <x:c r="X299" s="12" t="str">
        <x:v>LVTH24</x:v>
      </x:c>
      <x:c r="Y299" s="12" t="str">
        <x:v>FANGKI &amp; ACUNG</x:v>
      </x:c>
      <x:c r="Z299" s="12" t="str"/>
      <x:c r="AA299" s="32" t="n">
        <x:f>IFERROR(VLOOKUP(G299,Master_Unit!$A$2:$N$78,7,FALSE),"")</x:f>
        <x:v>0.2</x:v>
      </x:c>
      <x:c r="AB299" s="32" t="n">
        <x:f>IF(OR(N299="",AA299=""),"",N299-AA299)</x:f>
        <x:v>-0.0679245283018868</x:v>
      </x:c>
      <x:c r="AC299" s="20" t="n">
        <x:f>IF(OR(N299="",AA299="",AA299=0),"",AB299/AA299)</x:f>
        <x:v>-0.339622641509434</x:v>
      </x:c>
      <x:c r="AD299" t="str">
        <x:f>IF(AA299="","NO STANDARD",IF(AC299&lt;=Config_Status!$B$2,"EFFICIENT",IF(AC299&lt;=Config_Status!$B$3,"NORMAL",IF(AC299&lt;=Config_Status!$B$4,"WARNING","OVER CONSUMPTION"))))</x:f>
        <x:v>EFFICIENT</x:v>
      </x:c>
      <x:c r="AE299" t="str">
        <x:f>IFERROR(VLOOKUP(G299,Master_Unit!$A$2:$N$78,13,FALSE),"UNIT NOT FOUND")</x:f>
        <x:v>Matched</x:v>
      </x:c>
    </x:row>
    <x:row r="300">
      <x:c r="A300" s="12" t="str">
        <x:v>FU-20260605-00299</x:v>
      </x:c>
      <x:c r="B300" s="12" t="n">
        <x:v>429</x:v>
      </x:c>
      <x:c r="C300" s="14" t="n">
        <x:v>46178</x:v>
      </x:c>
      <x:c r="D300" s="12" t="str">
        <x:v>Jum'at</x:v>
      </x:c>
      <x:c r="E300" s="12" t="str">
        <x:v>10:46:00</x:v>
      </x:c>
      <x:c r="F300" s="12" t="str">
        <x:v>All Shift Day</x:v>
      </x:c>
      <x:c r="G300" s="12" t="str">
        <x:v>LVTH24R024</x:v>
      </x:c>
      <x:c r="H300" s="12" t="str">
        <x:v>Light Vehicle</x:v>
      </x:c>
      <x:c r="I300" s="12" t="str">
        <x:v>LIGHT VEHICLE TOYOTA HILUX</x:v>
      </x:c>
      <x:c r="J300" s="16" t="n">
        <x:v>20</x:v>
      </x:c>
      <x:c r="K300" s="16" t="n">
        <x:v>45887</x:v>
      </x:c>
      <x:c r="L300" s="16" t="n">
        <x:v>46028</x:v>
      </x:c>
      <x:c r="M300" s="16" t="n">
        <x:v>141</x:v>
      </x:c>
      <x:c r="N300" s="16" t="n">
        <x:v>0.14184397163120568</x:v>
      </x:c>
      <x:c r="O300" s="12" t="str">
        <x:v>FTRL44G005</x:v>
      </x:c>
      <x:c r="P300" s="12" t="str">
        <x:v>LVTH24R024</x:v>
      </x:c>
      <x:c r="Q300" s="12" t="str"/>
      <x:c r="R300" s="12" t="str"/>
      <x:c r="S300" s="12" t="str"/>
      <x:c r="T300" s="12" t="str">
        <x:v>ABM</x:v>
      </x:c>
      <x:c r="U300" s="12" t="str"/>
      <x:c r="V300" s="12" t="str"/>
      <x:c r="W300" s="12" t="str"/>
      <x:c r="X300" s="12" t="str">
        <x:v>LVTH24</x:v>
      </x:c>
      <x:c r="Y300" s="12" t="str">
        <x:v>FANGKI &amp; ACUNG</x:v>
      </x:c>
      <x:c r="Z300" s="12" t="str"/>
      <x:c r="AA300" s="32" t="n">
        <x:f>IFERROR(VLOOKUP(G300,Master_Unit!$A$2:$N$78,7,FALSE),"")</x:f>
        <x:v>0.2</x:v>
      </x:c>
      <x:c r="AB300" s="32" t="n">
        <x:f>IF(OR(N300="",AA300=""),"",N300-AA300)</x:f>
        <x:v>-0.05815602836879433</x:v>
      </x:c>
      <x:c r="AC300" s="20" t="n">
        <x:f>IF(OR(N300="",AA300="",AA300=0),"",AB300/AA300)</x:f>
        <x:v>-0.2907801418439716</x:v>
      </x:c>
      <x:c r="AD300" t="str">
        <x:f>IF(AA300="","NO STANDARD",IF(AC300&lt;=Config_Status!$B$2,"EFFICIENT",IF(AC300&lt;=Config_Status!$B$3,"NORMAL",IF(AC300&lt;=Config_Status!$B$4,"WARNING","OVER CONSUMPTION"))))</x:f>
        <x:v>EFFICIENT</x:v>
      </x:c>
      <x:c r="AE300" t="str">
        <x:f>IFERROR(VLOOKUP(G300,Master_Unit!$A$2:$N$78,13,FALSE),"UNIT NOT FOUND")</x:f>
        <x:v>Matched</x:v>
      </x:c>
    </x:row>
    <x:row r="301">
      <x:c r="A301" s="12" t="str">
        <x:v>FU-20260605-00300</x:v>
      </x:c>
      <x:c r="B301" s="12" t="n">
        <x:v>430</x:v>
      </x:c>
      <x:c r="C301" s="14" t="n">
        <x:v>46178</x:v>
      </x:c>
      <x:c r="D301" s="12" t="str">
        <x:v>Jum'at</x:v>
      </x:c>
      <x:c r="E301" s="12" t="str">
        <x:v>10:50:00</x:v>
      </x:c>
      <x:c r="F301" s="12" t="str">
        <x:v>All Shift Day</x:v>
      </x:c>
      <x:c r="G301" s="12" t="str">
        <x:v>GSHT10G002</x:v>
      </x:c>
      <x:c r="H301" s="12" t="str">
        <x:v>Genset</x:v>
      </x:c>
      <x:c r="I301" s="12" t="str">
        <x:v>GENSET HARTECH HT-10</x:v>
      </x:c>
      <x:c r="J301" s="16" t="n">
        <x:v>37</x:v>
      </x:c>
      <x:c r="K301" s="16" t="n">
        <x:v>8425.17</x:v>
      </x:c>
      <x:c r="L301" s="16" t="n">
        <x:v>8457.42</x:v>
      </x:c>
      <x:c r="M301" s="16" t="n">
        <x:v>32.25</x:v>
      </x:c>
      <x:c r="N301" s="16" t="n">
        <x:v>1.1472868217054264</x:v>
      </x:c>
      <x:c r="O301" s="12" t="str">
        <x:v>FTRL44G005</x:v>
      </x:c>
      <x:c r="P301" s="12" t="str">
        <x:v>GSHT10G002</x:v>
      </x:c>
      <x:c r="Q301" s="12" t="str"/>
      <x:c r="R301" s="12" t="str"/>
      <x:c r="S301" s="12" t="str"/>
      <x:c r="T301" s="12" t="str">
        <x:v>ABM</x:v>
      </x:c>
      <x:c r="U301" s="12" t="str"/>
      <x:c r="V301" s="12" t="str"/>
      <x:c r="W301" s="12" t="str"/>
      <x:c r="X301" s="12" t="str">
        <x:v>GSHT10</x:v>
      </x:c>
      <x:c r="Y301" s="12" t="str">
        <x:v>FANGKI &amp; ACUNG</x:v>
      </x:c>
      <x:c r="Z301" s="12" t="str"/>
      <x:c r="AA301" s="32" t="n">
        <x:f>IFERROR(VLOOKUP(G301,Master_Unit!$A$2:$N$78,7,FALSE),"")</x:f>
        <x:v>3</x:v>
      </x:c>
      <x:c r="AB301" s="32" t="n">
        <x:f>IF(OR(N301="",AA301=""),"",N301-AA301)</x:f>
        <x:v>-1.8527131782945736</x:v>
      </x:c>
      <x:c r="AC301" s="20" t="n">
        <x:f>IF(OR(N301="",AA301="",AA301=0),"",AB301/AA301)</x:f>
        <x:v>-0.6175710594315246</x:v>
      </x:c>
      <x:c r="AD301" t="str">
        <x:f>IF(AA301="","NO STANDARD",IF(AC301&lt;=Config_Status!$B$2,"EFFICIENT",IF(AC301&lt;=Config_Status!$B$3,"NORMAL",IF(AC301&lt;=Config_Status!$B$4,"WARNING","OVER CONSUMPTION"))))</x:f>
        <x:v>EFFICIENT</x:v>
      </x:c>
      <x:c r="AE301" t="str">
        <x:f>IFERROR(VLOOKUP(G301,Master_Unit!$A$2:$N$78,13,FALSE),"UNIT NOT FOUND")</x:f>
        <x:v>Matched</x:v>
      </x:c>
    </x:row>
    <x:row r="302">
      <x:c r="A302" s="12" t="str">
        <x:v>FU-20260605-00301</x:v>
      </x:c>
      <x:c r="B302" s="12" t="n">
        <x:v>431</x:v>
      </x:c>
      <x:c r="C302" s="14" t="n">
        <x:v>46178</x:v>
      </x:c>
      <x:c r="D302" s="12" t="str">
        <x:v>Jum'at</x:v>
      </x:c>
      <x:c r="E302" s="12" t="str">
        <x:v>10:57:00</x:v>
      </x:c>
      <x:c r="F302" s="12" t="str">
        <x:v>All Shift Day</x:v>
      </x:c>
      <x:c r="G302" s="12" t="str">
        <x:v>TLPT14G001</x:v>
      </x:c>
      <x:c r="H302" s="12" t="str">
        <x:v>Other</x:v>
      </x:c>
      <x:c r="I302" s="12" t="str">
        <x:v>TOWERLAMP PATRIA LS4-1400</x:v>
      </x:c>
      <x:c r="J302" s="16" t="n">
        <x:v>11</x:v>
      </x:c>
      <x:c r="K302" s="16" t="n">
        <x:v>17729.7</x:v>
      </x:c>
      <x:c r="L302" s="16" t="n">
        <x:v>17729.7</x:v>
      </x:c>
      <x:c r="M302" s="16" t="n">
        <x:v>0</x:v>
      </x:c>
      <x:c r="N302" s="16" t="n">
        <x:v>0</x:v>
      </x:c>
      <x:c r="O302" s="12" t="str">
        <x:v>FTRL44G005</x:v>
      </x:c>
      <x:c r="P302" s="12" t="str">
        <x:v>TLPT14G001</x:v>
      </x:c>
      <x:c r="Q302" s="12" t="str"/>
      <x:c r="R302" s="12" t="str"/>
      <x:c r="S302" s="12" t="str"/>
      <x:c r="T302" s="12" t="str">
        <x:v>ABM</x:v>
      </x:c>
      <x:c r="U302" s="12" t="str"/>
      <x:c r="V302" s="12" t="str"/>
      <x:c r="W302" s="12" t="str"/>
      <x:c r="X302" s="12" t="str">
        <x:v>TLPT14</x:v>
      </x:c>
      <x:c r="Y302" s="12" t="str">
        <x:v>FANGKI &amp; ACUNG</x:v>
      </x:c>
      <x:c r="Z302" s="12" t="str"/>
      <x:c r="AA302" s="32" t="str">
        <x:f>IFERROR(VLOOKUP(G302,Master_Unit!$A$2:$N$78,7,FALSE),"")</x:f>
      </x:c>
      <x:c r="AB302" s="32" t="str">
        <x:f>IF(OR(N302="",AA302=""),"",N302-AA302)</x:f>
      </x:c>
      <x:c r="AC302" s="20" t="str">
        <x:f>IF(OR(N302="",AA302="",AA302=0),"",AB302/AA302)</x:f>
      </x:c>
      <x:c r="AD302" t="str">
        <x:f>IF(AA302="","NO STANDARD",IF(AC302&lt;=Config_Status!$B$2,"EFFICIENT",IF(AC302&lt;=Config_Status!$B$3,"NORMAL",IF(AC302&lt;=Config_Status!$B$4,"WARNING","OVER CONSUMPTION"))))</x:f>
        <x:v>NO STANDARD</x:v>
      </x:c>
      <x:c r="AE302" t="str">
        <x:f>IFERROR(VLOOKUP(G302,Master_Unit!$A$2:$N$78,13,FALSE),"UNIT NOT FOUND")</x:f>
        <x:v>No Standard</x:v>
      </x:c>
    </x:row>
    <x:row r="303">
      <x:c r="A303" s="12" t="str">
        <x:v>FU-20260605-00302</x:v>
      </x:c>
      <x:c r="B303" s="12" t="n">
        <x:v>432</x:v>
      </x:c>
      <x:c r="C303" s="14" t="n">
        <x:v>46178</x:v>
      </x:c>
      <x:c r="D303" s="12" t="str">
        <x:v>Jum'at</x:v>
      </x:c>
      <x:c r="E303" s="12" t="str">
        <x:v>11:01:00</x:v>
      </x:c>
      <x:c r="F303" s="12" t="str">
        <x:v>All Shift Day</x:v>
      </x:c>
      <x:c r="G303" s="12" t="str">
        <x:v>EXVV21G037</x:v>
      </x:c>
      <x:c r="H303" s="12" t="str">
        <x:v>Excavator</x:v>
      </x:c>
      <x:c r="I303" s="12" t="str">
        <x:v>EXCAVATOR VOLVO EC210D</x:v>
      </x:c>
      <x:c r="J303" s="16" t="n">
        <x:v>132</x:v>
      </x:c>
      <x:c r="K303" s="16" t="n">
        <x:v>6794.1</x:v>
      </x:c>
      <x:c r="L303" s="16" t="n">
        <x:v>6801.6</x:v>
      </x:c>
      <x:c r="M303" s="16" t="n">
        <x:v>7.5</x:v>
      </x:c>
      <x:c r="N303" s="16" t="n">
        <x:v>17.6</x:v>
      </x:c>
      <x:c r="O303" s="12" t="str">
        <x:v>FTRL44G005</x:v>
      </x:c>
      <x:c r="P303" s="12" t="str">
        <x:v>EXVV21G037</x:v>
      </x:c>
      <x:c r="Q303" s="12" t="str"/>
      <x:c r="R303" s="12" t="str"/>
      <x:c r="S303" s="12" t="str"/>
      <x:c r="T303" s="12" t="str">
        <x:v>ABM</x:v>
      </x:c>
      <x:c r="U303" s="12" t="str"/>
      <x:c r="V303" s="12" t="str"/>
      <x:c r="W303" s="12" t="str"/>
      <x:c r="X303" s="12" t="str">
        <x:v>EXVV21</x:v>
      </x:c>
      <x:c r="Y303" s="12" t="str">
        <x:v>FANGKI &amp; ACUNG</x:v>
      </x:c>
      <x:c r="Z303" s="12" t="str"/>
      <x:c r="AA303" s="32" t="n">
        <x:f>IFERROR(VLOOKUP(G303,Master_Unit!$A$2:$N$78,7,FALSE),"")</x:f>
        <x:v>20</x:v>
      </x:c>
      <x:c r="AB303" s="32" t="n">
        <x:f>IF(OR(N303="",AA303=""),"",N303-AA303)</x:f>
        <x:v>-2.3999999999999986</x:v>
      </x:c>
      <x:c r="AC303" s="20" t="n">
        <x:f>IF(OR(N303="",AA303="",AA303=0),"",AB303/AA303)</x:f>
        <x:v>-0.11999999999999993</x:v>
      </x:c>
      <x:c r="AD303" t="str">
        <x:f>IF(AA303="","NO STANDARD",IF(AC303&lt;=Config_Status!$B$2,"EFFICIENT",IF(AC303&lt;=Config_Status!$B$3,"NORMAL",IF(AC303&lt;=Config_Status!$B$4,"WARNING","OVER CONSUMPTION"))))</x:f>
        <x:v>EFFICIENT</x:v>
      </x:c>
      <x:c r="AE303" t="str">
        <x:f>IFERROR(VLOOKUP(G303,Master_Unit!$A$2:$N$78,13,FALSE),"UNIT NOT FOUND")</x:f>
        <x:v>Matched</x:v>
      </x:c>
    </x:row>
    <x:row r="304">
      <x:c r="A304" s="12" t="str">
        <x:v>FU-20260605-00303</x:v>
      </x:c>
      <x:c r="B304" s="12" t="n">
        <x:v>433</x:v>
      </x:c>
      <x:c r="C304" s="14" t="n">
        <x:v>46178</x:v>
      </x:c>
      <x:c r="D304" s="12" t="str">
        <x:v>Jum'at</x:v>
      </x:c>
      <x:c r="E304" s="12" t="str">
        <x:v>11:05:00</x:v>
      </x:c>
      <x:c r="F304" s="12" t="str">
        <x:v>All Shift Day</x:v>
      </x:c>
      <x:c r="G304" s="12" t="str">
        <x:v>GSHT10G001</x:v>
      </x:c>
      <x:c r="H304" s="12" t="str">
        <x:v>Genset</x:v>
      </x:c>
      <x:c r="I304" s="12" t="str">
        <x:v>GENSET HARTECH HT-10</x:v>
      </x:c>
      <x:c r="J304" s="16" t="n">
        <x:v>14</x:v>
      </x:c>
      <x:c r="K304" s="16" t="n">
        <x:v>5895.1</x:v>
      </x:c>
      <x:c r="L304" s="16" t="n">
        <x:v>5905.55</x:v>
      </x:c>
      <x:c r="M304" s="16" t="n">
        <x:v>10.449999999999818</x:v>
      </x:c>
      <x:c r="N304" s="16" t="n">
        <x:v>1.3397129186603105</x:v>
      </x:c>
      <x:c r="O304" s="12" t="str">
        <x:v>FTRL44G005</x:v>
      </x:c>
      <x:c r="P304" s="12" t="str">
        <x:v>GSHT10G001</x:v>
      </x:c>
      <x:c r="Q304" s="12" t="str"/>
      <x:c r="R304" s="12" t="str"/>
      <x:c r="S304" s="12" t="str"/>
      <x:c r="T304" s="12" t="str">
        <x:v>ABM</x:v>
      </x:c>
      <x:c r="U304" s="12" t="str"/>
      <x:c r="V304" s="12" t="str"/>
      <x:c r="W304" s="12" t="str"/>
      <x:c r="X304" s="12" t="str">
        <x:v>GSHT10</x:v>
      </x:c>
      <x:c r="Y304" s="12" t="str">
        <x:v>FANGKI &amp; ACUNG</x:v>
      </x:c>
      <x:c r="Z304" s="12" t="str"/>
      <x:c r="AA304" s="32" t="n">
        <x:f>IFERROR(VLOOKUP(G304,Master_Unit!$A$2:$N$78,7,FALSE),"")</x:f>
        <x:v>3</x:v>
      </x:c>
      <x:c r="AB304" s="32" t="n">
        <x:f>IF(OR(N304="",AA304=""),"",N304-AA304)</x:f>
        <x:v>-1.6602870813396895</x:v>
      </x:c>
      <x:c r="AC304" s="20" t="n">
        <x:f>IF(OR(N304="",AA304="",AA304=0),"",AB304/AA304)</x:f>
        <x:v>-0.5534290271132298</x:v>
      </x:c>
      <x:c r="AD304" t="str">
        <x:f>IF(AA304="","NO STANDARD",IF(AC304&lt;=Config_Status!$B$2,"EFFICIENT",IF(AC304&lt;=Config_Status!$B$3,"NORMAL",IF(AC304&lt;=Config_Status!$B$4,"WARNING","OVER CONSUMPTION"))))</x:f>
        <x:v>EFFICIENT</x:v>
      </x:c>
      <x:c r="AE304" t="str">
        <x:f>IFERROR(VLOOKUP(G304,Master_Unit!$A$2:$N$78,13,FALSE),"UNIT NOT FOUND")</x:f>
        <x:v>Matched</x:v>
      </x:c>
    </x:row>
    <x:row r="305">
      <x:c r="A305" s="12" t="str">
        <x:v>FU-20260605-00304</x:v>
      </x:c>
      <x:c r="B305" s="12" t="n">
        <x:v>434</x:v>
      </x:c>
      <x:c r="C305" s="14" t="n">
        <x:v>46178</x:v>
      </x:c>
      <x:c r="D305" s="12" t="str">
        <x:v>Jum'at</x:v>
      </x:c>
      <x:c r="E305" s="12" t="str">
        <x:v>11:06:00</x:v>
      </x:c>
      <x:c r="F305" s="12" t="str">
        <x:v>All Shift Day</x:v>
      </x:c>
      <x:c r="G305" s="12" t="str">
        <x:v>EXVV21G039</x:v>
      </x:c>
      <x:c r="H305" s="12" t="str">
        <x:v>Excavator</x:v>
      </x:c>
      <x:c r="I305" s="12" t="str">
        <x:v>EXCAVATOR VOLVO EC210D</x:v>
      </x:c>
      <x:c r="J305" s="16" t="n">
        <x:v>111</x:v>
      </x:c>
      <x:c r="K305" s="16" t="n">
        <x:v>6204.4</x:v>
      </x:c>
      <x:c r="L305" s="16" t="n">
        <x:v>6211.6</x:v>
      </x:c>
      <x:c r="M305" s="16" t="n">
        <x:v>7.200000000000728</x:v>
      </x:c>
      <x:c r="N305" s="16" t="n">
        <x:v>15.416666666665108</x:v>
      </x:c>
      <x:c r="O305" s="12" t="str">
        <x:v>FTRL44G005</x:v>
      </x:c>
      <x:c r="P305" s="12" t="str">
        <x:v>EXVV21G039</x:v>
      </x:c>
      <x:c r="Q305" s="12" t="str"/>
      <x:c r="R305" s="12" t="str"/>
      <x:c r="S305" s="12" t="str"/>
      <x:c r="T305" s="12" t="str">
        <x:v>ABM</x:v>
      </x:c>
      <x:c r="U305" s="12" t="str"/>
      <x:c r="V305" s="12" t="str"/>
      <x:c r="W305" s="12" t="str"/>
      <x:c r="X305" s="12" t="str">
        <x:v>EXVV21</x:v>
      </x:c>
      <x:c r="Y305" s="12" t="str">
        <x:v>FANGKI &amp; ACUNG</x:v>
      </x:c>
      <x:c r="Z305" s="12" t="str"/>
      <x:c r="AA305" s="32" t="n">
        <x:f>IFERROR(VLOOKUP(G305,Master_Unit!$A$2:$N$78,7,FALSE),"")</x:f>
        <x:v>20</x:v>
      </x:c>
      <x:c r="AB305" s="32" t="n">
        <x:f>IF(OR(N305="",AA305=""),"",N305-AA305)</x:f>
        <x:v>-4.583333333334892</x:v>
      </x:c>
      <x:c r="AC305" s="20" t="n">
        <x:f>IF(OR(N305="",AA305="",AA305=0),"",AB305/AA305)</x:f>
        <x:v>-0.2291666666667446</x:v>
      </x:c>
      <x:c r="AD305" t="str">
        <x:f>IF(AA305="","NO STANDARD",IF(AC305&lt;=Config_Status!$B$2,"EFFICIENT",IF(AC305&lt;=Config_Status!$B$3,"NORMAL",IF(AC305&lt;=Config_Status!$B$4,"WARNING","OVER CONSUMPTION"))))</x:f>
        <x:v>EFFICIENT</x:v>
      </x:c>
      <x:c r="AE305" t="str">
        <x:f>IFERROR(VLOOKUP(G305,Master_Unit!$A$2:$N$78,13,FALSE),"UNIT NOT FOUND")</x:f>
        <x:v>Matched</x:v>
      </x:c>
    </x:row>
    <x:row r="306">
      <x:c r="A306" s="12" t="str">
        <x:v>FU-20260605-00305</x:v>
      </x:c>
      <x:c r="B306" s="12" t="n">
        <x:v>435</x:v>
      </x:c>
      <x:c r="C306" s="14" t="n">
        <x:v>46178</x:v>
      </x:c>
      <x:c r="D306" s="12" t="str">
        <x:v>Jum'at</x:v>
      </x:c>
      <x:c r="E306" s="12" t="str">
        <x:v>11:11:00</x:v>
      </x:c>
      <x:c r="F306" s="12" t="str">
        <x:v>All Shift Day</x:v>
      </x:c>
      <x:c r="G306" s="12" t="str">
        <x:v>EXVV21G035</x:v>
      </x:c>
      <x:c r="H306" s="12" t="str">
        <x:v>Excavator</x:v>
      </x:c>
      <x:c r="I306" s="12" t="str">
        <x:v>EXCAVATOR VOLVO EC210D</x:v>
      </x:c>
      <x:c r="J306" s="16" t="n">
        <x:v>131</x:v>
      </x:c>
      <x:c r="K306" s="16" t="n">
        <x:v>8320.6</x:v>
      </x:c>
      <x:c r="L306" s="16" t="n">
        <x:v>8334</x:v>
      </x:c>
      <x:c r="M306" s="16" t="n">
        <x:v>13.399999999999636</x:v>
      </x:c>
      <x:c r="N306" s="16" t="n">
        <x:v>9.77611940298534</x:v>
      </x:c>
      <x:c r="O306" s="12" t="str">
        <x:v>FTRL44G005</x:v>
      </x:c>
      <x:c r="P306" s="12" t="str">
        <x:v>EXVV21G035</x:v>
      </x:c>
      <x:c r="Q306" s="12" t="str"/>
      <x:c r="R306" s="12" t="str"/>
      <x:c r="S306" s="12" t="str"/>
      <x:c r="T306" s="12" t="str">
        <x:v>ABM</x:v>
      </x:c>
      <x:c r="U306" s="12" t="str"/>
      <x:c r="V306" s="12" t="str"/>
      <x:c r="W306" s="12" t="str"/>
      <x:c r="X306" s="12" t="str">
        <x:v>EXVV21</x:v>
      </x:c>
      <x:c r="Y306" s="12" t="str">
        <x:v>FANGKI &amp; ACUNG</x:v>
      </x:c>
      <x:c r="Z306" s="12" t="str"/>
      <x:c r="AA306" s="32" t="n">
        <x:f>IFERROR(VLOOKUP(G306,Master_Unit!$A$2:$N$78,7,FALSE),"")</x:f>
        <x:v>20</x:v>
      </x:c>
      <x:c r="AB306" s="32" t="n">
        <x:f>IF(OR(N306="",AA306=""),"",N306-AA306)</x:f>
        <x:v>-10.22388059701466</x:v>
      </x:c>
      <x:c r="AC306" s="20" t="n">
        <x:f>IF(OR(N306="",AA306="",AA306=0),"",AB306/AA306)</x:f>
        <x:v>-0.5111940298507329</x:v>
      </x:c>
      <x:c r="AD306" t="str">
        <x:f>IF(AA306="","NO STANDARD",IF(AC306&lt;=Config_Status!$B$2,"EFFICIENT",IF(AC306&lt;=Config_Status!$B$3,"NORMAL",IF(AC306&lt;=Config_Status!$B$4,"WARNING","OVER CONSUMPTION"))))</x:f>
        <x:v>EFFICIENT</x:v>
      </x:c>
      <x:c r="AE306" t="str">
        <x:f>IFERROR(VLOOKUP(G306,Master_Unit!$A$2:$N$78,13,FALSE),"UNIT NOT FOUND")</x:f>
        <x:v>Matched</x:v>
      </x:c>
    </x:row>
    <x:row r="307">
      <x:c r="A307" s="12" t="str">
        <x:v>FU-20260605-00306</x:v>
      </x:c>
      <x:c r="B307" s="12" t="n">
        <x:v>436</x:v>
      </x:c>
      <x:c r="C307" s="14" t="n">
        <x:v>46178</x:v>
      </x:c>
      <x:c r="D307" s="12" t="str">
        <x:v>Jum'at</x:v>
      </x:c>
      <x:c r="E307" s="12" t="str">
        <x:v>11:17:00</x:v>
      </x:c>
      <x:c r="F307" s="12" t="str">
        <x:v>All Shift Day</x:v>
      </x:c>
      <x:c r="G307" s="12" t="str">
        <x:v>EXVV35G005</x:v>
      </x:c>
      <x:c r="H307" s="12" t="str">
        <x:v>Excavator</x:v>
      </x:c>
      <x:c r="I307" s="12" t="str">
        <x:v>EXCAVATOR VOLVO EC350D</x:v>
      </x:c>
      <x:c r="J307" s="16" t="n">
        <x:v>200</x:v>
      </x:c>
      <x:c r="K307" s="16" t="n">
        <x:v>5124.2</x:v>
      </x:c>
      <x:c r="L307" s="16" t="n">
        <x:v>5135.1</x:v>
      </x:c>
      <x:c r="M307" s="16" t="n">
        <x:v>10.900000000000546</x:v>
      </x:c>
      <x:c r="N307" s="16" t="n">
        <x:v>18.34862385321009</x:v>
      </x:c>
      <x:c r="O307" s="12" t="str">
        <x:v>FTRL44G005</x:v>
      </x:c>
      <x:c r="P307" s="12" t="str">
        <x:v>EXVV35G005</x:v>
      </x:c>
      <x:c r="Q307" s="12" t="str"/>
      <x:c r="R307" s="12" t="str"/>
      <x:c r="S307" s="12" t="str"/>
      <x:c r="T307" s="12" t="str">
        <x:v>ABM</x:v>
      </x:c>
      <x:c r="U307" s="12" t="str"/>
      <x:c r="V307" s="12" t="str"/>
      <x:c r="W307" s="12" t="str"/>
      <x:c r="X307" s="12" t="str">
        <x:v>EXVV35</x:v>
      </x:c>
      <x:c r="Y307" s="12" t="str">
        <x:v>FANGKI &amp; ACUNG</x:v>
      </x:c>
      <x:c r="Z307" s="12" t="str"/>
      <x:c r="AA307" s="32" t="n">
        <x:f>IFERROR(VLOOKUP(G307,Master_Unit!$A$2:$N$78,7,FALSE),"")</x:f>
        <x:v>25</x:v>
      </x:c>
      <x:c r="AB307" s="32" t="n">
        <x:f>IF(OR(N307="",AA307=""),"",N307-AA307)</x:f>
        <x:v>-6.651376146789911</x:v>
      </x:c>
      <x:c r="AC307" s="20" t="n">
        <x:f>IF(OR(N307="",AA307="",AA307=0),"",AB307/AA307)</x:f>
        <x:v>-0.26605504587159645</x:v>
      </x:c>
      <x:c r="AD307" t="str">
        <x:f>IF(AA307="","NO STANDARD",IF(AC307&lt;=Config_Status!$B$2,"EFFICIENT",IF(AC307&lt;=Config_Status!$B$3,"NORMAL",IF(AC307&lt;=Config_Status!$B$4,"WARNING","OVER CONSUMPTION"))))</x:f>
        <x:v>EFFICIENT</x:v>
      </x:c>
      <x:c r="AE307" t="str">
        <x:f>IFERROR(VLOOKUP(G307,Master_Unit!$A$2:$N$78,13,FALSE),"UNIT NOT FOUND")</x:f>
        <x:v>Matched</x:v>
      </x:c>
    </x:row>
    <x:row r="308">
      <x:c r="A308" s="12" t="str">
        <x:v>FU-20260605-00307</x:v>
      </x:c>
      <x:c r="B308" s="12" t="n">
        <x:v>437</x:v>
      </x:c>
      <x:c r="C308" s="14" t="n">
        <x:v>46178</x:v>
      </x:c>
      <x:c r="D308" s="12" t="str">
        <x:v>Jum'at</x:v>
      </x:c>
      <x:c r="E308" s="12" t="str">
        <x:v>11:26:00</x:v>
      </x:c>
      <x:c r="F308" s="12" t="str">
        <x:v>All Shift Day</x:v>
      </x:c>
      <x:c r="G308" s="12" t="str">
        <x:v>EXVV35G007</x:v>
      </x:c>
      <x:c r="H308" s="12" t="str">
        <x:v>Excavator</x:v>
      </x:c>
      <x:c r="I308" s="12" t="str">
        <x:v>EXCAVATOR VOLVO EC350D</x:v>
      </x:c>
      <x:c r="J308" s="16" t="n">
        <x:v>130</x:v>
      </x:c>
      <x:c r="K308" s="16" t="n">
        <x:v>548.1</x:v>
      </x:c>
      <x:c r="L308" s="16" t="n">
        <x:v>553.9</x:v>
      </x:c>
      <x:c r="M308" s="16" t="n">
        <x:v>5.7999999999999545</x:v>
      </x:c>
      <x:c r="N308" s="16" t="n">
        <x:v>22.41379310344845</x:v>
      </x:c>
      <x:c r="O308" s="12" t="str">
        <x:v>FTRL44G005</x:v>
      </x:c>
      <x:c r="P308" s="12" t="str">
        <x:v>EXVV35G007</x:v>
      </x:c>
      <x:c r="Q308" s="12" t="str"/>
      <x:c r="R308" s="12" t="str"/>
      <x:c r="S308" s="12" t="str"/>
      <x:c r="T308" s="12" t="str">
        <x:v>ABM</x:v>
      </x:c>
      <x:c r="U308" s="12" t="str"/>
      <x:c r="V308" s="12" t="str"/>
      <x:c r="W308" s="12" t="str"/>
      <x:c r="X308" s="12" t="str">
        <x:v>EXVV35</x:v>
      </x:c>
      <x:c r="Y308" s="12" t="str">
        <x:v>FANGKI &amp; ACUNG</x:v>
      </x:c>
      <x:c r="Z308" s="12" t="str"/>
      <x:c r="AA308" s="32" t="n">
        <x:f>IFERROR(VLOOKUP(G308,Master_Unit!$A$2:$N$78,7,FALSE),"")</x:f>
        <x:v>25</x:v>
      </x:c>
      <x:c r="AB308" s="32" t="n">
        <x:f>IF(OR(N308="",AA308=""),"",N308-AA308)</x:f>
        <x:v>-2.5862068965515483</x:v>
      </x:c>
      <x:c r="AC308" s="20" t="n">
        <x:f>IF(OR(N308="",AA308="",AA308=0),"",AB308/AA308)</x:f>
        <x:v>-0.10344827586206193</x:v>
      </x:c>
      <x:c r="AD308" t="str">
        <x:f>IF(AA308="","NO STANDARD",IF(AC308&lt;=Config_Status!$B$2,"EFFICIENT",IF(AC308&lt;=Config_Status!$B$3,"NORMAL",IF(AC308&lt;=Config_Status!$B$4,"WARNING","OVER CONSUMPTION"))))</x:f>
        <x:v>EFFICIENT</x:v>
      </x:c>
      <x:c r="AE308" t="str">
        <x:f>IFERROR(VLOOKUP(G308,Master_Unit!$A$2:$N$78,13,FALSE),"UNIT NOT FOUND")</x:f>
        <x:v>Matched</x:v>
      </x:c>
    </x:row>
    <x:row r="309">
      <x:c r="A309" s="12" t="str">
        <x:v>FU-20260605-00308</x:v>
      </x:c>
      <x:c r="B309" s="12" t="n">
        <x:v>438</x:v>
      </x:c>
      <x:c r="C309" s="14" t="n">
        <x:v>46178</x:v>
      </x:c>
      <x:c r="D309" s="12" t="str">
        <x:v>Jum'at</x:v>
      </x:c>
      <x:c r="E309" s="12" t="str">
        <x:v>11:35:00</x:v>
      </x:c>
      <x:c r="F309" s="12" t="str">
        <x:v>All Shift Day</x:v>
      </x:c>
      <x:c r="G309" s="12" t="str">
        <x:v>EXVV35G006</x:v>
      </x:c>
      <x:c r="H309" s="12" t="str">
        <x:v>Excavator</x:v>
      </x:c>
      <x:c r="I309" s="12" t="str">
        <x:v>EXCAVATOR VOLVO EC350D</x:v>
      </x:c>
      <x:c r="J309" s="16" t="n">
        <x:v>200</x:v>
      </x:c>
      <x:c r="K309" s="16" t="n">
        <x:v>3100.6</x:v>
      </x:c>
      <x:c r="L309" s="16" t="n">
        <x:v>3108.4</x:v>
      </x:c>
      <x:c r="M309" s="16" t="n">
        <x:v>7.800000000000182</x:v>
      </x:c>
      <x:c r="N309" s="16" t="n">
        <x:v>25.641025641025042</x:v>
      </x:c>
      <x:c r="O309" s="12" t="str">
        <x:v>FTRL44G005</x:v>
      </x:c>
      <x:c r="P309" s="12" t="str">
        <x:v>EXVV35G006</x:v>
      </x:c>
      <x:c r="Q309" s="12" t="str"/>
      <x:c r="R309" s="12" t="str"/>
      <x:c r="S309" s="12" t="str"/>
      <x:c r="T309" s="12" t="str">
        <x:v>ABM</x:v>
      </x:c>
      <x:c r="U309" s="12" t="str"/>
      <x:c r="V309" s="12" t="str"/>
      <x:c r="W309" s="12" t="str"/>
      <x:c r="X309" s="12" t="str">
        <x:v>EXVV35</x:v>
      </x:c>
      <x:c r="Y309" s="12" t="str">
        <x:v>FANGKI &amp; ACUNG</x:v>
      </x:c>
      <x:c r="Z309" s="12" t="str"/>
      <x:c r="AA309" s="32" t="n">
        <x:f>IFERROR(VLOOKUP(G309,Master_Unit!$A$2:$N$78,7,FALSE),"")</x:f>
        <x:v>25</x:v>
      </x:c>
      <x:c r="AB309" s="32" t="n">
        <x:f>IF(OR(N309="",AA309=""),"",N309-AA309)</x:f>
        <x:v>0.6410256410250419</x:v>
      </x:c>
      <x:c r="AC309" s="20" t="n">
        <x:f>IF(OR(N309="",AA309="",AA309=0),"",AB309/AA309)</x:f>
        <x:v>0.025641025641001677</x:v>
      </x:c>
      <x:c r="AD309" t="str">
        <x:f>IF(AA309="","NO STANDARD",IF(AC309&lt;=Config_Status!$B$2,"EFFICIENT",IF(AC309&lt;=Config_Status!$B$3,"NORMAL",IF(AC309&lt;=Config_Status!$B$4,"WARNING","OVER CONSUMPTION"))))</x:f>
        <x:v>NORMAL</x:v>
      </x:c>
      <x:c r="AE309" t="str">
        <x:f>IFERROR(VLOOKUP(G309,Master_Unit!$A$2:$N$78,13,FALSE),"UNIT NOT FOUND")</x:f>
        <x:v>Matched</x:v>
      </x:c>
    </x:row>
    <x:row r="310">
      <x:c r="A310" s="12" t="str">
        <x:v>FU-20260605-00309</x:v>
      </x:c>
      <x:c r="B310" s="12" t="n">
        <x:v>439</x:v>
      </x:c>
      <x:c r="C310" s="14" t="n">
        <x:v>46178</x:v>
      </x:c>
      <x:c r="D310" s="12" t="str">
        <x:v>Jum'at</x:v>
      </x:c>
      <x:c r="E310" s="12" t="str">
        <x:v>11:42:00</x:v>
      </x:c>
      <x:c r="F310" s="12" t="str">
        <x:v>All Shift Day</x:v>
      </x:c>
      <x:c r="G310" s="12" t="str">
        <x:v>EXVV21G036</x:v>
      </x:c>
      <x:c r="H310" s="12" t="str">
        <x:v>Excavator</x:v>
      </x:c>
      <x:c r="I310" s="12" t="str">
        <x:v>EXCAVATOR VOLVO EC210D</x:v>
      </x:c>
      <x:c r="J310" s="16" t="n">
        <x:v>150</x:v>
      </x:c>
      <x:c r="K310" s="16" t="n">
        <x:v>7489.8</x:v>
      </x:c>
      <x:c r="L310" s="16" t="n">
        <x:v>7498.9</x:v>
      </x:c>
      <x:c r="M310" s="16" t="n">
        <x:v>9.099999999999454</x:v>
      </x:c>
      <x:c r="N310" s="16" t="n">
        <x:v>16.483516483517473</x:v>
      </x:c>
      <x:c r="O310" s="12" t="str">
        <x:v>FTRL44G005</x:v>
      </x:c>
      <x:c r="P310" s="12" t="str">
        <x:v>EXVV21G036</x:v>
      </x:c>
      <x:c r="Q310" s="12" t="str"/>
      <x:c r="R310" s="12" t="str"/>
      <x:c r="S310" s="12" t="str"/>
      <x:c r="T310" s="12" t="str">
        <x:v>ABM</x:v>
      </x:c>
      <x:c r="U310" s="12" t="str"/>
      <x:c r="V310" s="12" t="str"/>
      <x:c r="W310" s="12" t="str"/>
      <x:c r="X310" s="12" t="str">
        <x:v>EXVV21</x:v>
      </x:c>
      <x:c r="Y310" s="12" t="str">
        <x:v>FANGKI &amp; ACUNG</x:v>
      </x:c>
      <x:c r="Z310" s="12" t="str"/>
      <x:c r="AA310" s="32" t="n">
        <x:f>IFERROR(VLOOKUP(G310,Master_Unit!$A$2:$N$78,7,FALSE),"")</x:f>
        <x:v>20</x:v>
      </x:c>
      <x:c r="AB310" s="32" t="n">
        <x:f>IF(OR(N310="",AA310=""),"",N310-AA310)</x:f>
        <x:v>-3.516483516482527</x:v>
      </x:c>
      <x:c r="AC310" s="20" t="n">
        <x:f>IF(OR(N310="",AA310="",AA310=0),"",AB310/AA310)</x:f>
        <x:v>-0.17582417582412635</x:v>
      </x:c>
      <x:c r="AD310" t="str">
        <x:f>IF(AA310="","NO STANDARD",IF(AC310&lt;=Config_Status!$B$2,"EFFICIENT",IF(AC310&lt;=Config_Status!$B$3,"NORMAL",IF(AC310&lt;=Config_Status!$B$4,"WARNING","OVER CONSUMPTION"))))</x:f>
        <x:v>EFFICIENT</x:v>
      </x:c>
      <x:c r="AE310" t="str">
        <x:f>IFERROR(VLOOKUP(G310,Master_Unit!$A$2:$N$78,13,FALSE),"UNIT NOT FOUND")</x:f>
        <x:v>Matched</x:v>
      </x:c>
    </x:row>
    <x:row r="311">
      <x:c r="A311" s="12" t="str">
        <x:v>FU-20260605-00310</x:v>
      </x:c>
      <x:c r="B311" s="12" t="n">
        <x:v>440</x:v>
      </x:c>
      <x:c r="C311" s="14" t="n">
        <x:v>46178</x:v>
      </x:c>
      <x:c r="D311" s="12" t="str">
        <x:v>Jum'at</x:v>
      </x:c>
      <x:c r="E311" s="12" t="str">
        <x:v>12:03:00</x:v>
      </x:c>
      <x:c r="F311" s="12" t="str">
        <x:v>All Shift Day</x:v>
      </x:c>
      <x:c r="G311" s="12" t="str">
        <x:v>EXVV21G032</x:v>
      </x:c>
      <x:c r="H311" s="12" t="str">
        <x:v>Excavator</x:v>
      </x:c>
      <x:c r="I311" s="12" t="str">
        <x:v>EXCAVATOR VOLVO EC210D</x:v>
      </x:c>
      <x:c r="J311" s="16" t="n">
        <x:v>143</x:v>
      </x:c>
      <x:c r="K311" s="16" t="n">
        <x:v>7433.9</x:v>
      </x:c>
      <x:c r="L311" s="16" t="n">
        <x:v>7442.3</x:v>
      </x:c>
      <x:c r="M311" s="16" t="n">
        <x:v>8.400000000000546</x:v>
      </x:c>
      <x:c r="N311" s="16" t="n">
        <x:v>17.023809523808417</x:v>
      </x:c>
      <x:c r="O311" s="12" t="str">
        <x:v>FTRL44G005</x:v>
      </x:c>
      <x:c r="P311" s="12" t="str">
        <x:v>EXVV21G032</x:v>
      </x:c>
      <x:c r="Q311" s="12" t="str"/>
      <x:c r="R311" s="12" t="str"/>
      <x:c r="S311" s="12" t="str"/>
      <x:c r="T311" s="12" t="str">
        <x:v>ABM</x:v>
      </x:c>
      <x:c r="U311" s="12" t="str"/>
      <x:c r="V311" s="12" t="str"/>
      <x:c r="W311" s="12" t="str"/>
      <x:c r="X311" s="12" t="str">
        <x:v>EXVV21</x:v>
      </x:c>
      <x:c r="Y311" s="12" t="str">
        <x:v>FANGKI &amp; ACUNG</x:v>
      </x:c>
      <x:c r="Z311" s="12" t="str"/>
      <x:c r="AA311" s="32" t="n">
        <x:f>IFERROR(VLOOKUP(G311,Master_Unit!$A$2:$N$78,7,FALSE),"")</x:f>
        <x:v>20</x:v>
      </x:c>
      <x:c r="AB311" s="32" t="n">
        <x:f>IF(OR(N311="",AA311=""),"",N311-AA311)</x:f>
        <x:v>-2.976190476191583</x:v>
      </x:c>
      <x:c r="AC311" s="20" t="n">
        <x:f>IF(OR(N311="",AA311="",AA311=0),"",AB311/AA311)</x:f>
        <x:v>-0.14880952380957915</x:v>
      </x:c>
      <x:c r="AD311" t="str">
        <x:f>IF(AA311="","NO STANDARD",IF(AC311&lt;=Config_Status!$B$2,"EFFICIENT",IF(AC311&lt;=Config_Status!$B$3,"NORMAL",IF(AC311&lt;=Config_Status!$B$4,"WARNING","OVER CONSUMPTION"))))</x:f>
        <x:v>EFFICIENT</x:v>
      </x:c>
      <x:c r="AE311" t="str">
        <x:f>IFERROR(VLOOKUP(G311,Master_Unit!$A$2:$N$78,13,FALSE),"UNIT NOT FOUND")</x:f>
        <x:v>Matched</x:v>
      </x:c>
    </x:row>
    <x:row r="312">
      <x:c r="A312" s="12" t="str">
        <x:v>FU-20260605-00311</x:v>
      </x:c>
      <x:c r="B312" s="12" t="n">
        <x:v>441</x:v>
      </x:c>
      <x:c r="C312" s="14" t="n">
        <x:v>46178</x:v>
      </x:c>
      <x:c r="D312" s="12" t="str">
        <x:v>Jum'at</x:v>
      </x:c>
      <x:c r="E312" s="12" t="str">
        <x:v>12:08:00</x:v>
      </x:c>
      <x:c r="F312" s="12" t="str">
        <x:v>All Shift Day</x:v>
      </x:c>
      <x:c r="G312" s="12" t="str">
        <x:v>EXVV21G042</x:v>
      </x:c>
      <x:c r="H312" s="12" t="str">
        <x:v>Excavator</x:v>
      </x:c>
      <x:c r="I312" s="12" t="str">
        <x:v>EXCAVATOR VOLVO EC210D</x:v>
      </x:c>
      <x:c r="J312" s="16" t="n">
        <x:v>145</x:v>
      </x:c>
      <x:c r="K312" s="16" t="n">
        <x:v>7645.4</x:v>
      </x:c>
      <x:c r="L312" s="16" t="n">
        <x:v>7658.3</x:v>
      </x:c>
      <x:c r="M312" s="16" t="n">
        <x:v>12.900000000000546</x:v>
      </x:c>
      <x:c r="N312" s="16" t="n">
        <x:v>11.240310077518904</x:v>
      </x:c>
      <x:c r="O312" s="12" t="str">
        <x:v>FTRL44G005</x:v>
      </x:c>
      <x:c r="P312" s="12" t="str">
        <x:v>EXVV21G042</x:v>
      </x:c>
      <x:c r="Q312" s="12" t="str"/>
      <x:c r="R312" s="12" t="str"/>
      <x:c r="S312" s="12" t="str"/>
      <x:c r="T312" s="12" t="str">
        <x:v>ABM</x:v>
      </x:c>
      <x:c r="U312" s="12" t="str"/>
      <x:c r="V312" s="12" t="str"/>
      <x:c r="W312" s="12" t="str"/>
      <x:c r="X312" s="12" t="str">
        <x:v>EXVV21</x:v>
      </x:c>
      <x:c r="Y312" s="12" t="str">
        <x:v>FANGKI &amp; ACUNG</x:v>
      </x:c>
      <x:c r="Z312" s="12" t="str"/>
      <x:c r="AA312" s="32" t="n">
        <x:f>IFERROR(VLOOKUP(G312,Master_Unit!$A$2:$N$78,7,FALSE),"")</x:f>
        <x:v>20</x:v>
      </x:c>
      <x:c r="AB312" s="32" t="n">
        <x:f>IF(OR(N312="",AA312=""),"",N312-AA312)</x:f>
        <x:v>-8.759689922481096</x:v>
      </x:c>
      <x:c r="AC312" s="20" t="n">
        <x:f>IF(OR(N312="",AA312="",AA312=0),"",AB312/AA312)</x:f>
        <x:v>-0.43798449612405477</x:v>
      </x:c>
      <x:c r="AD312" t="str">
        <x:f>IF(AA312="","NO STANDARD",IF(AC312&lt;=Config_Status!$B$2,"EFFICIENT",IF(AC312&lt;=Config_Status!$B$3,"NORMAL",IF(AC312&lt;=Config_Status!$B$4,"WARNING","OVER CONSUMPTION"))))</x:f>
        <x:v>EFFICIENT</x:v>
      </x:c>
      <x:c r="AE312" t="str">
        <x:f>IFERROR(VLOOKUP(G312,Master_Unit!$A$2:$N$78,13,FALSE),"UNIT NOT FOUND")</x:f>
        <x:v>Matched</x:v>
      </x:c>
    </x:row>
    <x:row r="313">
      <x:c r="A313" s="12" t="str">
        <x:v>FU-20260605-00312</x:v>
      </x:c>
      <x:c r="B313" s="12" t="n">
        <x:v>442</x:v>
      </x:c>
      <x:c r="C313" s="14" t="n">
        <x:v>46178</x:v>
      </x:c>
      <x:c r="D313" s="12" t="str">
        <x:v>Jum'at</x:v>
      </x:c>
      <x:c r="E313" s="12" t="str">
        <x:v>07:34:00</x:v>
      </x:c>
      <x:c r="F313" s="12" t="str">
        <x:v>All Shift Day</x:v>
      </x:c>
      <x:c r="G313" s="12" t="str">
        <x:v>LVTH24R035</x:v>
      </x:c>
      <x:c r="H313" s="12" t="str">
        <x:v>Light Vehicle</x:v>
      </x:c>
      <x:c r="I313" s="12" t="str">
        <x:v>LIGHT VEHICLE TOYOTA HILUX</x:v>
      </x:c>
      <x:c r="J313" s="16" t="n">
        <x:v>20</x:v>
      </x:c>
      <x:c r="K313" s="16" t="n">
        <x:v>69131</x:v>
      </x:c>
      <x:c r="L313" s="16" t="n">
        <x:v>69287</x:v>
      </x:c>
      <x:c r="M313" s="16" t="n">
        <x:v>156</x:v>
      </x:c>
      <x:c r="N313" s="16" t="n">
        <x:v>0.1282051282051282</x:v>
      </x:c>
      <x:c r="O313" s="12" t="str">
        <x:v>FTRL44G004</x:v>
      </x:c>
      <x:c r="P313" s="12" t="str">
        <x:v>LVTH24R035</x:v>
      </x:c>
      <x:c r="Q313" s="12" t="str"/>
      <x:c r="R313" s="12" t="str"/>
      <x:c r="S313" s="12" t="str"/>
      <x:c r="T313" s="12" t="str">
        <x:v>ABM</x:v>
      </x:c>
      <x:c r="U313" s="12" t="str"/>
      <x:c r="V313" s="12" t="str"/>
      <x:c r="W313" s="12" t="str"/>
      <x:c r="X313" s="12" t="str">
        <x:v>LVTH24</x:v>
      </x:c>
      <x:c r="Y313" s="12" t="str">
        <x:v>ANDI &amp; RUSLAN</x:v>
      </x:c>
      <x:c r="Z313" s="12" t="str"/>
      <x:c r="AA313" s="32" t="n">
        <x:f>IFERROR(VLOOKUP(G313,Master_Unit!$A$2:$N$78,7,FALSE),"")</x:f>
        <x:v>0.2</x:v>
      </x:c>
      <x:c r="AB313" s="32" t="n">
        <x:f>IF(OR(N313="",AA313=""),"",N313-AA313)</x:f>
        <x:v>-0.07179487179487182</x:v>
      </x:c>
      <x:c r="AC313" s="20" t="n">
        <x:f>IF(OR(N313="",AA313="",AA313=0),"",AB313/AA313)</x:f>
        <x:v>-0.3589743589743591</x:v>
      </x:c>
      <x:c r="AD313" t="str">
        <x:f>IF(AA313="","NO STANDARD",IF(AC313&lt;=Config_Status!$B$2,"EFFICIENT",IF(AC313&lt;=Config_Status!$B$3,"NORMAL",IF(AC313&lt;=Config_Status!$B$4,"WARNING","OVER CONSUMPTION"))))</x:f>
        <x:v>EFFICIENT</x:v>
      </x:c>
      <x:c r="AE313" t="str">
        <x:f>IFERROR(VLOOKUP(G313,Master_Unit!$A$2:$N$78,13,FALSE),"UNIT NOT FOUND")</x:f>
        <x:v>Matched</x:v>
      </x:c>
    </x:row>
    <x:row r="314">
      <x:c r="A314" s="12" t="str">
        <x:v>FU-20260605-00313</x:v>
      </x:c>
      <x:c r="B314" s="12" t="n">
        <x:v>443</x:v>
      </x:c>
      <x:c r="C314" s="14" t="n">
        <x:v>46178</x:v>
      </x:c>
      <x:c r="D314" s="12" t="str">
        <x:v>Jum'at</x:v>
      </x:c>
      <x:c r="E314" s="12" t="str">
        <x:v>09:51:00</x:v>
      </x:c>
      <x:c r="F314" s="12" t="str">
        <x:v>All Shift Day</x:v>
      </x:c>
      <x:c r="G314" s="12" t="str">
        <x:v>LVTH24R034</x:v>
      </x:c>
      <x:c r="H314" s="12" t="str">
        <x:v>Light Vehicle</x:v>
      </x:c>
      <x:c r="I314" s="12" t="str">
        <x:v>LIGHT VEHICLE TOYOTA HILUX</x:v>
      </x:c>
      <x:c r="J314" s="16" t="n">
        <x:v>30</x:v>
      </x:c>
      <x:c r="K314" s="16" t="n">
        <x:v>47338</x:v>
      </x:c>
      <x:c r="L314" s="16" t="n">
        <x:v>47725</x:v>
      </x:c>
      <x:c r="M314" s="16" t="n">
        <x:v>387</x:v>
      </x:c>
      <x:c r="N314" s="16" t="n">
        <x:v>0.07751937984496124</x:v>
      </x:c>
      <x:c r="O314" s="12" t="str">
        <x:v>FTRL44G004</x:v>
      </x:c>
      <x:c r="P314" s="12" t="str">
        <x:v>LVTH24R034</x:v>
      </x:c>
      <x:c r="Q314" s="12" t="str"/>
      <x:c r="R314" s="12" t="str"/>
      <x:c r="S314" s="12" t="str"/>
      <x:c r="T314" s="12" t="str">
        <x:v>ABM</x:v>
      </x:c>
      <x:c r="U314" s="12" t="str"/>
      <x:c r="V314" s="12" t="str"/>
      <x:c r="W314" s="12" t="str"/>
      <x:c r="X314" s="12" t="str">
        <x:v>LVTH24</x:v>
      </x:c>
      <x:c r="Y314" s="12" t="str">
        <x:v>ANDI &amp; RUSLAN</x:v>
      </x:c>
      <x:c r="Z314" s="12" t="str"/>
      <x:c r="AA314" s="32" t="n">
        <x:f>IFERROR(VLOOKUP(G314,Master_Unit!$A$2:$N$78,7,FALSE),"")</x:f>
        <x:v>0.2</x:v>
      </x:c>
      <x:c r="AB314" s="32" t="n">
        <x:f>IF(OR(N314="",AA314=""),"",N314-AA314)</x:f>
        <x:v>-0.12248062015503877</x:v>
      </x:c>
      <x:c r="AC314" s="20" t="n">
        <x:f>IF(OR(N314="",AA314="",AA314=0),"",AB314/AA314)</x:f>
        <x:v>-0.6124031007751938</x:v>
      </x:c>
      <x:c r="AD314" t="str">
        <x:f>IF(AA314="","NO STANDARD",IF(AC314&lt;=Config_Status!$B$2,"EFFICIENT",IF(AC314&lt;=Config_Status!$B$3,"NORMAL",IF(AC314&lt;=Config_Status!$B$4,"WARNING","OVER CONSUMPTION"))))</x:f>
        <x:v>EFFICIENT</x:v>
      </x:c>
      <x:c r="AE314" t="str">
        <x:f>IFERROR(VLOOKUP(G314,Master_Unit!$A$2:$N$78,13,FALSE),"UNIT NOT FOUND")</x:f>
        <x:v>Matched</x:v>
      </x:c>
    </x:row>
    <x:row r="315">
      <x:c r="A315" s="12" t="str">
        <x:v>FU-20260605-00314</x:v>
      </x:c>
      <x:c r="B315" s="12" t="n">
        <x:v>444</x:v>
      </x:c>
      <x:c r="C315" s="14" t="n">
        <x:v>46178</x:v>
      </x:c>
      <x:c r="D315" s="12" t="str">
        <x:v>Jum'at</x:v>
      </x:c>
      <x:c r="E315" s="12" t="str">
        <x:v>09:52:00</x:v>
      </x:c>
      <x:c r="F315" s="12" t="str">
        <x:v>All Shift Day</x:v>
      </x:c>
      <x:c r="G315" s="12" t="str">
        <x:v>WTRL44G006</x:v>
      </x:c>
      <x:c r="H315" s="12" t="str">
        <x:v>Water Truck</x:v>
      </x:c>
      <x:c r="I315" s="12" t="str">
        <x:v>WATER TRUCK RENAULT KRANGE440-P6X4 A/T</x:v>
      </x:c>
      <x:c r="J315" s="16" t="n">
        <x:v>100</x:v>
      </x:c>
      <x:c r="K315" s="16" t="n">
        <x:v>1998</x:v>
      </x:c>
      <x:c r="L315" s="16" t="n">
        <x:v>2006</x:v>
      </x:c>
      <x:c r="M315" s="16" t="n">
        <x:v>8</x:v>
      </x:c>
      <x:c r="N315" s="16" t="n">
        <x:v>12.5</x:v>
      </x:c>
      <x:c r="O315" s="12" t="str">
        <x:v>FTRL44G004</x:v>
      </x:c>
      <x:c r="P315" s="12" t="str">
        <x:v>WTRL44G006</x:v>
      </x:c>
      <x:c r="Q315" s="12" t="str"/>
      <x:c r="R315" s="12" t="str"/>
      <x:c r="S315" s="12" t="str"/>
      <x:c r="T315" s="12" t="str">
        <x:v>ABM</x:v>
      </x:c>
      <x:c r="U315" s="12" t="str"/>
      <x:c r="V315" s="12" t="str"/>
      <x:c r="W315" s="12" t="str"/>
      <x:c r="X315" s="12" t="str">
        <x:v>WTRL44</x:v>
      </x:c>
      <x:c r="Y315" s="12" t="str">
        <x:v>ANDI &amp; RUSLAN</x:v>
      </x:c>
      <x:c r="Z315" s="12" t="str"/>
      <x:c r="AA315" s="32" t="n">
        <x:f>IFERROR(VLOOKUP(G315,Master_Unit!$A$2:$N$78,7,FALSE),"")</x:f>
        <x:v>20</x:v>
      </x:c>
      <x:c r="AB315" s="32" t="n">
        <x:f>IF(OR(N315="",AA315=""),"",N315-AA315)</x:f>
        <x:v>-7.5</x:v>
      </x:c>
      <x:c r="AC315" s="20" t="n">
        <x:f>IF(OR(N315="",AA315="",AA315=0),"",AB315/AA315)</x:f>
        <x:v>-0.375</x:v>
      </x:c>
      <x:c r="AD315" t="str">
        <x:f>IF(AA315="","NO STANDARD",IF(AC315&lt;=Config_Status!$B$2,"EFFICIENT",IF(AC315&lt;=Config_Status!$B$3,"NORMAL",IF(AC315&lt;=Config_Status!$B$4,"WARNING","OVER CONSUMPTION"))))</x:f>
        <x:v>EFFICIENT</x:v>
      </x:c>
      <x:c r="AE315" t="str">
        <x:f>IFERROR(VLOOKUP(G315,Master_Unit!$A$2:$N$78,13,FALSE),"UNIT NOT FOUND")</x:f>
        <x:v>Matched</x:v>
      </x:c>
    </x:row>
    <x:row r="316">
      <x:c r="A316" s="12" t="str">
        <x:v>FU-20260605-00315</x:v>
      </x:c>
      <x:c r="B316" s="12" t="n">
        <x:v>445</x:v>
      </x:c>
      <x:c r="C316" s="14" t="n">
        <x:v>46178</x:v>
      </x:c>
      <x:c r="D316" s="12" t="str">
        <x:v>Jum'at</x:v>
      </x:c>
      <x:c r="E316" s="12" t="str">
        <x:v>13:15:00</x:v>
      </x:c>
      <x:c r="F316" s="12" t="str">
        <x:v>All Shift Day</x:v>
      </x:c>
      <x:c r="G316" s="12" t="str">
        <x:v>EXVV21G041</x:v>
      </x:c>
      <x:c r="H316" s="12" t="str">
        <x:v>Excavator</x:v>
      </x:c>
      <x:c r="I316" s="12" t="str">
        <x:v>EXCAVATOR VOLVO EC210D</x:v>
      </x:c>
      <x:c r="J316" s="16" t="n">
        <x:v>190</x:v>
      </x:c>
      <x:c r="K316" s="16" t="n">
        <x:v>4451.6</x:v>
      </x:c>
      <x:c r="L316" s="16" t="n">
        <x:v>4460.8</x:v>
      </x:c>
      <x:c r="M316" s="16" t="n">
        <x:v>9.199999999999818</x:v>
      </x:c>
      <x:c r="N316" s="16" t="n">
        <x:v>20.652173913043885</x:v>
      </x:c>
      <x:c r="O316" s="12" t="str">
        <x:v>FTRL44G004</x:v>
      </x:c>
      <x:c r="P316" s="12" t="str">
        <x:v>EXVV21G041</x:v>
      </x:c>
      <x:c r="Q316" s="12" t="str"/>
      <x:c r="R316" s="12" t="str"/>
      <x:c r="S316" s="12" t="str"/>
      <x:c r="T316" s="12" t="str">
        <x:v>ABM</x:v>
      </x:c>
      <x:c r="U316" s="12" t="str"/>
      <x:c r="V316" s="12" t="str"/>
      <x:c r="W316" s="12" t="str"/>
      <x:c r="X316" s="12" t="str">
        <x:v>EXVV21</x:v>
      </x:c>
      <x:c r="Y316" s="12" t="str">
        <x:v>ANDI &amp; RUSLAN</x:v>
      </x:c>
      <x:c r="Z316" s="12" t="str"/>
      <x:c r="AA316" s="32" t="n">
        <x:f>IFERROR(VLOOKUP(G316,Master_Unit!$A$2:$N$78,7,FALSE),"")</x:f>
        <x:v>20</x:v>
      </x:c>
      <x:c r="AB316" s="32" t="n">
        <x:f>IF(OR(N316="",AA316=""),"",N316-AA316)</x:f>
        <x:v>0.6521739130438853</x:v>
      </x:c>
      <x:c r="AC316" s="20" t="n">
        <x:f>IF(OR(N316="",AA316="",AA316=0),"",AB316/AA316)</x:f>
        <x:v>0.032608695652194264</x:v>
      </x:c>
      <x:c r="AD316" t="str">
        <x:f>IF(AA316="","NO STANDARD",IF(AC316&lt;=Config_Status!$B$2,"EFFICIENT",IF(AC316&lt;=Config_Status!$B$3,"NORMAL",IF(AC316&lt;=Config_Status!$B$4,"WARNING","OVER CONSUMPTION"))))</x:f>
        <x:v>NORMAL</x:v>
      </x:c>
      <x:c r="AE316" t="str">
        <x:f>IFERROR(VLOOKUP(G316,Master_Unit!$A$2:$N$78,13,FALSE),"UNIT NOT FOUND")</x:f>
        <x:v>Matched</x:v>
      </x:c>
    </x:row>
    <x:row r="317">
      <x:c r="A317" s="12" t="str">
        <x:v>FU-20260605-00316</x:v>
      </x:c>
      <x:c r="B317" s="12" t="n">
        <x:v>446</x:v>
      </x:c>
      <x:c r="C317" s="14" t="n">
        <x:v>46178</x:v>
      </x:c>
      <x:c r="D317" s="12" t="str">
        <x:v>Jum'at</x:v>
      </x:c>
      <x:c r="E317" s="12" t="str">
        <x:v>13:43:00</x:v>
      </x:c>
      <x:c r="F317" s="12" t="str">
        <x:v>All Shift Day</x:v>
      </x:c>
      <x:c r="G317" s="12" t="str">
        <x:v>EXVV21G038</x:v>
      </x:c>
      <x:c r="H317" s="12" t="str">
        <x:v>Excavator</x:v>
      </x:c>
      <x:c r="I317" s="12" t="str">
        <x:v>EXCAVATOR VOLVO EC210D</x:v>
      </x:c>
      <x:c r="J317" s="16" t="n">
        <x:v>190</x:v>
      </x:c>
      <x:c r="K317" s="16" t="n">
        <x:v>4136</x:v>
      </x:c>
      <x:c r="L317" s="16" t="n">
        <x:v>4146.1</x:v>
      </x:c>
      <x:c r="M317" s="16" t="n">
        <x:v>10.100000000000364</x:v>
      </x:c>
      <x:c r="N317" s="16" t="n">
        <x:v>18.811881188118136</x:v>
      </x:c>
      <x:c r="O317" s="12" t="str">
        <x:v>FTRL44G004</x:v>
      </x:c>
      <x:c r="P317" s="12" t="str">
        <x:v>EXVV21G038</x:v>
      </x:c>
      <x:c r="Q317" s="12" t="str"/>
      <x:c r="R317" s="12" t="str"/>
      <x:c r="S317" s="12" t="str"/>
      <x:c r="T317" s="12" t="str">
        <x:v>ABM</x:v>
      </x:c>
      <x:c r="U317" s="12" t="str"/>
      <x:c r="V317" s="12" t="str"/>
      <x:c r="W317" s="12" t="str"/>
      <x:c r="X317" s="12" t="str">
        <x:v>EXVV21</x:v>
      </x:c>
      <x:c r="Y317" s="12" t="str">
        <x:v>ANDI &amp; RUSLAN</x:v>
      </x:c>
      <x:c r="Z317" s="12" t="str"/>
      <x:c r="AA317" s="32" t="n">
        <x:f>IFERROR(VLOOKUP(G317,Master_Unit!$A$2:$N$78,7,FALSE),"")</x:f>
        <x:v>20</x:v>
      </x:c>
      <x:c r="AB317" s="32" t="n">
        <x:f>IF(OR(N317="",AA317=""),"",N317-AA317)</x:f>
        <x:v>-1.1881188118818642</x:v>
      </x:c>
      <x:c r="AC317" s="20" t="n">
        <x:f>IF(OR(N317="",AA317="",AA317=0),"",AB317/AA317)</x:f>
        <x:v>-0.05940594059409321</x:v>
      </x:c>
      <x:c r="AD317" t="str">
        <x:f>IF(AA317="","NO STANDARD",IF(AC317&lt;=Config_Status!$B$2,"EFFICIENT",IF(AC317&lt;=Config_Status!$B$3,"NORMAL",IF(AC317&lt;=Config_Status!$B$4,"WARNING","OVER CONSUMPTION"))))</x:f>
        <x:v>NORMAL</x:v>
      </x:c>
      <x:c r="AE317" t="str">
        <x:f>IFERROR(VLOOKUP(G317,Master_Unit!$A$2:$N$78,13,FALSE),"UNIT NOT FOUND")</x:f>
        <x:v>Matched</x:v>
      </x:c>
    </x:row>
    <x:row r="318">
      <x:c r="A318" s="12" t="str">
        <x:v>FU-20260605-00317</x:v>
      </x:c>
      <x:c r="B318" s="12" t="n">
        <x:v>447</x:v>
      </x:c>
      <x:c r="C318" s="14" t="n">
        <x:v>46178</x:v>
      </x:c>
      <x:c r="D318" s="12" t="str">
        <x:v>Jum'at</x:v>
      </x:c>
      <x:c r="E318" s="12" t="str">
        <x:v>14:08:00</x:v>
      </x:c>
      <x:c r="F318" s="12" t="str">
        <x:v>All Shift Day</x:v>
      </x:c>
      <x:c r="G318" s="12" t="str">
        <x:v>STRL44G140</x:v>
      </x:c>
      <x:c r="H318" s="12" t="str">
        <x:v>Dump Truck</x:v>
      </x:c>
      <x:c r="I318" s="12" t="str">
        <x:v>DUMP TRUCK RENAULT KRANGE440-P6X4 A/T</x:v>
      </x:c>
      <x:c r="J318" s="16" t="n">
        <x:v>194</x:v>
      </x:c>
      <x:c r="K318" s="16" t="n">
        <x:v>5048</x:v>
      </x:c>
      <x:c r="L318" s="16" t="n">
        <x:v>5057</x:v>
      </x:c>
      <x:c r="M318" s="16" t="n">
        <x:v>9</x:v>
      </x:c>
      <x:c r="N318" s="16" t="n">
        <x:v>21.555555555555557</x:v>
      </x:c>
      <x:c r="O318" s="12" t="str">
        <x:v>FTRL44G004</x:v>
      </x:c>
      <x:c r="P318" s="12" t="str">
        <x:v>STRL44G140</x:v>
      </x:c>
      <x:c r="Q318" s="12" t="str"/>
      <x:c r="R318" s="12" t="str"/>
      <x:c r="S318" s="12" t="str"/>
      <x:c r="T318" s="12" t="str">
        <x:v>ABM</x:v>
      </x:c>
      <x:c r="U318" s="12" t="str"/>
      <x:c r="V318" s="12" t="str"/>
      <x:c r="W318" s="12" t="str"/>
      <x:c r="X318" s="12" t="str">
        <x:v>STRL44</x:v>
      </x:c>
      <x:c r="Y318" s="12" t="str">
        <x:v>ANDI &amp; RUSLAN</x:v>
      </x:c>
      <x:c r="Z318" s="12" t="str"/>
      <x:c r="AA318" s="32" t="n">
        <x:f>IFERROR(VLOOKUP(G318,Master_Unit!$A$2:$N$78,7,FALSE),"")</x:f>
        <x:v>20</x:v>
      </x:c>
      <x:c r="AB318" s="32" t="n">
        <x:f>IF(OR(N318="",AA318=""),"",N318-AA318)</x:f>
        <x:v>1.5555555555555571</x:v>
      </x:c>
      <x:c r="AC318" s="20" t="n">
        <x:f>IF(OR(N318="",AA318="",AA318=0),"",AB318/AA318)</x:f>
        <x:v>0.07777777777777786</x:v>
      </x:c>
      <x:c r="AD318" t="str">
        <x:f>IF(AA318="","NO STANDARD",IF(AC318&lt;=Config_Status!$B$2,"EFFICIENT",IF(AC318&lt;=Config_Status!$B$3,"NORMAL",IF(AC318&lt;=Config_Status!$B$4,"WARNING","OVER CONSUMPTION"))))</x:f>
        <x:v>NORMAL</x:v>
      </x:c>
      <x:c r="AE318" t="str">
        <x:f>IFERROR(VLOOKUP(G318,Master_Unit!$A$2:$N$78,13,FALSE),"UNIT NOT FOUND")</x:f>
        <x:v>Matched</x:v>
      </x:c>
    </x:row>
    <x:row r="319">
      <x:c r="A319" s="12" t="str">
        <x:v>FU-20260605-00318</x:v>
      </x:c>
      <x:c r="B319" s="12" t="n">
        <x:v>448</x:v>
      </x:c>
      <x:c r="C319" s="14" t="n">
        <x:v>46178</x:v>
      </x:c>
      <x:c r="D319" s="12" t="str">
        <x:v>Jum'at</x:v>
      </x:c>
      <x:c r="E319" s="12" t="str">
        <x:v>14:11:00</x:v>
      </x:c>
      <x:c r="F319" s="12" t="str">
        <x:v>All Shift Day</x:v>
      </x:c>
      <x:c r="G319" s="12" t="str">
        <x:v>STRL44G144</x:v>
      </x:c>
      <x:c r="H319" s="12" t="str">
        <x:v>Dump Truck</x:v>
      </x:c>
      <x:c r="I319" s="12" t="str">
        <x:v>DUMP TRUCK RENAULT KRANGE440-P6X4 A/T</x:v>
      </x:c>
      <x:c r="J319" s="16" t="n">
        <x:v>144</x:v>
      </x:c>
      <x:c r="K319" s="16" t="n">
        <x:v>1481</x:v>
      </x:c>
      <x:c r="L319" s="16" t="n">
        <x:v>1488</x:v>
      </x:c>
      <x:c r="M319" s="16" t="n">
        <x:v>7</x:v>
      </x:c>
      <x:c r="N319" s="16" t="n">
        <x:v>20.571428571428573</x:v>
      </x:c>
      <x:c r="O319" s="12" t="str">
        <x:v>FTRL44G004</x:v>
      </x:c>
      <x:c r="P319" s="12" t="str">
        <x:v>STRL44G144</x:v>
      </x:c>
      <x:c r="Q319" s="12" t="str"/>
      <x:c r="R319" s="12" t="str"/>
      <x:c r="S319" s="12" t="str"/>
      <x:c r="T319" s="12" t="str">
        <x:v>ABM</x:v>
      </x:c>
      <x:c r="U319" s="12" t="str"/>
      <x:c r="V319" s="12" t="str"/>
      <x:c r="W319" s="12" t="str"/>
      <x:c r="X319" s="12" t="str">
        <x:v>STRL44</x:v>
      </x:c>
      <x:c r="Y319" s="12" t="str">
        <x:v>ANDI &amp; RUSLAN</x:v>
      </x:c>
      <x:c r="Z319" s="12" t="str"/>
      <x:c r="AA319" s="32" t="n">
        <x:f>IFERROR(VLOOKUP(G319,Master_Unit!$A$2:$N$78,7,FALSE),"")</x:f>
        <x:v>20</x:v>
      </x:c>
      <x:c r="AB319" s="32" t="n">
        <x:f>IF(OR(N319="",AA319=""),"",N319-AA319)</x:f>
        <x:v>0.571428571428573</x:v>
      </x:c>
      <x:c r="AC319" s="20" t="n">
        <x:f>IF(OR(N319="",AA319="",AA319=0),"",AB319/AA319)</x:f>
        <x:v>0.028571428571428647</x:v>
      </x:c>
      <x:c r="AD319" t="str">
        <x:f>IF(AA319="","NO STANDARD",IF(AC319&lt;=Config_Status!$B$2,"EFFICIENT",IF(AC319&lt;=Config_Status!$B$3,"NORMAL",IF(AC319&lt;=Config_Status!$B$4,"WARNING","OVER CONSUMPTION"))))</x:f>
        <x:v>NORMAL</x:v>
      </x:c>
      <x:c r="AE319" t="str">
        <x:f>IFERROR(VLOOKUP(G319,Master_Unit!$A$2:$N$78,13,FALSE),"UNIT NOT FOUND")</x:f>
        <x:v>Matched</x:v>
      </x:c>
    </x:row>
    <x:row r="320">
      <x:c r="A320" s="12" t="str">
        <x:v>FU-20260605-00319</x:v>
      </x:c>
      <x:c r="B320" s="12" t="n">
        <x:v>449</x:v>
      </x:c>
      <x:c r="C320" s="14" t="n">
        <x:v>46178</x:v>
      </x:c>
      <x:c r="D320" s="12" t="str">
        <x:v>Jum'at</x:v>
      </x:c>
      <x:c r="E320" s="12" t="str">
        <x:v>14:14:00</x:v>
      </x:c>
      <x:c r="F320" s="12" t="str">
        <x:v>All Shift Day</x:v>
      </x:c>
      <x:c r="G320" s="12" t="str">
        <x:v>STRL44G153</x:v>
      </x:c>
      <x:c r="H320" s="12" t="str">
        <x:v>Dump Truck</x:v>
      </x:c>
      <x:c r="I320" s="12" t="str">
        <x:v>DUMP TRUCK RENAULT KRANGE440-P6X4 A/T</x:v>
      </x:c>
      <x:c r="J320" s="16" t="n">
        <x:v>194</x:v>
      </x:c>
      <x:c r="K320" s="16" t="n">
        <x:v>3939</x:v>
      </x:c>
      <x:c r="L320" s="16" t="n">
        <x:v>3946</x:v>
      </x:c>
      <x:c r="M320" s="16" t="n">
        <x:v>7</x:v>
      </x:c>
      <x:c r="N320" s="16" t="n">
        <x:v>27.714285714285715</x:v>
      </x:c>
      <x:c r="O320" s="12" t="str">
        <x:v>FTRL44G004</x:v>
      </x:c>
      <x:c r="P320" s="12" t="str">
        <x:v>STRL44G153</x:v>
      </x:c>
      <x:c r="Q320" s="12" t="str"/>
      <x:c r="R320" s="12" t="str"/>
      <x:c r="S320" s="12" t="str"/>
      <x:c r="T320" s="12" t="str">
        <x:v>ABM</x:v>
      </x:c>
      <x:c r="U320" s="12" t="str"/>
      <x:c r="V320" s="12" t="str"/>
      <x:c r="W320" s="12" t="str"/>
      <x:c r="X320" s="12" t="str">
        <x:v>STRL44</x:v>
      </x:c>
      <x:c r="Y320" s="12" t="str">
        <x:v>ANDI &amp; RUSLAN</x:v>
      </x:c>
      <x:c r="Z320" s="12" t="str"/>
      <x:c r="AA320" s="32" t="n">
        <x:f>IFERROR(VLOOKUP(G320,Master_Unit!$A$2:$N$78,7,FALSE),"")</x:f>
        <x:v>20</x:v>
      </x:c>
      <x:c r="AB320" s="32" t="n">
        <x:f>IF(OR(N320="",AA320=""),"",N320-AA320)</x:f>
        <x:v>7.714285714285715</x:v>
      </x:c>
      <x:c r="AC320" s="20" t="n">
        <x:f>IF(OR(N320="",AA320="",AA320=0),"",AB320/AA320)</x:f>
        <x:v>0.3857142857142858</x:v>
      </x:c>
      <x:c r="AD320" t="str">
        <x:f>IF(AA320="","NO STANDARD",IF(AC320&lt;=Config_Status!$B$2,"EFFICIENT",IF(AC320&lt;=Config_Status!$B$3,"NORMAL",IF(AC320&lt;=Config_Status!$B$4,"WARNING","OVER CONSUMPTION"))))</x:f>
        <x:v>OVER CONSUMPTION</x:v>
      </x:c>
      <x:c r="AE320" t="str">
        <x:f>IFERROR(VLOOKUP(G320,Master_Unit!$A$2:$N$78,13,FALSE),"UNIT NOT FOUND")</x:f>
        <x:v>Matched</x:v>
      </x:c>
    </x:row>
    <x:row r="321">
      <x:c r="A321" s="12" t="str">
        <x:v>FU-20260605-00320</x:v>
      </x:c>
      <x:c r="B321" s="12" t="n">
        <x:v>450</x:v>
      </x:c>
      <x:c r="C321" s="14" t="n">
        <x:v>46178</x:v>
      </x:c>
      <x:c r="D321" s="12" t="str">
        <x:v>Jum'at</x:v>
      </x:c>
      <x:c r="E321" s="12" t="str">
        <x:v>14:17:00</x:v>
      </x:c>
      <x:c r="F321" s="12" t="str">
        <x:v>All Shift Day</x:v>
      </x:c>
      <x:c r="G321" s="12" t="str">
        <x:v>STRL44G156</x:v>
      </x:c>
      <x:c r="H321" s="12" t="str">
        <x:v>Dump Truck</x:v>
      </x:c>
      <x:c r="I321" s="12" t="str">
        <x:v>DUMP TRUCK RENAULT KRANGE440-P6X4 A/T</x:v>
      </x:c>
      <x:c r="J321" s="16" t="n">
        <x:v>191</x:v>
      </x:c>
      <x:c r="K321" s="16" t="n">
        <x:v>3717</x:v>
      </x:c>
      <x:c r="L321" s="16" t="n">
        <x:v>3724</x:v>
      </x:c>
      <x:c r="M321" s="16" t="n">
        <x:v>7</x:v>
      </x:c>
      <x:c r="N321" s="16" t="n">
        <x:v>27.285714285714285</x:v>
      </x:c>
      <x:c r="O321" s="12" t="str">
        <x:v>FTRL44G004</x:v>
      </x:c>
      <x:c r="P321" s="12" t="str">
        <x:v>STRL44G156</x:v>
      </x:c>
      <x:c r="Q321" s="12" t="str"/>
      <x:c r="R321" s="12" t="str"/>
      <x:c r="S321" s="12" t="str"/>
      <x:c r="T321" s="12" t="str">
        <x:v>ABM</x:v>
      </x:c>
      <x:c r="U321" s="12" t="str"/>
      <x:c r="V321" s="12" t="str"/>
      <x:c r="W321" s="12" t="str"/>
      <x:c r="X321" s="12" t="str">
        <x:v>STRL44</x:v>
      </x:c>
      <x:c r="Y321" s="12" t="str">
        <x:v>ANDI &amp; RUSLAN</x:v>
      </x:c>
      <x:c r="Z321" s="12" t="str"/>
      <x:c r="AA321" s="32" t="n">
        <x:f>IFERROR(VLOOKUP(G321,Master_Unit!$A$2:$N$78,7,FALSE),"")</x:f>
        <x:v>20</x:v>
      </x:c>
      <x:c r="AB321" s="32" t="n">
        <x:f>IF(OR(N321="",AA321=""),"",N321-AA321)</x:f>
        <x:v>7.285714285714285</x:v>
      </x:c>
      <x:c r="AC321" s="20" t="n">
        <x:f>IF(OR(N321="",AA321="",AA321=0),"",AB321/AA321)</x:f>
        <x:v>0.3642857142857142</x:v>
      </x:c>
      <x:c r="AD321" t="str">
        <x:f>IF(AA321="","NO STANDARD",IF(AC321&lt;=Config_Status!$B$2,"EFFICIENT",IF(AC321&lt;=Config_Status!$B$3,"NORMAL",IF(AC321&lt;=Config_Status!$B$4,"WARNING","OVER CONSUMPTION"))))</x:f>
        <x:v>OVER CONSUMPTION</x:v>
      </x:c>
      <x:c r="AE321" t="str">
        <x:f>IFERROR(VLOOKUP(G321,Master_Unit!$A$2:$N$78,13,FALSE),"UNIT NOT FOUND")</x:f>
        <x:v>Matched</x:v>
      </x:c>
    </x:row>
    <x:row r="322">
      <x:c r="A322" s="12" t="str">
        <x:v>FU-20260605-00321</x:v>
      </x:c>
      <x:c r="B322" s="12" t="n">
        <x:v>451</x:v>
      </x:c>
      <x:c r="C322" s="14" t="n">
        <x:v>46178</x:v>
      </x:c>
      <x:c r="D322" s="12" t="str">
        <x:v>Jum'at</x:v>
      </x:c>
      <x:c r="E322" s="12" t="str">
        <x:v>14:20:00</x:v>
      </x:c>
      <x:c r="F322" s="12" t="str">
        <x:v>All Shift Day</x:v>
      </x:c>
      <x:c r="G322" s="12" t="str">
        <x:v>STRL44G155</x:v>
      </x:c>
      <x:c r="H322" s="12" t="str">
        <x:v>Dump Truck</x:v>
      </x:c>
      <x:c r="I322" s="12" t="str">
        <x:v>DUMP TRUCK RENAULT KRANGE440-P6X4 A/T</x:v>
      </x:c>
      <x:c r="J322" s="16" t="n">
        <x:v>194</x:v>
      </x:c>
      <x:c r="K322" s="16" t="n">
        <x:v>3908</x:v>
      </x:c>
      <x:c r="L322" s="16" t="n">
        <x:v>3915</x:v>
      </x:c>
      <x:c r="M322" s="16" t="n">
        <x:v>7</x:v>
      </x:c>
      <x:c r="N322" s="16" t="n">
        <x:v>27.714285714285715</x:v>
      </x:c>
      <x:c r="O322" s="12" t="str">
        <x:v>FTRL44G004</x:v>
      </x:c>
      <x:c r="P322" s="12" t="str">
        <x:v>STRL44G155</x:v>
      </x:c>
      <x:c r="Q322" s="12" t="str"/>
      <x:c r="R322" s="12" t="str"/>
      <x:c r="S322" s="12" t="str"/>
      <x:c r="T322" s="12" t="str">
        <x:v>ABM</x:v>
      </x:c>
      <x:c r="U322" s="12" t="str"/>
      <x:c r="V322" s="12" t="str"/>
      <x:c r="W322" s="12" t="str"/>
      <x:c r="X322" s="12" t="str">
        <x:v>STRL44</x:v>
      </x:c>
      <x:c r="Y322" s="12" t="str">
        <x:v>ANDI &amp; RUSLAN</x:v>
      </x:c>
      <x:c r="Z322" s="12" t="str"/>
      <x:c r="AA322" s="32" t="n">
        <x:f>IFERROR(VLOOKUP(G322,Master_Unit!$A$2:$N$78,7,FALSE),"")</x:f>
        <x:v>20</x:v>
      </x:c>
      <x:c r="AB322" s="32" t="n">
        <x:f>IF(OR(N322="",AA322=""),"",N322-AA322)</x:f>
        <x:v>7.714285714285715</x:v>
      </x:c>
      <x:c r="AC322" s="20" t="n">
        <x:f>IF(OR(N322="",AA322="",AA322=0),"",AB322/AA322)</x:f>
        <x:v>0.3857142857142858</x:v>
      </x:c>
      <x:c r="AD322" t="str">
        <x:f>IF(AA322="","NO STANDARD",IF(AC322&lt;=Config_Status!$B$2,"EFFICIENT",IF(AC322&lt;=Config_Status!$B$3,"NORMAL",IF(AC322&lt;=Config_Status!$B$4,"WARNING","OVER CONSUMPTION"))))</x:f>
        <x:v>OVER CONSUMPTION</x:v>
      </x:c>
      <x:c r="AE322" t="str">
        <x:f>IFERROR(VLOOKUP(G322,Master_Unit!$A$2:$N$78,13,FALSE),"UNIT NOT FOUND")</x:f>
        <x:v>Matched</x:v>
      </x:c>
    </x:row>
    <x:row r="323">
      <x:c r="A323" s="12" t="str">
        <x:v>FU-20260605-00322</x:v>
      </x:c>
      <x:c r="B323" s="12" t="n">
        <x:v>452</x:v>
      </x:c>
      <x:c r="C323" s="14" t="n">
        <x:v>46178</x:v>
      </x:c>
      <x:c r="D323" s="12" t="str">
        <x:v>Jum'at</x:v>
      </x:c>
      <x:c r="E323" s="12" t="str">
        <x:v>14:24:00</x:v>
      </x:c>
      <x:c r="F323" s="12" t="str">
        <x:v>All Shift Day</x:v>
      </x:c>
      <x:c r="G323" s="12" t="str">
        <x:v>STRL44G152</x:v>
      </x:c>
      <x:c r="H323" s="12" t="str">
        <x:v>Dump Truck</x:v>
      </x:c>
      <x:c r="I323" s="12" t="str">
        <x:v>DUMP TRUCK RENAULT KRANGE440-P6X4 A/T</x:v>
      </x:c>
      <x:c r="J323" s="16" t="n">
        <x:v>194</x:v>
      </x:c>
      <x:c r="K323" s="16" t="n">
        <x:v>3643</x:v>
      </x:c>
      <x:c r="L323" s="16" t="n">
        <x:v>3652</x:v>
      </x:c>
      <x:c r="M323" s="16" t="n">
        <x:v>9</x:v>
      </x:c>
      <x:c r="N323" s="16" t="n">
        <x:v>21.555555555555557</x:v>
      </x:c>
      <x:c r="O323" s="12" t="str">
        <x:v>FTRL44G004</x:v>
      </x:c>
      <x:c r="P323" s="12" t="str">
        <x:v>STRL44G152</x:v>
      </x:c>
      <x:c r="Q323" s="12" t="str"/>
      <x:c r="R323" s="12" t="str"/>
      <x:c r="S323" s="12" t="str"/>
      <x:c r="T323" s="12" t="str">
        <x:v>ABM</x:v>
      </x:c>
      <x:c r="U323" s="12" t="str"/>
      <x:c r="V323" s="12" t="str"/>
      <x:c r="W323" s="12" t="str"/>
      <x:c r="X323" s="12" t="str">
        <x:v>STRL44</x:v>
      </x:c>
      <x:c r="Y323" s="12" t="str">
        <x:v>ANDI &amp; RUSLAN</x:v>
      </x:c>
      <x:c r="Z323" s="12" t="str"/>
      <x:c r="AA323" s="32" t="n">
        <x:f>IFERROR(VLOOKUP(G323,Master_Unit!$A$2:$N$78,7,FALSE),"")</x:f>
        <x:v>20</x:v>
      </x:c>
      <x:c r="AB323" s="32" t="n">
        <x:f>IF(OR(N323="",AA323=""),"",N323-AA323)</x:f>
        <x:v>1.5555555555555571</x:v>
      </x:c>
      <x:c r="AC323" s="20" t="n">
        <x:f>IF(OR(N323="",AA323="",AA323=0),"",AB323/AA323)</x:f>
        <x:v>0.07777777777777786</x:v>
      </x:c>
      <x:c r="AD323" t="str">
        <x:f>IF(AA323="","NO STANDARD",IF(AC323&lt;=Config_Status!$B$2,"EFFICIENT",IF(AC323&lt;=Config_Status!$B$3,"NORMAL",IF(AC323&lt;=Config_Status!$B$4,"WARNING","OVER CONSUMPTION"))))</x:f>
        <x:v>NORMAL</x:v>
      </x:c>
      <x:c r="AE323" t="str">
        <x:f>IFERROR(VLOOKUP(G323,Master_Unit!$A$2:$N$78,13,FALSE),"UNIT NOT FOUND")</x:f>
        <x:v>Matched</x:v>
      </x:c>
    </x:row>
    <x:row r="324">
      <x:c r="A324" s="12" t="str">
        <x:v>FU-20260605-00323</x:v>
      </x:c>
      <x:c r="B324" s="12" t="n">
        <x:v>453</x:v>
      </x:c>
      <x:c r="C324" s="14" t="n">
        <x:v>46178</x:v>
      </x:c>
      <x:c r="D324" s="12" t="str">
        <x:v>Jum'at</x:v>
      </x:c>
      <x:c r="E324" s="12" t="str">
        <x:v>14:48:00</x:v>
      </x:c>
      <x:c r="F324" s="12" t="str">
        <x:v>All Shift Day</x:v>
      </x:c>
      <x:c r="G324" s="12" t="str">
        <x:v>STRL44G154</x:v>
      </x:c>
      <x:c r="H324" s="12" t="str">
        <x:v>Dump Truck</x:v>
      </x:c>
      <x:c r="I324" s="12" t="str">
        <x:v>DUMP TRUCK RENAULT KRANGE440-P6X4 A/T</x:v>
      </x:c>
      <x:c r="J324" s="16" t="n">
        <x:v>188</x:v>
      </x:c>
      <x:c r="K324" s="16" t="n">
        <x:v>4035</x:v>
      </x:c>
      <x:c r="L324" s="16" t="n">
        <x:v>4042</x:v>
      </x:c>
      <x:c r="M324" s="16" t="n">
        <x:v>7</x:v>
      </x:c>
      <x:c r="N324" s="16" t="n">
        <x:v>26.857142857142858</x:v>
      </x:c>
      <x:c r="O324" s="12" t="str">
        <x:v>FTRL44G004</x:v>
      </x:c>
      <x:c r="P324" s="12" t="str">
        <x:v>STRL44G154</x:v>
      </x:c>
      <x:c r="Q324" s="12" t="str"/>
      <x:c r="R324" s="12" t="str"/>
      <x:c r="S324" s="12" t="str"/>
      <x:c r="T324" s="12" t="str">
        <x:v>ABM</x:v>
      </x:c>
      <x:c r="U324" s="12" t="str"/>
      <x:c r="V324" s="12" t="str"/>
      <x:c r="W324" s="12" t="str"/>
      <x:c r="X324" s="12" t="str">
        <x:v>STRL44</x:v>
      </x:c>
      <x:c r="Y324" s="12" t="str">
        <x:v>ANDI &amp; RUSLAN</x:v>
      </x:c>
      <x:c r="Z324" s="12" t="str"/>
      <x:c r="AA324" s="32" t="n">
        <x:f>IFERROR(VLOOKUP(G324,Master_Unit!$A$2:$N$78,7,FALSE),"")</x:f>
        <x:v>20</x:v>
      </x:c>
      <x:c r="AB324" s="32" t="n">
        <x:f>IF(OR(N324="",AA324=""),"",N324-AA324)</x:f>
        <x:v>6.857142857142858</x:v>
      </x:c>
      <x:c r="AC324" s="20" t="n">
        <x:f>IF(OR(N324="",AA324="",AA324=0),"",AB324/AA324)</x:f>
        <x:v>0.34285714285714286</x:v>
      </x:c>
      <x:c r="AD324" t="str">
        <x:f>IF(AA324="","NO STANDARD",IF(AC324&lt;=Config_Status!$B$2,"EFFICIENT",IF(AC324&lt;=Config_Status!$B$3,"NORMAL",IF(AC324&lt;=Config_Status!$B$4,"WARNING","OVER CONSUMPTION"))))</x:f>
        <x:v>OVER CONSUMPTION</x:v>
      </x:c>
      <x:c r="AE324" t="str">
        <x:f>IFERROR(VLOOKUP(G324,Master_Unit!$A$2:$N$78,13,FALSE),"UNIT NOT FOUND")</x:f>
        <x:v>Matched</x:v>
      </x:c>
    </x:row>
    <x:row r="325">
      <x:c r="A325" s="12" t="str">
        <x:v>FU-20260605-00324</x:v>
      </x:c>
      <x:c r="B325" s="12" t="n">
        <x:v>454</x:v>
      </x:c>
      <x:c r="C325" s="14" t="n">
        <x:v>46178</x:v>
      </x:c>
      <x:c r="D325" s="12" t="str">
        <x:v>Jum'at</x:v>
      </x:c>
      <x:c r="E325" s="12" t="str">
        <x:v>14:51:00</x:v>
      </x:c>
      <x:c r="F325" s="12" t="str">
        <x:v>All Shift Day</x:v>
      </x:c>
      <x:c r="G325" s="12" t="str">
        <x:v>STRL44G145</x:v>
      </x:c>
      <x:c r="H325" s="12" t="str">
        <x:v>Dump Truck</x:v>
      </x:c>
      <x:c r="I325" s="12" t="str">
        <x:v>DUMP TRUCK RENAULT KRANGE440-P6X4 A/T</x:v>
      </x:c>
      <x:c r="J325" s="16" t="n">
        <x:v>144</x:v>
      </x:c>
      <x:c r="K325" s="16" t="n">
        <x:v>4888</x:v>
      </x:c>
      <x:c r="L325" s="16" t="n">
        <x:v>4896</x:v>
      </x:c>
      <x:c r="M325" s="16" t="n">
        <x:v>8</x:v>
      </x:c>
      <x:c r="N325" s="16" t="n">
        <x:v>18</x:v>
      </x:c>
      <x:c r="O325" s="12" t="str">
        <x:v>FTRL44G004</x:v>
      </x:c>
      <x:c r="P325" s="12" t="str">
        <x:v>STRL44G145</x:v>
      </x:c>
      <x:c r="Q325" s="12" t="str"/>
      <x:c r="R325" s="12" t="str"/>
      <x:c r="S325" s="12" t="str"/>
      <x:c r="T325" s="12" t="str">
        <x:v>ABM</x:v>
      </x:c>
      <x:c r="U325" s="12" t="str"/>
      <x:c r="V325" s="12" t="str"/>
      <x:c r="W325" s="12" t="str"/>
      <x:c r="X325" s="12" t="str">
        <x:v>STRL44</x:v>
      </x:c>
      <x:c r="Y325" s="12" t="str">
        <x:v>ANDI &amp; RUSLAN</x:v>
      </x:c>
      <x:c r="Z325" s="12" t="str"/>
      <x:c r="AA325" s="32" t="n">
        <x:f>IFERROR(VLOOKUP(G325,Master_Unit!$A$2:$N$78,7,FALSE),"")</x:f>
        <x:v>20</x:v>
      </x:c>
      <x:c r="AB325" s="32" t="n">
        <x:f>IF(OR(N325="",AA325=""),"",N325-AA325)</x:f>
        <x:v>-2</x:v>
      </x:c>
      <x:c r="AC325" s="20" t="n">
        <x:f>IF(OR(N325="",AA325="",AA325=0),"",AB325/AA325)</x:f>
        <x:v>-0.1</x:v>
      </x:c>
      <x:c r="AD325" t="str">
        <x:f>IF(AA325="","NO STANDARD",IF(AC325&lt;=Config_Status!$B$2,"EFFICIENT",IF(AC325&lt;=Config_Status!$B$3,"NORMAL",IF(AC325&lt;=Config_Status!$B$4,"WARNING","OVER CONSUMPTION"))))</x:f>
        <x:v>EFFICIENT</x:v>
      </x:c>
      <x:c r="AE325" t="str">
        <x:f>IFERROR(VLOOKUP(G325,Master_Unit!$A$2:$N$78,13,FALSE),"UNIT NOT FOUND")</x:f>
        <x:v>Matched</x:v>
      </x:c>
    </x:row>
    <x:row r="326">
      <x:c r="A326" s="12" t="str">
        <x:v>FU-20260605-00325</x:v>
      </x:c>
      <x:c r="B326" s="12" t="n">
        <x:v>455</x:v>
      </x:c>
      <x:c r="C326" s="14" t="n">
        <x:v>46178</x:v>
      </x:c>
      <x:c r="D326" s="12" t="str">
        <x:v>Jum'at</x:v>
      </x:c>
      <x:c r="E326" s="12" t="str">
        <x:v>15:53:00</x:v>
      </x:c>
      <x:c r="F326" s="12" t="str">
        <x:v>All Shift Day</x:v>
      </x:c>
      <x:c r="G326" s="12" t="str">
        <x:v>CTRL44G004</x:v>
      </x:c>
      <x:c r="H326" s="12" t="str">
        <x:v>Crane Truck</x:v>
      </x:c>
      <x:c r="I326" s="12" t="str">
        <x:v>CRANE TRUCK RENAULT KRANGE440-P6X4 A/T</x:v>
      </x:c>
      <x:c r="J326" s="16" t="n">
        <x:v>61</x:v>
      </x:c>
      <x:c r="K326" s="16" t="n">
        <x:v>980</x:v>
      </x:c>
      <x:c r="L326" s="16" t="n">
        <x:v>987</x:v>
      </x:c>
      <x:c r="M326" s="16" t="n">
        <x:v>7</x:v>
      </x:c>
      <x:c r="N326" s="16" t="n">
        <x:v>8.714285714285714</x:v>
      </x:c>
      <x:c r="O326" s="12" t="str">
        <x:v>FTRL44G004</x:v>
      </x:c>
      <x:c r="P326" s="12" t="str">
        <x:v>CTRL44G004</x:v>
      </x:c>
      <x:c r="Q326" s="12" t="str"/>
      <x:c r="R326" s="12" t="str"/>
      <x:c r="S326" s="12" t="str"/>
      <x:c r="T326" s="12" t="str">
        <x:v>ABM</x:v>
      </x:c>
      <x:c r="U326" s="12" t="str"/>
      <x:c r="V326" s="12" t="str"/>
      <x:c r="W326" s="12" t="str"/>
      <x:c r="X326" s="12" t="str">
        <x:v>CTRL44</x:v>
      </x:c>
      <x:c r="Y326" s="12" t="str">
        <x:v>ANDI &amp; RUSLAN</x:v>
      </x:c>
      <x:c r="Z326" s="12" t="str"/>
      <x:c r="AA326" s="32" t="n">
        <x:f>IFERROR(VLOOKUP(G326,Master_Unit!$A$2:$N$78,7,FALSE),"")</x:f>
        <x:v>20</x:v>
      </x:c>
      <x:c r="AB326" s="32" t="n">
        <x:f>IF(OR(N326="",AA326=""),"",N326-AA326)</x:f>
        <x:v>-11.285714285714286</x:v>
      </x:c>
      <x:c r="AC326" s="20" t="n">
        <x:f>IF(OR(N326="",AA326="",AA326=0),"",AB326/AA326)</x:f>
        <x:v>-0.5642857142857143</x:v>
      </x:c>
      <x:c r="AD326" t="str">
        <x:f>IF(AA326="","NO STANDARD",IF(AC326&lt;=Config_Status!$B$2,"EFFICIENT",IF(AC326&lt;=Config_Status!$B$3,"NORMAL",IF(AC326&lt;=Config_Status!$B$4,"WARNING","OVER CONSUMPTION"))))</x:f>
        <x:v>EFFICIENT</x:v>
      </x:c>
      <x:c r="AE326" t="str">
        <x:f>IFERROR(VLOOKUP(G326,Master_Unit!$A$2:$N$78,13,FALSE),"UNIT NOT FOUND")</x:f>
        <x:v>Matched</x:v>
      </x:c>
    </x:row>
    <x:row r="327">
      <x:c r="A327" s="12" t="str">
        <x:v>FU-20260605-00326</x:v>
      </x:c>
      <x:c r="B327" s="12" t="n">
        <x:v>456</x:v>
      </x:c>
      <x:c r="C327" s="14" t="n">
        <x:v>46178</x:v>
      </x:c>
      <x:c r="D327" s="12" t="str">
        <x:v>Jum'at</x:v>
      </x:c>
      <x:c r="E327" s="12" t="str">
        <x:v>18:24:00</x:v>
      </x:c>
      <x:c r="F327" s="12" t="str">
        <x:v>All Shift Night</x:v>
      </x:c>
      <x:c r="G327" s="12" t="str">
        <x:v>EXVV35G006</x:v>
      </x:c>
      <x:c r="H327" s="12" t="str">
        <x:v>Excavator</x:v>
      </x:c>
      <x:c r="I327" s="12" t="str">
        <x:v>EXCAVATOR VOLVO EC350D</x:v>
      </x:c>
      <x:c r="J327" s="16" t="n">
        <x:v>205</x:v>
      </x:c>
      <x:c r="K327" s="16" t="n">
        <x:v>3108.4</x:v>
      </x:c>
      <x:c r="L327" s="16" t="n">
        <x:v>3112.4</x:v>
      </x:c>
      <x:c r="M327" s="16" t="n">
        <x:v>4</x:v>
      </x:c>
      <x:c r="N327" s="16" t="n">
        <x:v>51.25</x:v>
      </x:c>
      <x:c r="O327" s="12" t="str">
        <x:v>FTRL44G005</x:v>
      </x:c>
      <x:c r="P327" s="12" t="str">
        <x:v>EXVV35G006</x:v>
      </x:c>
      <x:c r="Q327" s="12" t="str"/>
      <x:c r="R327" s="12" t="str"/>
      <x:c r="S327" s="12" t="str"/>
      <x:c r="T327" s="12" t="str">
        <x:v>ABM</x:v>
      </x:c>
      <x:c r="U327" s="12" t="str"/>
      <x:c r="V327" s="12" t="str"/>
      <x:c r="W327" s="12" t="str"/>
      <x:c r="X327" s="12" t="str">
        <x:v>EXVV35</x:v>
      </x:c>
      <x:c r="Y327" s="12" t="str">
        <x:v>RAFIF &amp; YOGI</x:v>
      </x:c>
      <x:c r="Z327" s="12" t="str"/>
      <x:c r="AA327" s="32" t="n">
        <x:f>IFERROR(VLOOKUP(G327,Master_Unit!$A$2:$N$78,7,FALSE),"")</x:f>
        <x:v>25</x:v>
      </x:c>
      <x:c r="AB327" s="32" t="n">
        <x:f>IF(OR(N327="",AA327=""),"",N327-AA327)</x:f>
        <x:v>26.25</x:v>
      </x:c>
      <x:c r="AC327" s="20" t="n">
        <x:f>IF(OR(N327="",AA327="",AA327=0),"",AB327/AA327)</x:f>
        <x:v>1.05</x:v>
      </x:c>
      <x:c r="AD327" t="str">
        <x:f>IF(AA327="","NO STANDARD",IF(AC327&lt;=Config_Status!$B$2,"EFFICIENT",IF(AC327&lt;=Config_Status!$B$3,"NORMAL",IF(AC327&lt;=Config_Status!$B$4,"WARNING","OVER CONSUMPTION"))))</x:f>
        <x:v>OVER CONSUMPTION</x:v>
      </x:c>
      <x:c r="AE327" t="str">
        <x:f>IFERROR(VLOOKUP(G327,Master_Unit!$A$2:$N$78,13,FALSE),"UNIT NOT FOUND")</x:f>
        <x:v>Matched</x:v>
      </x:c>
    </x:row>
    <x:row r="328">
      <x:c r="A328" s="12" t="str">
        <x:v>FU-20260605-00327</x:v>
      </x:c>
      <x:c r="B328" s="12" t="n">
        <x:v>457</x:v>
      </x:c>
      <x:c r="C328" s="14" t="n">
        <x:v>46178</x:v>
      </x:c>
      <x:c r="D328" s="12" t="str">
        <x:v>Jum'at</x:v>
      </x:c>
      <x:c r="E328" s="12" t="str">
        <x:v>18:29:00</x:v>
      </x:c>
      <x:c r="F328" s="12" t="str">
        <x:v>All Shift Night</x:v>
      </x:c>
      <x:c r="G328" s="12" t="str">
        <x:v>EXVV35G004</x:v>
      </x:c>
      <x:c r="H328" s="12" t="str">
        <x:v>Excavator</x:v>
      </x:c>
      <x:c r="I328" s="12" t="str">
        <x:v>EXCAVATOR VOLVO EC350D</x:v>
      </x:c>
      <x:c r="J328" s="16" t="n">
        <x:v>200</x:v>
      </x:c>
      <x:c r="K328" s="16" t="n">
        <x:v>2486.5</x:v>
      </x:c>
      <x:c r="L328" s="16" t="n">
        <x:v>2500.3</x:v>
      </x:c>
      <x:c r="M328" s="16" t="n">
        <x:v>13.800000000000182</x:v>
      </x:c>
      <x:c r="N328" s="16" t="n">
        <x:v>14.492753623188214</x:v>
      </x:c>
      <x:c r="O328" s="12" t="str">
        <x:v>FTRL44G005</x:v>
      </x:c>
      <x:c r="P328" s="12" t="str">
        <x:v>EXVV35G004</x:v>
      </x:c>
      <x:c r="Q328" s="12" t="str"/>
      <x:c r="R328" s="12" t="str"/>
      <x:c r="S328" s="12" t="str"/>
      <x:c r="T328" s="12" t="str">
        <x:v>ABM</x:v>
      </x:c>
      <x:c r="U328" s="12" t="str"/>
      <x:c r="V328" s="12" t="str"/>
      <x:c r="W328" s="12" t="str"/>
      <x:c r="X328" s="12" t="str">
        <x:v>EXVV35</x:v>
      </x:c>
      <x:c r="Y328" s="12" t="str">
        <x:v>RAFIF &amp; YOGI</x:v>
      </x:c>
      <x:c r="Z328" s="12" t="str"/>
      <x:c r="AA328" s="32" t="n">
        <x:f>IFERROR(VLOOKUP(G328,Master_Unit!$A$2:$N$78,7,FALSE),"")</x:f>
        <x:v>25</x:v>
      </x:c>
      <x:c r="AB328" s="32" t="n">
        <x:f>IF(OR(N328="",AA328=""),"",N328-AA328)</x:f>
        <x:v>-10.507246376811786</x:v>
      </x:c>
      <x:c r="AC328" s="20" t="n">
        <x:f>IF(OR(N328="",AA328="",AA328=0),"",AB328/AA328)</x:f>
        <x:v>-0.4202898550724714</x:v>
      </x:c>
      <x:c r="AD328" t="str">
        <x:f>IF(AA328="","NO STANDARD",IF(AC328&lt;=Config_Status!$B$2,"EFFICIENT",IF(AC328&lt;=Config_Status!$B$3,"NORMAL",IF(AC328&lt;=Config_Status!$B$4,"WARNING","OVER CONSUMPTION"))))</x:f>
        <x:v>EFFICIENT</x:v>
      </x:c>
      <x:c r="AE328" t="str">
        <x:f>IFERROR(VLOOKUP(G328,Master_Unit!$A$2:$N$78,13,FALSE),"UNIT NOT FOUND")</x:f>
        <x:v>Matched</x:v>
      </x:c>
    </x:row>
    <x:row r="329">
      <x:c r="A329" s="12" t="str">
        <x:v>FU-20260605-00328</x:v>
      </x:c>
      <x:c r="B329" s="12" t="n">
        <x:v>458</x:v>
      </x:c>
      <x:c r="C329" s="14" t="n">
        <x:v>46178</x:v>
      </x:c>
      <x:c r="D329" s="12" t="str">
        <x:v>Jum'at</x:v>
      </x:c>
      <x:c r="E329" s="12" t="str">
        <x:v>19:05:00</x:v>
      </x:c>
      <x:c r="F329" s="12" t="str">
        <x:v>All Shift Night</x:v>
      </x:c>
      <x:c r="G329" s="12" t="str">
        <x:v>TLYM50G017</x:v>
      </x:c>
      <x:c r="H329" s="12" t="str">
        <x:v>Other</x:v>
      </x:c>
      <x:c r="I329" s="12" t="str">
        <x:v>TOWERLAMP YAMAGEN YDG5001SE-D-TLD4</x:v>
      </x:c>
      <x:c r="J329" s="16" t="n">
        <x:v>15</x:v>
      </x:c>
      <x:c r="K329" s="16" t="n">
        <x:v>3352.78</x:v>
      </x:c>
      <x:c r="L329" s="16" t="n">
        <x:v>3370</x:v>
      </x:c>
      <x:c r="M329" s="16" t="n">
        <x:v>17.2199999999998</x:v>
      </x:c>
      <x:c r="N329" s="16" t="n">
        <x:v>0.8710801393728325</x:v>
      </x:c>
      <x:c r="O329" s="12" t="str">
        <x:v>FTRL44G005</x:v>
      </x:c>
      <x:c r="P329" s="12" t="str">
        <x:v>TLYM50G017</x:v>
      </x:c>
      <x:c r="Q329" s="12" t="str"/>
      <x:c r="R329" s="12" t="str"/>
      <x:c r="S329" s="12" t="str"/>
      <x:c r="T329" s="12" t="str">
        <x:v>ABM</x:v>
      </x:c>
      <x:c r="U329" s="12" t="str"/>
      <x:c r="V329" s="12" t="str"/>
      <x:c r="W329" s="12" t="str"/>
      <x:c r="X329" s="12" t="str">
        <x:v>TLYM50</x:v>
      </x:c>
      <x:c r="Y329" s="12" t="str">
        <x:v>RAFIF &amp; YOGI</x:v>
      </x:c>
      <x:c r="Z329" s="12" t="str"/>
      <x:c r="AA329" s="32" t="n">
        <x:f>IFERROR(VLOOKUP(G329,Master_Unit!$A$2:$N$78,7,FALSE),"")</x:f>
        <x:v>2</x:v>
      </x:c>
      <x:c r="AB329" s="32" t="n">
        <x:f>IF(OR(N329="",AA329=""),"",N329-AA329)</x:f>
        <x:v>-1.1289198606271675</x:v>
      </x:c>
      <x:c r="AC329" s="20" t="n">
        <x:f>IF(OR(N329="",AA329="",AA329=0),"",AB329/AA329)</x:f>
        <x:v>-0.5644599303135838</x:v>
      </x:c>
      <x:c r="AD329" t="str">
        <x:f>IF(AA329="","NO STANDARD",IF(AC329&lt;=Config_Status!$B$2,"EFFICIENT",IF(AC329&lt;=Config_Status!$B$3,"NORMAL",IF(AC329&lt;=Config_Status!$B$4,"WARNING","OVER CONSUMPTION"))))</x:f>
        <x:v>EFFICIENT</x:v>
      </x:c>
      <x:c r="AE329" t="str">
        <x:f>IFERROR(VLOOKUP(G329,Master_Unit!$A$2:$N$78,13,FALSE),"UNIT NOT FOUND")</x:f>
        <x:v>Matched</x:v>
      </x:c>
    </x:row>
    <x:row r="330">
      <x:c r="A330" s="12" t="str">
        <x:v>FU-20260605-00329</x:v>
      </x:c>
      <x:c r="B330" s="12" t="n">
        <x:v>459</x:v>
      </x:c>
      <x:c r="C330" s="14" t="n">
        <x:v>46178</x:v>
      </x:c>
      <x:c r="D330" s="12" t="str">
        <x:v>Jum'at</x:v>
      </x:c>
      <x:c r="E330" s="12" t="str">
        <x:v>19:06:00</x:v>
      </x:c>
      <x:c r="F330" s="12" t="str">
        <x:v>All Shift Night</x:v>
      </x:c>
      <x:c r="G330" s="12" t="str">
        <x:v>EXVV21G041</x:v>
      </x:c>
      <x:c r="H330" s="12" t="str">
        <x:v>Excavator</x:v>
      </x:c>
      <x:c r="I330" s="12" t="str">
        <x:v>EXCAVATOR VOLVO EC210D</x:v>
      </x:c>
      <x:c r="J330" s="16" t="n">
        <x:v>124</x:v>
      </x:c>
      <x:c r="K330" s="16" t="n">
        <x:v>4460.8</x:v>
      </x:c>
      <x:c r="L330" s="16" t="n">
        <x:v>4465.1</x:v>
      </x:c>
      <x:c r="M330" s="16" t="n">
        <x:v>4.300000000000182</x:v>
      </x:c>
      <x:c r="N330" s="16" t="n">
        <x:v>28.83720930232436</x:v>
      </x:c>
      <x:c r="O330" s="12" t="str">
        <x:v>FTRL44G005</x:v>
      </x:c>
      <x:c r="P330" s="12" t="str">
        <x:v>EXVV21G041</x:v>
      </x:c>
      <x:c r="Q330" s="12" t="str"/>
      <x:c r="R330" s="12" t="str"/>
      <x:c r="S330" s="12" t="str"/>
      <x:c r="T330" s="12" t="str">
        <x:v>ABM</x:v>
      </x:c>
      <x:c r="U330" s="12" t="str"/>
      <x:c r="V330" s="12" t="str"/>
      <x:c r="W330" s="12" t="str"/>
      <x:c r="X330" s="12" t="str">
        <x:v>EXVV21</x:v>
      </x:c>
      <x:c r="Y330" s="12" t="str">
        <x:v>RAFIF &amp; YOGI</x:v>
      </x:c>
      <x:c r="Z330" s="12" t="str"/>
      <x:c r="AA330" s="32" t="n">
        <x:f>IFERROR(VLOOKUP(G330,Master_Unit!$A$2:$N$78,7,FALSE),"")</x:f>
        <x:v>20</x:v>
      </x:c>
      <x:c r="AB330" s="32" t="n">
        <x:f>IF(OR(N330="",AA330=""),"",N330-AA330)</x:f>
        <x:v>8.83720930232436</x:v>
      </x:c>
      <x:c r="AC330" s="20" t="n">
        <x:f>IF(OR(N330="",AA330="",AA330=0),"",AB330/AA330)</x:f>
        <x:v>0.441860465116218</x:v>
      </x:c>
      <x:c r="AD330" t="str">
        <x:f>IF(AA330="","NO STANDARD",IF(AC330&lt;=Config_Status!$B$2,"EFFICIENT",IF(AC330&lt;=Config_Status!$B$3,"NORMAL",IF(AC330&lt;=Config_Status!$B$4,"WARNING","OVER CONSUMPTION"))))</x:f>
        <x:v>OVER CONSUMPTION</x:v>
      </x:c>
      <x:c r="AE330" t="str">
        <x:f>IFERROR(VLOOKUP(G330,Master_Unit!$A$2:$N$78,13,FALSE),"UNIT NOT FOUND")</x:f>
        <x:v>Matched</x:v>
      </x:c>
    </x:row>
    <x:row r="331">
      <x:c r="A331" s="12" t="str">
        <x:v>FU-20260605-00330</x:v>
      </x:c>
      <x:c r="B331" s="12" t="n">
        <x:v>460</x:v>
      </x:c>
      <x:c r="C331" s="14" t="n">
        <x:v>46178</x:v>
      </x:c>
      <x:c r="D331" s="12" t="str">
        <x:v>Jum'at</x:v>
      </x:c>
      <x:c r="E331" s="12" t="str">
        <x:v>20:10:00</x:v>
      </x:c>
      <x:c r="F331" s="12" t="str">
        <x:v>All Shift Night</x:v>
      </x:c>
      <x:c r="G331" s="12" t="str">
        <x:v>EXVV21G038</x:v>
      </x:c>
      <x:c r="H331" s="12" t="str">
        <x:v>Excavator</x:v>
      </x:c>
      <x:c r="I331" s="12" t="str">
        <x:v>EXCAVATOR VOLVO EC210D</x:v>
      </x:c>
      <x:c r="J331" s="16" t="n">
        <x:v>141</x:v>
      </x:c>
      <x:c r="K331" s="16" t="n">
        <x:v>4146.1</x:v>
      </x:c>
      <x:c r="L331" s="16" t="n">
        <x:v>4150.2</x:v>
      </x:c>
      <x:c r="M331" s="16" t="n">
        <x:v>4.099999999999454</x:v>
      </x:c>
      <x:c r="N331" s="16" t="n">
        <x:v>34.3902439024436</x:v>
      </x:c>
      <x:c r="O331" s="12" t="str">
        <x:v>FTRL44G005</x:v>
      </x:c>
      <x:c r="P331" s="12" t="str">
        <x:v>EXVV21G038</x:v>
      </x:c>
      <x:c r="Q331" s="12" t="str"/>
      <x:c r="R331" s="12" t="str"/>
      <x:c r="S331" s="12" t="str"/>
      <x:c r="T331" s="12" t="str">
        <x:v>ABM</x:v>
      </x:c>
      <x:c r="U331" s="12" t="str"/>
      <x:c r="V331" s="12" t="str"/>
      <x:c r="W331" s="12" t="str"/>
      <x:c r="X331" s="12" t="str">
        <x:v>EXVV21</x:v>
      </x:c>
      <x:c r="Y331" s="12" t="str">
        <x:v>RAFIF &amp; YOGI</x:v>
      </x:c>
      <x:c r="Z331" s="12" t="str"/>
      <x:c r="AA331" s="32" t="n">
        <x:f>IFERROR(VLOOKUP(G331,Master_Unit!$A$2:$N$78,7,FALSE),"")</x:f>
        <x:v>20</x:v>
      </x:c>
      <x:c r="AB331" s="32" t="n">
        <x:f>IF(OR(N331="",AA331=""),"",N331-AA331)</x:f>
        <x:v>14.3902439024436</x:v>
      </x:c>
      <x:c r="AC331" s="20" t="n">
        <x:f>IF(OR(N331="",AA331="",AA331=0),"",AB331/AA331)</x:f>
        <x:v>0.71951219512218</x:v>
      </x:c>
      <x:c r="AD331" t="str">
        <x:f>IF(AA331="","NO STANDARD",IF(AC331&lt;=Config_Status!$B$2,"EFFICIENT",IF(AC331&lt;=Config_Status!$B$3,"NORMAL",IF(AC331&lt;=Config_Status!$B$4,"WARNING","OVER CONSUMPTION"))))</x:f>
        <x:v>OVER CONSUMPTION</x:v>
      </x:c>
      <x:c r="AE331" t="str">
        <x:f>IFERROR(VLOOKUP(G331,Master_Unit!$A$2:$N$78,13,FALSE),"UNIT NOT FOUND")</x:f>
        <x:v>Matched</x:v>
      </x:c>
    </x:row>
    <x:row r="332">
      <x:c r="A332" s="12" t="str">
        <x:v>FU-20260605-00331</x:v>
      </x:c>
      <x:c r="B332" s="12" t="n">
        <x:v>461</x:v>
      </x:c>
      <x:c r="C332" s="14" t="n">
        <x:v>46178</x:v>
      </x:c>
      <x:c r="D332" s="12" t="str">
        <x:v>Jum'at</x:v>
      </x:c>
      <x:c r="E332" s="12" t="str">
        <x:v>20:18:00</x:v>
      </x:c>
      <x:c r="F332" s="12" t="str">
        <x:v>All Shift Night</x:v>
      </x:c>
      <x:c r="G332" s="12" t="str">
        <x:v>TLYM50G024</x:v>
      </x:c>
      <x:c r="H332" s="12" t="str">
        <x:v>Other</x:v>
      </x:c>
      <x:c r="I332" s="12" t="str">
        <x:v>TOWERLAMP YAMAGEN YDG5001SE-D-TLD4</x:v>
      </x:c>
      <x:c r="J332" s="16" t="n">
        <x:v>17</x:v>
      </x:c>
      <x:c r="K332" s="16" t="n">
        <x:v>4200.4</x:v>
      </x:c>
      <x:c r="L332" s="16" t="n">
        <x:v>4218.4</x:v>
      </x:c>
      <x:c r="M332" s="16" t="n">
        <x:v>18</x:v>
      </x:c>
      <x:c r="N332" s="16" t="n">
        <x:v>0.9444444444444444</x:v>
      </x:c>
      <x:c r="O332" s="12" t="str">
        <x:v>FTRL44G005</x:v>
      </x:c>
      <x:c r="P332" s="12" t="str">
        <x:v>TLYM50G024</x:v>
      </x:c>
      <x:c r="Q332" s="12" t="str"/>
      <x:c r="R332" s="12" t="str"/>
      <x:c r="S332" s="12" t="str"/>
      <x:c r="T332" s="12" t="str">
        <x:v>ABM</x:v>
      </x:c>
      <x:c r="U332" s="12" t="str"/>
      <x:c r="V332" s="12" t="str"/>
      <x:c r="W332" s="12" t="str"/>
      <x:c r="X332" s="12" t="str">
        <x:v>TLYM50</x:v>
      </x:c>
      <x:c r="Y332" s="12" t="str">
        <x:v>RAFIF &amp; YOGI</x:v>
      </x:c>
      <x:c r="Z332" s="12" t="str"/>
      <x:c r="AA332" s="32" t="n">
        <x:f>IFERROR(VLOOKUP(G332,Master_Unit!$A$2:$N$78,7,FALSE),"")</x:f>
        <x:v>2</x:v>
      </x:c>
      <x:c r="AB332" s="32" t="n">
        <x:f>IF(OR(N332="",AA332=""),"",N332-AA332)</x:f>
        <x:v>-1.0555555555555556</x:v>
      </x:c>
      <x:c r="AC332" s="20" t="n">
        <x:f>IF(OR(N332="",AA332="",AA332=0),"",AB332/AA332)</x:f>
        <x:v>-0.5277777777777778</x:v>
      </x:c>
      <x:c r="AD332" t="str">
        <x:f>IF(AA332="","NO STANDARD",IF(AC332&lt;=Config_Status!$B$2,"EFFICIENT",IF(AC332&lt;=Config_Status!$B$3,"NORMAL",IF(AC332&lt;=Config_Status!$B$4,"WARNING","OVER CONSUMPTION"))))</x:f>
        <x:v>EFFICIENT</x:v>
      </x:c>
      <x:c r="AE332" t="str">
        <x:f>IFERROR(VLOOKUP(G332,Master_Unit!$A$2:$N$78,13,FALSE),"UNIT NOT FOUND")</x:f>
        <x:v>Matched</x:v>
      </x:c>
    </x:row>
    <x:row r="333">
      <x:c r="A333" s="12" t="str">
        <x:v>FU-20260605-00332</x:v>
      </x:c>
      <x:c r="B333" s="12" t="n">
        <x:v>462</x:v>
      </x:c>
      <x:c r="C333" s="14" t="n">
        <x:v>46178</x:v>
      </x:c>
      <x:c r="D333" s="12" t="str">
        <x:v>Jum'at</x:v>
      </x:c>
      <x:c r="E333" s="12" t="str">
        <x:v>20:33:00</x:v>
      </x:c>
      <x:c r="F333" s="12" t="str">
        <x:v>All Shift Night</x:v>
      </x:c>
      <x:c r="G333" s="12" t="str">
        <x:v>WTRL44G007</x:v>
      </x:c>
      <x:c r="H333" s="12" t="str">
        <x:v>Water Truck</x:v>
      </x:c>
      <x:c r="I333" s="12" t="str">
        <x:v>WATER TRUCK RENAULT KRANGE440-P6X4 A/T</x:v>
      </x:c>
      <x:c r="J333" s="16" t="n">
        <x:v>100</x:v>
      </x:c>
      <x:c r="K333" s="16" t="n">
        <x:v>1604</x:v>
      </x:c>
      <x:c r="L333" s="16" t="n">
        <x:v>1610</x:v>
      </x:c>
      <x:c r="M333" s="16" t="n">
        <x:v>6</x:v>
      </x:c>
      <x:c r="N333" s="16" t="n">
        <x:v>16.666666666666668</x:v>
      </x:c>
      <x:c r="O333" s="12" t="str">
        <x:v>FTRL44G005</x:v>
      </x:c>
      <x:c r="P333" s="12" t="str">
        <x:v>WTRL44G007</x:v>
      </x:c>
      <x:c r="Q333" s="12" t="str"/>
      <x:c r="R333" s="12" t="str"/>
      <x:c r="S333" s="12" t="str"/>
      <x:c r="T333" s="12" t="str">
        <x:v>ABM</x:v>
      </x:c>
      <x:c r="U333" s="12" t="str"/>
      <x:c r="V333" s="12" t="str"/>
      <x:c r="W333" s="12" t="str"/>
      <x:c r="X333" s="12" t="str">
        <x:v>WTRL44</x:v>
      </x:c>
      <x:c r="Y333" s="12" t="str">
        <x:v>RAFIF &amp; YOGI</x:v>
      </x:c>
      <x:c r="Z333" s="12" t="str"/>
      <x:c r="AA333" s="32" t="n">
        <x:f>IFERROR(VLOOKUP(G333,Master_Unit!$A$2:$N$78,7,FALSE),"")</x:f>
        <x:v>20</x:v>
      </x:c>
      <x:c r="AB333" s="32" t="n">
        <x:f>IF(OR(N333="",AA333=""),"",N333-AA333)</x:f>
        <x:v>-3.333333333333332</x:v>
      </x:c>
      <x:c r="AC333" s="20" t="n">
        <x:f>IF(OR(N333="",AA333="",AA333=0),"",AB333/AA333)</x:f>
        <x:v>-0.1666666666666666</x:v>
      </x:c>
      <x:c r="AD333" t="str">
        <x:f>IF(AA333="","NO STANDARD",IF(AC333&lt;=Config_Status!$B$2,"EFFICIENT",IF(AC333&lt;=Config_Status!$B$3,"NORMAL",IF(AC333&lt;=Config_Status!$B$4,"WARNING","OVER CONSUMPTION"))))</x:f>
        <x:v>EFFICIENT</x:v>
      </x:c>
      <x:c r="AE333" t="str">
        <x:f>IFERROR(VLOOKUP(G333,Master_Unit!$A$2:$N$78,13,FALSE),"UNIT NOT FOUND")</x:f>
        <x:v>Matched</x:v>
      </x:c>
    </x:row>
    <x:row r="334">
      <x:c r="A334" s="12" t="str">
        <x:v>FU-20260605-00333</x:v>
      </x:c>
      <x:c r="B334" s="12" t="n">
        <x:v>463</x:v>
      </x:c>
      <x:c r="C334" s="14" t="n">
        <x:v>46178</x:v>
      </x:c>
      <x:c r="D334" s="12" t="str">
        <x:v>Jum'at</x:v>
      </x:c>
      <x:c r="E334" s="12" t="str">
        <x:v>20:36:00</x:v>
      </x:c>
      <x:c r="F334" s="12" t="str">
        <x:v>All Shift Night</x:v>
      </x:c>
      <x:c r="G334" s="12" t="str">
        <x:v>STRL44G140</x:v>
      </x:c>
      <x:c r="H334" s="12" t="str">
        <x:v>Dump Truck</x:v>
      </x:c>
      <x:c r="I334" s="12" t="str">
        <x:v>DUMP TRUCK RENAULT KRANGE440-P6X4 A/T</x:v>
      </x:c>
      <x:c r="J334" s="16" t="n">
        <x:v>145</x:v>
      </x:c>
      <x:c r="K334" s="16" t="n">
        <x:v>5057</x:v>
      </x:c>
      <x:c r="L334" s="16" t="n">
        <x:v>5062</x:v>
      </x:c>
      <x:c r="M334" s="16" t="n">
        <x:v>5</x:v>
      </x:c>
      <x:c r="N334" s="16" t="n">
        <x:v>29</x:v>
      </x:c>
      <x:c r="O334" s="12" t="str">
        <x:v>FTRL44G005</x:v>
      </x:c>
      <x:c r="P334" s="12" t="str">
        <x:v>STRL44G140</x:v>
      </x:c>
      <x:c r="Q334" s="12" t="str"/>
      <x:c r="R334" s="12" t="str"/>
      <x:c r="S334" s="12" t="str"/>
      <x:c r="T334" s="12" t="str">
        <x:v>ABM</x:v>
      </x:c>
      <x:c r="U334" s="12" t="str"/>
      <x:c r="V334" s="12" t="str"/>
      <x:c r="W334" s="12" t="str"/>
      <x:c r="X334" s="12" t="str">
        <x:v>STRL44</x:v>
      </x:c>
      <x:c r="Y334" s="12" t="str">
        <x:v>RAFIF &amp; YOGI</x:v>
      </x:c>
      <x:c r="Z334" s="12" t="str"/>
      <x:c r="AA334" s="32" t="n">
        <x:f>IFERROR(VLOOKUP(G334,Master_Unit!$A$2:$N$78,7,FALSE),"")</x:f>
        <x:v>20</x:v>
      </x:c>
      <x:c r="AB334" s="32" t="n">
        <x:f>IF(OR(N334="",AA334=""),"",N334-AA334)</x:f>
        <x:v>9</x:v>
      </x:c>
      <x:c r="AC334" s="20" t="n">
        <x:f>IF(OR(N334="",AA334="",AA334=0),"",AB334/AA334)</x:f>
        <x:v>0.45</x:v>
      </x:c>
      <x:c r="AD334" t="str">
        <x:f>IF(AA334="","NO STANDARD",IF(AC334&lt;=Config_Status!$B$2,"EFFICIENT",IF(AC334&lt;=Config_Status!$B$3,"NORMAL",IF(AC334&lt;=Config_Status!$B$4,"WARNING","OVER CONSUMPTION"))))</x:f>
        <x:v>OVER CONSUMPTION</x:v>
      </x:c>
      <x:c r="AE334" t="str">
        <x:f>IFERROR(VLOOKUP(G334,Master_Unit!$A$2:$N$78,13,FALSE),"UNIT NOT FOUND")</x:f>
        <x:v>Matched</x:v>
      </x:c>
    </x:row>
    <x:row r="335">
      <x:c r="A335" s="12" t="str">
        <x:v>FU-20260605-00334</x:v>
      </x:c>
      <x:c r="B335" s="12" t="n">
        <x:v>464</x:v>
      </x:c>
      <x:c r="C335" s="14" t="n">
        <x:v>46178</x:v>
      </x:c>
      <x:c r="D335" s="12" t="str">
        <x:v>Jum'at</x:v>
      </x:c>
      <x:c r="E335" s="12" t="str">
        <x:v>20:39:00</x:v>
      </x:c>
      <x:c r="F335" s="12" t="str">
        <x:v>All Shift Night</x:v>
      </x:c>
      <x:c r="G335" s="12" t="str">
        <x:v>STRL44G138</x:v>
      </x:c>
      <x:c r="H335" s="12" t="str">
        <x:v>Dump Truck</x:v>
      </x:c>
      <x:c r="I335" s="12" t="str">
        <x:v>DUMP TRUCK RENAULT KRANGE440-P6X4 A/T</x:v>
      </x:c>
      <x:c r="J335" s="16" t="n">
        <x:v>138</x:v>
      </x:c>
      <x:c r="K335" s="16" t="n">
        <x:v>5254</x:v>
      </x:c>
      <x:c r="L335" s="16" t="n">
        <x:v>5260</x:v>
      </x:c>
      <x:c r="M335" s="16" t="n">
        <x:v>6</x:v>
      </x:c>
      <x:c r="N335" s="16" t="n">
        <x:v>23</x:v>
      </x:c>
      <x:c r="O335" s="12" t="str">
        <x:v>FTRL44G005</x:v>
      </x:c>
      <x:c r="P335" s="12" t="str">
        <x:v>STRL44G138</x:v>
      </x:c>
      <x:c r="Q335" s="12" t="str"/>
      <x:c r="R335" s="12" t="str"/>
      <x:c r="S335" s="12" t="str"/>
      <x:c r="T335" s="12" t="str">
        <x:v>ABM</x:v>
      </x:c>
      <x:c r="U335" s="12" t="str"/>
      <x:c r="V335" s="12" t="str"/>
      <x:c r="W335" s="12" t="str"/>
      <x:c r="X335" s="12" t="str">
        <x:v>STRL44</x:v>
      </x:c>
      <x:c r="Y335" s="12" t="str">
        <x:v>RAFIF &amp; YOGI</x:v>
      </x:c>
      <x:c r="Z335" s="12" t="str"/>
      <x:c r="AA335" s="32" t="n">
        <x:f>IFERROR(VLOOKUP(G335,Master_Unit!$A$2:$N$78,7,FALSE),"")</x:f>
        <x:v>20</x:v>
      </x:c>
      <x:c r="AB335" s="32" t="n">
        <x:f>IF(OR(N335="",AA335=""),"",N335-AA335)</x:f>
        <x:v>3</x:v>
      </x:c>
      <x:c r="AC335" s="20" t="n">
        <x:f>IF(OR(N335="",AA335="",AA335=0),"",AB335/AA335)</x:f>
        <x:v>0.15</x:v>
      </x:c>
      <x:c r="AD335" t="str">
        <x:f>IF(AA335="","NO STANDARD",IF(AC335&lt;=Config_Status!$B$2,"EFFICIENT",IF(AC335&lt;=Config_Status!$B$3,"NORMAL",IF(AC335&lt;=Config_Status!$B$4,"WARNING","OVER CONSUMPTION"))))</x:f>
        <x:v>WARNING</x:v>
      </x:c>
      <x:c r="AE335" t="str">
        <x:f>IFERROR(VLOOKUP(G335,Master_Unit!$A$2:$N$78,13,FALSE),"UNIT NOT FOUND")</x:f>
        <x:v>Matched</x:v>
      </x:c>
    </x:row>
    <x:row r="336">
      <x:c r="A336" s="12" t="str">
        <x:v>FU-20260605-00335</x:v>
      </x:c>
      <x:c r="B336" s="12" t="n">
        <x:v>465</x:v>
      </x:c>
      <x:c r="C336" s="14" t="n">
        <x:v>46178</x:v>
      </x:c>
      <x:c r="D336" s="12" t="str">
        <x:v>Jum'at</x:v>
      </x:c>
      <x:c r="E336" s="12" t="str">
        <x:v>20:43:00</x:v>
      </x:c>
      <x:c r="F336" s="12" t="str">
        <x:v>All Shift Night</x:v>
      </x:c>
      <x:c r="G336" s="12" t="str">
        <x:v>STRL44G151</x:v>
      </x:c>
      <x:c r="H336" s="12" t="str">
        <x:v>Dump Truck</x:v>
      </x:c>
      <x:c r="I336" s="12" t="str">
        <x:v>DUMP TRUCK RENAULT KRANGE440-P6X4 A/T</x:v>
      </x:c>
      <x:c r="J336" s="16" t="n">
        <x:v>144</x:v>
      </x:c>
      <x:c r="K336" s="16" t="n">
        <x:v>4348</x:v>
      </x:c>
      <x:c r="L336" s="16" t="n">
        <x:v>4354</x:v>
      </x:c>
      <x:c r="M336" s="16" t="n">
        <x:v>6</x:v>
      </x:c>
      <x:c r="N336" s="16" t="n">
        <x:v>24</x:v>
      </x:c>
      <x:c r="O336" s="12" t="str">
        <x:v>FTRL44G005</x:v>
      </x:c>
      <x:c r="P336" s="12" t="str">
        <x:v>STRL44G151</x:v>
      </x:c>
      <x:c r="Q336" s="12" t="str"/>
      <x:c r="R336" s="12" t="str"/>
      <x:c r="S336" s="12" t="str"/>
      <x:c r="T336" s="12" t="str">
        <x:v>ABM</x:v>
      </x:c>
      <x:c r="U336" s="12" t="str"/>
      <x:c r="V336" s="12" t="str"/>
      <x:c r="W336" s="12" t="str"/>
      <x:c r="X336" s="12" t="str">
        <x:v>STRL44</x:v>
      </x:c>
      <x:c r="Y336" s="12" t="str">
        <x:v>RAFIF &amp; YOGI</x:v>
      </x:c>
      <x:c r="Z336" s="12" t="str"/>
      <x:c r="AA336" s="32" t="n">
        <x:f>IFERROR(VLOOKUP(G336,Master_Unit!$A$2:$N$78,7,FALSE),"")</x:f>
        <x:v>20</x:v>
      </x:c>
      <x:c r="AB336" s="32" t="n">
        <x:f>IF(OR(N336="",AA336=""),"",N336-AA336)</x:f>
        <x:v>4</x:v>
      </x:c>
      <x:c r="AC336" s="20" t="n">
        <x:f>IF(OR(N336="",AA336="",AA336=0),"",AB336/AA336)</x:f>
        <x:v>0.2</x:v>
      </x:c>
      <x:c r="AD336" t="str">
        <x:f>IF(AA336="","NO STANDARD",IF(AC336&lt;=Config_Status!$B$2,"EFFICIENT",IF(AC336&lt;=Config_Status!$B$3,"NORMAL",IF(AC336&lt;=Config_Status!$B$4,"WARNING","OVER CONSUMPTION"))))</x:f>
        <x:v>WARNING</x:v>
      </x:c>
      <x:c r="AE336" t="str">
        <x:f>IFERROR(VLOOKUP(G336,Master_Unit!$A$2:$N$78,13,FALSE),"UNIT NOT FOUND")</x:f>
        <x:v>Matched</x:v>
      </x:c>
    </x:row>
    <x:row r="337">
      <x:c r="A337" s="12" t="str">
        <x:v>FU-20260605-00336</x:v>
      </x:c>
      <x:c r="B337" s="12" t="n">
        <x:v>466</x:v>
      </x:c>
      <x:c r="C337" s="14" t="n">
        <x:v>46178</x:v>
      </x:c>
      <x:c r="D337" s="12" t="str">
        <x:v>Jum'at</x:v>
      </x:c>
      <x:c r="E337" s="12" t="str">
        <x:v>20:49:00</x:v>
      </x:c>
      <x:c r="F337" s="12" t="str">
        <x:v>All Shift Night</x:v>
      </x:c>
      <x:c r="G337" s="12" t="str">
        <x:v>STRL44G149</x:v>
      </x:c>
      <x:c r="H337" s="12" t="str">
        <x:v>Dump Truck</x:v>
      </x:c>
      <x:c r="I337" s="12" t="str">
        <x:v>DUMP TRUCK RENAULT KRANGE440-P6X4 A/T</x:v>
      </x:c>
      <x:c r="J337" s="16" t="n">
        <x:v>144</x:v>
      </x:c>
      <x:c r="K337" s="16" t="n">
        <x:v>4240</x:v>
      </x:c>
      <x:c r="L337" s="16" t="n">
        <x:v>4251</x:v>
      </x:c>
      <x:c r="M337" s="16" t="n">
        <x:v>11</x:v>
      </x:c>
      <x:c r="N337" s="16" t="n">
        <x:v>13.090909090909092</x:v>
      </x:c>
      <x:c r="O337" s="12" t="str">
        <x:v>FTRL44G005</x:v>
      </x:c>
      <x:c r="P337" s="12" t="str">
        <x:v>STRL44G149</x:v>
      </x:c>
      <x:c r="Q337" s="12" t="str"/>
      <x:c r="R337" s="12" t="str"/>
      <x:c r="S337" s="12" t="str"/>
      <x:c r="T337" s="12" t="str">
        <x:v>ABM</x:v>
      </x:c>
      <x:c r="U337" s="12" t="str"/>
      <x:c r="V337" s="12" t="str"/>
      <x:c r="W337" s="12" t="str"/>
      <x:c r="X337" s="12" t="str">
        <x:v>STRL44</x:v>
      </x:c>
      <x:c r="Y337" s="12" t="str">
        <x:v>RAFIF &amp; YOGI</x:v>
      </x:c>
      <x:c r="Z337" s="12" t="str"/>
      <x:c r="AA337" s="32" t="n">
        <x:f>IFERROR(VLOOKUP(G337,Master_Unit!$A$2:$N$78,7,FALSE),"")</x:f>
        <x:v>20</x:v>
      </x:c>
      <x:c r="AB337" s="32" t="n">
        <x:f>IF(OR(N337="",AA337=""),"",N337-AA337)</x:f>
        <x:v>-6.909090909090908</x:v>
      </x:c>
      <x:c r="AC337" s="20" t="n">
        <x:f>IF(OR(N337="",AA337="",AA337=0),"",AB337/AA337)</x:f>
        <x:v>-0.3454545454545454</x:v>
      </x:c>
      <x:c r="AD337" t="str">
        <x:f>IF(AA337="","NO STANDARD",IF(AC337&lt;=Config_Status!$B$2,"EFFICIENT",IF(AC337&lt;=Config_Status!$B$3,"NORMAL",IF(AC337&lt;=Config_Status!$B$4,"WARNING","OVER CONSUMPTION"))))</x:f>
        <x:v>EFFICIENT</x:v>
      </x:c>
      <x:c r="AE337" t="str">
        <x:f>IFERROR(VLOOKUP(G337,Master_Unit!$A$2:$N$78,13,FALSE),"UNIT NOT FOUND")</x:f>
        <x:v>Matched</x:v>
      </x:c>
    </x:row>
    <x:row r="338">
      <x:c r="A338" s="12" t="str">
        <x:v>FU-20260605-00337</x:v>
      </x:c>
      <x:c r="B338" s="12" t="n">
        <x:v>467</x:v>
      </x:c>
      <x:c r="C338" s="14" t="n">
        <x:v>46178</x:v>
      </x:c>
      <x:c r="D338" s="12" t="str">
        <x:v>Jum'at</x:v>
      </x:c>
      <x:c r="E338" s="12" t="str">
        <x:v>20:51:00</x:v>
      </x:c>
      <x:c r="F338" s="12" t="str">
        <x:v>All Shift Night</x:v>
      </x:c>
      <x:c r="G338" s="12" t="str">
        <x:v>STRL44G154</x:v>
      </x:c>
      <x:c r="H338" s="12" t="str">
        <x:v>Dump Truck</x:v>
      </x:c>
      <x:c r="I338" s="12" t="str">
        <x:v>DUMP TRUCK RENAULT KRANGE440-P6X4 A/T</x:v>
      </x:c>
      <x:c r="J338" s="16" t="n">
        <x:v>144</x:v>
      </x:c>
      <x:c r="K338" s="16" t="n">
        <x:v>4042</x:v>
      </x:c>
      <x:c r="L338" s="16" t="n">
        <x:v>4045</x:v>
      </x:c>
      <x:c r="M338" s="16" t="n">
        <x:v>3</x:v>
      </x:c>
      <x:c r="N338" s="16" t="n">
        <x:v>48</x:v>
      </x:c>
      <x:c r="O338" s="12" t="str">
        <x:v>FTRL44G005</x:v>
      </x:c>
      <x:c r="P338" s="12" t="str">
        <x:v>STRL44G154</x:v>
      </x:c>
      <x:c r="Q338" s="12" t="str"/>
      <x:c r="R338" s="12" t="str"/>
      <x:c r="S338" s="12" t="str"/>
      <x:c r="T338" s="12" t="str">
        <x:v>ABM</x:v>
      </x:c>
      <x:c r="U338" s="12" t="str"/>
      <x:c r="V338" s="12" t="str"/>
      <x:c r="W338" s="12" t="str"/>
      <x:c r="X338" s="12" t="str">
        <x:v>STRL44</x:v>
      </x:c>
      <x:c r="Y338" s="12" t="str">
        <x:v>RAFIF &amp; YOGI</x:v>
      </x:c>
      <x:c r="Z338" s="12" t="str"/>
      <x:c r="AA338" s="32" t="n">
        <x:f>IFERROR(VLOOKUP(G338,Master_Unit!$A$2:$N$78,7,FALSE),"")</x:f>
        <x:v>20</x:v>
      </x:c>
      <x:c r="AB338" s="32" t="n">
        <x:f>IF(OR(N338="",AA338=""),"",N338-AA338)</x:f>
        <x:v>28</x:v>
      </x:c>
      <x:c r="AC338" s="20" t="n">
        <x:f>IF(OR(N338="",AA338="",AA338=0),"",AB338/AA338)</x:f>
        <x:v>1.4</x:v>
      </x:c>
      <x:c r="AD338" t="str">
        <x:f>IF(AA338="","NO STANDARD",IF(AC338&lt;=Config_Status!$B$2,"EFFICIENT",IF(AC338&lt;=Config_Status!$B$3,"NORMAL",IF(AC338&lt;=Config_Status!$B$4,"WARNING","OVER CONSUMPTION"))))</x:f>
        <x:v>OVER CONSUMPTION</x:v>
      </x:c>
      <x:c r="AE338" t="str">
        <x:f>IFERROR(VLOOKUP(G338,Master_Unit!$A$2:$N$78,13,FALSE),"UNIT NOT FOUND")</x:f>
        <x:v>Matched</x:v>
      </x:c>
    </x:row>
    <x:row r="339">
      <x:c r="A339" s="12" t="str">
        <x:v>FU-20260605-00338</x:v>
      </x:c>
      <x:c r="B339" s="12" t="n">
        <x:v>468</x:v>
      </x:c>
      <x:c r="C339" s="14" t="n">
        <x:v>46178</x:v>
      </x:c>
      <x:c r="D339" s="12" t="str">
        <x:v>Jum'at</x:v>
      </x:c>
      <x:c r="E339" s="12" t="str">
        <x:v>20:57:00</x:v>
      </x:c>
      <x:c r="F339" s="12" t="str">
        <x:v>All Shift Night</x:v>
      </x:c>
      <x:c r="G339" s="12" t="str">
        <x:v>STRL44G157</x:v>
      </x:c>
      <x:c r="H339" s="12" t="str">
        <x:v>Dump Truck</x:v>
      </x:c>
      <x:c r="I339" s="12" t="str">
        <x:v>DUMP TRUCK RENAULT KRANGE440-P6X4 A/T</x:v>
      </x:c>
      <x:c r="J339" s="16" t="n">
        <x:v>144</x:v>
      </x:c>
      <x:c r="K339" s="16" t="n">
        <x:v>4011</x:v>
      </x:c>
      <x:c r="L339" s="16" t="n">
        <x:v>4019</x:v>
      </x:c>
      <x:c r="M339" s="16" t="n">
        <x:v>8</x:v>
      </x:c>
      <x:c r="N339" s="16" t="n">
        <x:v>18</x:v>
      </x:c>
      <x:c r="O339" s="12" t="str">
        <x:v>FTRL44G005</x:v>
      </x:c>
      <x:c r="P339" s="12" t="str">
        <x:v>STRL44G157</x:v>
      </x:c>
      <x:c r="Q339" s="12" t="str"/>
      <x:c r="R339" s="12" t="str"/>
      <x:c r="S339" s="12" t="str"/>
      <x:c r="T339" s="12" t="str">
        <x:v>ABM</x:v>
      </x:c>
      <x:c r="U339" s="12" t="str"/>
      <x:c r="V339" s="12" t="str"/>
      <x:c r="W339" s="12" t="str"/>
      <x:c r="X339" s="12" t="str">
        <x:v>STRL44</x:v>
      </x:c>
      <x:c r="Y339" s="12" t="str">
        <x:v>RAFIF &amp; YOGI</x:v>
      </x:c>
      <x:c r="Z339" s="12" t="str"/>
      <x:c r="AA339" s="32" t="n">
        <x:f>IFERROR(VLOOKUP(G339,Master_Unit!$A$2:$N$78,7,FALSE),"")</x:f>
        <x:v>20</x:v>
      </x:c>
      <x:c r="AB339" s="32" t="n">
        <x:f>IF(OR(N339="",AA339=""),"",N339-AA339)</x:f>
        <x:v>-2</x:v>
      </x:c>
      <x:c r="AC339" s="20" t="n">
        <x:f>IF(OR(N339="",AA339="",AA339=0),"",AB339/AA339)</x:f>
        <x:v>-0.1</x:v>
      </x:c>
      <x:c r="AD339" t="str">
        <x:f>IF(AA339="","NO STANDARD",IF(AC339&lt;=Config_Status!$B$2,"EFFICIENT",IF(AC339&lt;=Config_Status!$B$3,"NORMAL",IF(AC339&lt;=Config_Status!$B$4,"WARNING","OVER CONSUMPTION"))))</x:f>
        <x:v>EFFICIENT</x:v>
      </x:c>
      <x:c r="AE339" t="str">
        <x:f>IFERROR(VLOOKUP(G339,Master_Unit!$A$2:$N$78,13,FALSE),"UNIT NOT FOUND")</x:f>
        <x:v>Matched</x:v>
      </x:c>
    </x:row>
    <x:row r="340">
      <x:c r="A340" s="12" t="str">
        <x:v>FU-20260605-00339</x:v>
      </x:c>
      <x:c r="B340" s="12" t="n">
        <x:v>469</x:v>
      </x:c>
      <x:c r="C340" s="14" t="n">
        <x:v>46178</x:v>
      </x:c>
      <x:c r="D340" s="12" t="str">
        <x:v>Jum'at</x:v>
      </x:c>
      <x:c r="E340" s="12" t="str">
        <x:v>21:00:00</x:v>
      </x:c>
      <x:c r="F340" s="12" t="str">
        <x:v>All Shift Night</x:v>
      </x:c>
      <x:c r="G340" s="12" t="str">
        <x:v>STRL44G146</x:v>
      </x:c>
      <x:c r="H340" s="12" t="str">
        <x:v>Dump Truck</x:v>
      </x:c>
      <x:c r="I340" s="12" t="str">
        <x:v>DUMP TRUCK RENAULT KRANGE440-P6X4 A/T</x:v>
      </x:c>
      <x:c r="J340" s="16" t="n">
        <x:v>144</x:v>
      </x:c>
      <x:c r="K340" s="16" t="n">
        <x:v>4894</x:v>
      </x:c>
      <x:c r="L340" s="16" t="n">
        <x:v>4902</x:v>
      </x:c>
      <x:c r="M340" s="16" t="n">
        <x:v>8</x:v>
      </x:c>
      <x:c r="N340" s="16" t="n">
        <x:v>18</x:v>
      </x:c>
      <x:c r="O340" s="12" t="str">
        <x:v>FTRL44G005</x:v>
      </x:c>
      <x:c r="P340" s="12" t="str">
        <x:v>STRL44G146</x:v>
      </x:c>
      <x:c r="Q340" s="12" t="str"/>
      <x:c r="R340" s="12" t="str"/>
      <x:c r="S340" s="12" t="str"/>
      <x:c r="T340" s="12" t="str">
        <x:v>ABM</x:v>
      </x:c>
      <x:c r="U340" s="12" t="str"/>
      <x:c r="V340" s="12" t="str"/>
      <x:c r="W340" s="12" t="str"/>
      <x:c r="X340" s="12" t="str">
        <x:v>STRL44</x:v>
      </x:c>
      <x:c r="Y340" s="12" t="str">
        <x:v>RAFIF &amp; YOGI</x:v>
      </x:c>
      <x:c r="Z340" s="12" t="str"/>
      <x:c r="AA340" s="32" t="n">
        <x:f>IFERROR(VLOOKUP(G340,Master_Unit!$A$2:$N$78,7,FALSE),"")</x:f>
        <x:v>20</x:v>
      </x:c>
      <x:c r="AB340" s="32" t="n">
        <x:f>IF(OR(N340="",AA340=""),"",N340-AA340)</x:f>
        <x:v>-2</x:v>
      </x:c>
      <x:c r="AC340" s="20" t="n">
        <x:f>IF(OR(N340="",AA340="",AA340=0),"",AB340/AA340)</x:f>
        <x:v>-0.1</x:v>
      </x:c>
      <x:c r="AD340" t="str">
        <x:f>IF(AA340="","NO STANDARD",IF(AC340&lt;=Config_Status!$B$2,"EFFICIENT",IF(AC340&lt;=Config_Status!$B$3,"NORMAL",IF(AC340&lt;=Config_Status!$B$4,"WARNING","OVER CONSUMPTION"))))</x:f>
        <x:v>EFFICIENT</x:v>
      </x:c>
      <x:c r="AE340" t="str">
        <x:f>IFERROR(VLOOKUP(G340,Master_Unit!$A$2:$N$78,13,FALSE),"UNIT NOT FOUND")</x:f>
        <x:v>Matched</x:v>
      </x:c>
    </x:row>
    <x:row r="341">
      <x:c r="A341" s="12" t="str">
        <x:v>FU-20260605-00340</x:v>
      </x:c>
      <x:c r="B341" s="12" t="n">
        <x:v>470</x:v>
      </x:c>
      <x:c r="C341" s="14" t="n">
        <x:v>46178</x:v>
      </x:c>
      <x:c r="D341" s="12" t="str">
        <x:v>Jum'at</x:v>
      </x:c>
      <x:c r="E341" s="12" t="str">
        <x:v>21:02:00</x:v>
      </x:c>
      <x:c r="F341" s="12" t="str">
        <x:v>All Shift Night</x:v>
      </x:c>
      <x:c r="G341" s="12" t="str">
        <x:v>STRL44G152</x:v>
      </x:c>
      <x:c r="H341" s="12" t="str">
        <x:v>Dump Truck</x:v>
      </x:c>
      <x:c r="I341" s="12" t="str">
        <x:v>DUMP TRUCK RENAULT KRANGE440-P6X4 A/T</x:v>
      </x:c>
      <x:c r="J341" s="16" t="n">
        <x:v>120</x:v>
      </x:c>
      <x:c r="K341" s="16" t="n">
        <x:v>3652</x:v>
      </x:c>
      <x:c r="L341" s="16" t="n">
        <x:v>3656</x:v>
      </x:c>
      <x:c r="M341" s="16" t="n">
        <x:v>4</x:v>
      </x:c>
      <x:c r="N341" s="16" t="n">
        <x:v>30</x:v>
      </x:c>
      <x:c r="O341" s="12" t="str">
        <x:v>FTRL44G005</x:v>
      </x:c>
      <x:c r="P341" s="12" t="str">
        <x:v>STRL44G152</x:v>
      </x:c>
      <x:c r="Q341" s="12" t="str"/>
      <x:c r="R341" s="12" t="str"/>
      <x:c r="S341" s="12" t="str"/>
      <x:c r="T341" s="12" t="str">
        <x:v>ABM</x:v>
      </x:c>
      <x:c r="U341" s="12" t="str"/>
      <x:c r="V341" s="12" t="str"/>
      <x:c r="W341" s="12" t="str"/>
      <x:c r="X341" s="12" t="str">
        <x:v>STRL44</x:v>
      </x:c>
      <x:c r="Y341" s="12" t="str">
        <x:v>RAFIF &amp; YOGI</x:v>
      </x:c>
      <x:c r="Z341" s="12" t="str"/>
      <x:c r="AA341" s="32" t="n">
        <x:f>IFERROR(VLOOKUP(G341,Master_Unit!$A$2:$N$78,7,FALSE),"")</x:f>
        <x:v>20</x:v>
      </x:c>
      <x:c r="AB341" s="32" t="n">
        <x:f>IF(OR(N341="",AA341=""),"",N341-AA341)</x:f>
        <x:v>10</x:v>
      </x:c>
      <x:c r="AC341" s="20" t="n">
        <x:f>IF(OR(N341="",AA341="",AA341=0),"",AB341/AA341)</x:f>
        <x:v>0.5</x:v>
      </x:c>
      <x:c r="AD341" t="str">
        <x:f>IF(AA341="","NO STANDARD",IF(AC341&lt;=Config_Status!$B$2,"EFFICIENT",IF(AC341&lt;=Config_Status!$B$3,"NORMAL",IF(AC341&lt;=Config_Status!$B$4,"WARNING","OVER CONSUMPTION"))))</x:f>
        <x:v>OVER CONSUMPTION</x:v>
      </x:c>
      <x:c r="AE341" t="str">
        <x:f>IFERROR(VLOOKUP(G341,Master_Unit!$A$2:$N$78,13,FALSE),"UNIT NOT FOUND")</x:f>
        <x:v>Matched</x:v>
      </x:c>
    </x:row>
    <x:row r="342">
      <x:c r="A342" s="12" t="str">
        <x:v>FU-20260605-00341</x:v>
      </x:c>
      <x:c r="B342" s="12" t="n">
        <x:v>471</x:v>
      </x:c>
      <x:c r="C342" s="14" t="n">
        <x:v>46178</x:v>
      </x:c>
      <x:c r="D342" s="12" t="str">
        <x:v>Jum'at</x:v>
      </x:c>
      <x:c r="E342" s="12" t="str">
        <x:v>21:07:00</x:v>
      </x:c>
      <x:c r="F342" s="12" t="str">
        <x:v>All Shift Night</x:v>
      </x:c>
      <x:c r="G342" s="12" t="str">
        <x:v>STRL44G153</x:v>
      </x:c>
      <x:c r="H342" s="12" t="str">
        <x:v>Dump Truck</x:v>
      </x:c>
      <x:c r="I342" s="12" t="str">
        <x:v>DUMP TRUCK RENAULT KRANGE440-P6X4 A/T</x:v>
      </x:c>
      <x:c r="J342" s="16" t="n">
        <x:v>144</x:v>
      </x:c>
      <x:c r="K342" s="16" t="n">
        <x:v>3946</x:v>
      </x:c>
      <x:c r="L342" s="16" t="n">
        <x:v>3951</x:v>
      </x:c>
      <x:c r="M342" s="16" t="n">
        <x:v>5</x:v>
      </x:c>
      <x:c r="N342" s="16" t="n">
        <x:v>28.8</x:v>
      </x:c>
      <x:c r="O342" s="12" t="str">
        <x:v>FTRL44G005</x:v>
      </x:c>
      <x:c r="P342" s="12" t="str">
        <x:v>STRL44G153</x:v>
      </x:c>
      <x:c r="Q342" s="12" t="str"/>
      <x:c r="R342" s="12" t="str"/>
      <x:c r="S342" s="12" t="str"/>
      <x:c r="T342" s="12" t="str">
        <x:v>ABM</x:v>
      </x:c>
      <x:c r="U342" s="12" t="str"/>
      <x:c r="V342" s="12" t="str"/>
      <x:c r="W342" s="12" t="str"/>
      <x:c r="X342" s="12" t="str">
        <x:v>STRL44</x:v>
      </x:c>
      <x:c r="Y342" s="12" t="str">
        <x:v>RAFIF &amp; YOGI</x:v>
      </x:c>
      <x:c r="Z342" s="12" t="str"/>
      <x:c r="AA342" s="32" t="n">
        <x:f>IFERROR(VLOOKUP(G342,Master_Unit!$A$2:$N$78,7,FALSE),"")</x:f>
        <x:v>20</x:v>
      </x:c>
      <x:c r="AB342" s="32" t="n">
        <x:f>IF(OR(N342="",AA342=""),"",N342-AA342)</x:f>
        <x:v>8.8</x:v>
      </x:c>
      <x:c r="AC342" s="20" t="n">
        <x:f>IF(OR(N342="",AA342="",AA342=0),"",AB342/AA342)</x:f>
        <x:v>0.44000000000000006</x:v>
      </x:c>
      <x:c r="AD342" t="str">
        <x:f>IF(AA342="","NO STANDARD",IF(AC342&lt;=Config_Status!$B$2,"EFFICIENT",IF(AC342&lt;=Config_Status!$B$3,"NORMAL",IF(AC342&lt;=Config_Status!$B$4,"WARNING","OVER CONSUMPTION"))))</x:f>
        <x:v>OVER CONSUMPTION</x:v>
      </x:c>
      <x:c r="AE342" t="str">
        <x:f>IFERROR(VLOOKUP(G342,Master_Unit!$A$2:$N$78,13,FALSE),"UNIT NOT FOUND")</x:f>
        <x:v>Matched</x:v>
      </x:c>
    </x:row>
    <x:row r="343">
      <x:c r="A343" s="12" t="str">
        <x:v>FU-20260605-00342</x:v>
      </x:c>
      <x:c r="B343" s="12" t="n">
        <x:v>472</x:v>
      </x:c>
      <x:c r="C343" s="14" t="n">
        <x:v>46178</x:v>
      </x:c>
      <x:c r="D343" s="12" t="str">
        <x:v>Jum'at</x:v>
      </x:c>
      <x:c r="E343" s="12" t="str">
        <x:v>21:10:00</x:v>
      </x:c>
      <x:c r="F343" s="12" t="str">
        <x:v>All Shift Night</x:v>
      </x:c>
      <x:c r="G343" s="12" t="str">
        <x:v>STRL44G142</x:v>
      </x:c>
      <x:c r="H343" s="12" t="str">
        <x:v>Dump Truck</x:v>
      </x:c>
      <x:c r="I343" s="12" t="str">
        <x:v>DUMP TRUCK RENAULT KRANGE440-P6X4 A/T</x:v>
      </x:c>
      <x:c r="J343" s="16" t="n">
        <x:v>144</x:v>
      </x:c>
      <x:c r="K343" s="16" t="n">
        <x:v>3284</x:v>
      </x:c>
      <x:c r="L343" s="16" t="n">
        <x:v>3299</x:v>
      </x:c>
      <x:c r="M343" s="16" t="n">
        <x:v>15</x:v>
      </x:c>
      <x:c r="N343" s="16" t="n">
        <x:v>9.6</x:v>
      </x:c>
      <x:c r="O343" s="12" t="str">
        <x:v>FTRL44G005</x:v>
      </x:c>
      <x:c r="P343" s="12" t="str">
        <x:v>STRL44G142</x:v>
      </x:c>
      <x:c r="Q343" s="12" t="str"/>
      <x:c r="R343" s="12" t="str"/>
      <x:c r="S343" s="12" t="str"/>
      <x:c r="T343" s="12" t="str">
        <x:v>ABM</x:v>
      </x:c>
      <x:c r="U343" s="12" t="str"/>
      <x:c r="V343" s="12" t="str"/>
      <x:c r="W343" s="12" t="str"/>
      <x:c r="X343" s="12" t="str">
        <x:v>STRL44</x:v>
      </x:c>
      <x:c r="Y343" s="12" t="str">
        <x:v>RAFIF &amp; YOGI</x:v>
      </x:c>
      <x:c r="Z343" s="12" t="str"/>
      <x:c r="AA343" s="32" t="n">
        <x:f>IFERROR(VLOOKUP(G343,Master_Unit!$A$2:$N$78,7,FALSE),"")</x:f>
        <x:v>20</x:v>
      </x:c>
      <x:c r="AB343" s="32" t="n">
        <x:f>IF(OR(N343="",AA343=""),"",N343-AA343)</x:f>
        <x:v>-10.4</x:v>
      </x:c>
      <x:c r="AC343" s="20" t="n">
        <x:f>IF(OR(N343="",AA343="",AA343=0),"",AB343/AA343)</x:f>
        <x:v>-0.52</x:v>
      </x:c>
      <x:c r="AD343" t="str">
        <x:f>IF(AA343="","NO STANDARD",IF(AC343&lt;=Config_Status!$B$2,"EFFICIENT",IF(AC343&lt;=Config_Status!$B$3,"NORMAL",IF(AC343&lt;=Config_Status!$B$4,"WARNING","OVER CONSUMPTION"))))</x:f>
        <x:v>EFFICIENT</x:v>
      </x:c>
      <x:c r="AE343" t="str">
        <x:f>IFERROR(VLOOKUP(G343,Master_Unit!$A$2:$N$78,13,FALSE),"UNIT NOT FOUND")</x:f>
        <x:v>Matched</x:v>
      </x:c>
    </x:row>
    <x:row r="344">
      <x:c r="A344" s="12" t="str">
        <x:v>FU-20260605-00343</x:v>
      </x:c>
      <x:c r="B344" s="12" t="n">
        <x:v>473</x:v>
      </x:c>
      <x:c r="C344" s="14" t="n">
        <x:v>46178</x:v>
      </x:c>
      <x:c r="D344" s="12" t="str">
        <x:v>Jum'at</x:v>
      </x:c>
      <x:c r="E344" s="12" t="str">
        <x:v>21:13:00</x:v>
      </x:c>
      <x:c r="F344" s="12" t="str">
        <x:v>All Shift Night</x:v>
      </x:c>
      <x:c r="G344" s="12" t="str">
        <x:v>STRL44G145</x:v>
      </x:c>
      <x:c r="H344" s="12" t="str">
        <x:v>Dump Truck</x:v>
      </x:c>
      <x:c r="I344" s="12" t="str">
        <x:v>DUMP TRUCK RENAULT KRANGE440-P6X4 A/T</x:v>
      </x:c>
      <x:c r="J344" s="16" t="n">
        <x:v>115</x:v>
      </x:c>
      <x:c r="K344" s="16" t="n">
        <x:v>4896</x:v>
      </x:c>
      <x:c r="L344" s="16" t="n">
        <x:v>4900</x:v>
      </x:c>
      <x:c r="M344" s="16" t="n">
        <x:v>4</x:v>
      </x:c>
      <x:c r="N344" s="16" t="n">
        <x:v>28.75</x:v>
      </x:c>
      <x:c r="O344" s="12" t="str">
        <x:v>FTRL44G005</x:v>
      </x:c>
      <x:c r="P344" s="12" t="str">
        <x:v>STRL44G145</x:v>
      </x:c>
      <x:c r="Q344" s="12" t="str"/>
      <x:c r="R344" s="12" t="str"/>
      <x:c r="S344" s="12" t="str"/>
      <x:c r="T344" s="12" t="str">
        <x:v>ABM</x:v>
      </x:c>
      <x:c r="U344" s="12" t="str"/>
      <x:c r="V344" s="12" t="str"/>
      <x:c r="W344" s="12" t="str"/>
      <x:c r="X344" s="12" t="str">
        <x:v>STRL44</x:v>
      </x:c>
      <x:c r="Y344" s="12" t="str">
        <x:v>RAFIF &amp; YOGI</x:v>
      </x:c>
      <x:c r="Z344" s="12" t="str"/>
      <x:c r="AA344" s="32" t="n">
        <x:f>IFERROR(VLOOKUP(G344,Master_Unit!$A$2:$N$78,7,FALSE),"")</x:f>
        <x:v>20</x:v>
      </x:c>
      <x:c r="AB344" s="32" t="n">
        <x:f>IF(OR(N344="",AA344=""),"",N344-AA344)</x:f>
        <x:v>8.75</x:v>
      </x:c>
      <x:c r="AC344" s="20" t="n">
        <x:f>IF(OR(N344="",AA344="",AA344=0),"",AB344/AA344)</x:f>
        <x:v>0.4375</x:v>
      </x:c>
      <x:c r="AD344" t="str">
        <x:f>IF(AA344="","NO STANDARD",IF(AC344&lt;=Config_Status!$B$2,"EFFICIENT",IF(AC344&lt;=Config_Status!$B$3,"NORMAL",IF(AC344&lt;=Config_Status!$B$4,"WARNING","OVER CONSUMPTION"))))</x:f>
        <x:v>OVER CONSUMPTION</x:v>
      </x:c>
      <x:c r="AE344" t="str">
        <x:f>IFERROR(VLOOKUP(G344,Master_Unit!$A$2:$N$78,13,FALSE),"UNIT NOT FOUND")</x:f>
        <x:v>Matched</x:v>
      </x:c>
    </x:row>
    <x:row r="345">
      <x:c r="A345" s="12" t="str">
        <x:v>FU-20260605-00344</x:v>
      </x:c>
      <x:c r="B345" s="12" t="n">
        <x:v>474</x:v>
      </x:c>
      <x:c r="C345" s="14" t="n">
        <x:v>46178</x:v>
      </x:c>
      <x:c r="D345" s="12" t="str">
        <x:v>Jum'at</x:v>
      </x:c>
      <x:c r="E345" s="12" t="str">
        <x:v>21:16:00</x:v>
      </x:c>
      <x:c r="F345" s="12" t="str">
        <x:v>All Shift Night</x:v>
      </x:c>
      <x:c r="G345" s="12" t="str">
        <x:v>STRL44G156</x:v>
      </x:c>
      <x:c r="H345" s="12" t="str">
        <x:v>Dump Truck</x:v>
      </x:c>
      <x:c r="I345" s="12" t="str">
        <x:v>DUMP TRUCK RENAULT KRANGE440-P6X4 A/T</x:v>
      </x:c>
      <x:c r="J345" s="16" t="n">
        <x:v>144</x:v>
      </x:c>
      <x:c r="K345" s="16" t="n">
        <x:v>3724</x:v>
      </x:c>
      <x:c r="L345" s="16" t="n">
        <x:v>3729</x:v>
      </x:c>
      <x:c r="M345" s="16" t="n">
        <x:v>5</x:v>
      </x:c>
      <x:c r="N345" s="16" t="n">
        <x:v>28.8</x:v>
      </x:c>
      <x:c r="O345" s="12" t="str">
        <x:v>FTRL44G005</x:v>
      </x:c>
      <x:c r="P345" s="12" t="str">
        <x:v>STRL44G156</x:v>
      </x:c>
      <x:c r="Q345" s="12" t="str"/>
      <x:c r="R345" s="12" t="str"/>
      <x:c r="S345" s="12" t="str"/>
      <x:c r="T345" s="12" t="str">
        <x:v>ABM</x:v>
      </x:c>
      <x:c r="U345" s="12" t="str"/>
      <x:c r="V345" s="12" t="str"/>
      <x:c r="W345" s="12" t="str"/>
      <x:c r="X345" s="12" t="str">
        <x:v>STRL44</x:v>
      </x:c>
      <x:c r="Y345" s="12" t="str">
        <x:v>RAFIF &amp; YOGI</x:v>
      </x:c>
      <x:c r="Z345" s="12" t="str"/>
      <x:c r="AA345" s="32" t="n">
        <x:f>IFERROR(VLOOKUP(G345,Master_Unit!$A$2:$N$78,7,FALSE),"")</x:f>
        <x:v>20</x:v>
      </x:c>
      <x:c r="AB345" s="32" t="n">
        <x:f>IF(OR(N345="",AA345=""),"",N345-AA345)</x:f>
        <x:v>8.8</x:v>
      </x:c>
      <x:c r="AC345" s="20" t="n">
        <x:f>IF(OR(N345="",AA345="",AA345=0),"",AB345/AA345)</x:f>
        <x:v>0.44000000000000006</x:v>
      </x:c>
      <x:c r="AD345" t="str">
        <x:f>IF(AA345="","NO STANDARD",IF(AC345&lt;=Config_Status!$B$2,"EFFICIENT",IF(AC345&lt;=Config_Status!$B$3,"NORMAL",IF(AC345&lt;=Config_Status!$B$4,"WARNING","OVER CONSUMPTION"))))</x:f>
        <x:v>OVER CONSUMPTION</x:v>
      </x:c>
      <x:c r="AE345" t="str">
        <x:f>IFERROR(VLOOKUP(G345,Master_Unit!$A$2:$N$78,13,FALSE),"UNIT NOT FOUND")</x:f>
        <x:v>Matched</x:v>
      </x:c>
    </x:row>
    <x:row r="346">
      <x:c r="A346" s="12" t="str">
        <x:v>FU-20260605-00345</x:v>
      </x:c>
      <x:c r="B346" s="12" t="n">
        <x:v>475</x:v>
      </x:c>
      <x:c r="C346" s="14" t="n">
        <x:v>46178</x:v>
      </x:c>
      <x:c r="D346" s="12" t="str">
        <x:v>Jum'at</x:v>
      </x:c>
      <x:c r="E346" s="12" t="str">
        <x:v>21:19:00</x:v>
      </x:c>
      <x:c r="F346" s="12" t="str">
        <x:v>All Shift Night</x:v>
      </x:c>
      <x:c r="G346" s="12" t="str">
        <x:v>STRL44G143</x:v>
      </x:c>
      <x:c r="H346" s="12" t="str">
        <x:v>Dump Truck</x:v>
      </x:c>
      <x:c r="I346" s="12" t="str">
        <x:v>DUMP TRUCK RENAULT KRANGE440-P6X4 A/T</x:v>
      </x:c>
      <x:c r="J346" s="16" t="n">
        <x:v>144</x:v>
      </x:c>
      <x:c r="K346" s="16" t="n">
        <x:v>5184</x:v>
      </x:c>
      <x:c r="L346" s="16" t="n">
        <x:v>5191</x:v>
      </x:c>
      <x:c r="M346" s="16" t="n">
        <x:v>7</x:v>
      </x:c>
      <x:c r="N346" s="16" t="n">
        <x:v>20.571428571428573</x:v>
      </x:c>
      <x:c r="O346" s="12" t="str">
        <x:v>FTRL44G005</x:v>
      </x:c>
      <x:c r="P346" s="12" t="str">
        <x:v>STRL44G143</x:v>
      </x:c>
      <x:c r="Q346" s="12" t="str"/>
      <x:c r="R346" s="12" t="str"/>
      <x:c r="S346" s="12" t="str"/>
      <x:c r="T346" s="12" t="str">
        <x:v>ABM</x:v>
      </x:c>
      <x:c r="U346" s="12" t="str"/>
      <x:c r="V346" s="12" t="str"/>
      <x:c r="W346" s="12" t="str"/>
      <x:c r="X346" s="12" t="str">
        <x:v>STRL44</x:v>
      </x:c>
      <x:c r="Y346" s="12" t="str">
        <x:v>RAFIF &amp; YOGI</x:v>
      </x:c>
      <x:c r="Z346" s="12" t="str"/>
      <x:c r="AA346" s="32" t="n">
        <x:f>IFERROR(VLOOKUP(G346,Master_Unit!$A$2:$N$78,7,FALSE),"")</x:f>
        <x:v>20</x:v>
      </x:c>
      <x:c r="AB346" s="32" t="n">
        <x:f>IF(OR(N346="",AA346=""),"",N346-AA346)</x:f>
        <x:v>0.571428571428573</x:v>
      </x:c>
      <x:c r="AC346" s="20" t="n">
        <x:f>IF(OR(N346="",AA346="",AA346=0),"",AB346/AA346)</x:f>
        <x:v>0.028571428571428647</x:v>
      </x:c>
      <x:c r="AD346" t="str">
        <x:f>IF(AA346="","NO STANDARD",IF(AC346&lt;=Config_Status!$B$2,"EFFICIENT",IF(AC346&lt;=Config_Status!$B$3,"NORMAL",IF(AC346&lt;=Config_Status!$B$4,"WARNING","OVER CONSUMPTION"))))</x:f>
        <x:v>NORMAL</x:v>
      </x:c>
      <x:c r="AE346" t="str">
        <x:f>IFERROR(VLOOKUP(G346,Master_Unit!$A$2:$N$78,13,FALSE),"UNIT NOT FOUND")</x:f>
        <x:v>Matched</x:v>
      </x:c>
    </x:row>
    <x:row r="347">
      <x:c r="A347" s="12" t="str">
        <x:v>FU-20260605-00346</x:v>
      </x:c>
      <x:c r="B347" s="12" t="n">
        <x:v>476</x:v>
      </x:c>
      <x:c r="C347" s="14" t="n">
        <x:v>46178</x:v>
      </x:c>
      <x:c r="D347" s="12" t="str">
        <x:v>Jum'at</x:v>
      </x:c>
      <x:c r="E347" s="12" t="str">
        <x:v>23:58:00</x:v>
      </x:c>
      <x:c r="F347" s="12" t="str">
        <x:v>All Shift Night</x:v>
      </x:c>
      <x:c r="G347" s="12" t="str">
        <x:v>EXVV21G036</x:v>
      </x:c>
      <x:c r="H347" s="12" t="str">
        <x:v>Excavator</x:v>
      </x:c>
      <x:c r="I347" s="12" t="str">
        <x:v>EXCAVATOR VOLVO EC210D</x:v>
      </x:c>
      <x:c r="J347" s="16" t="n">
        <x:v>153</x:v>
      </x:c>
      <x:c r="K347" s="16" t="n">
        <x:v>7498.9</x:v>
      </x:c>
      <x:c r="L347" s="16" t="n">
        <x:v>7508.7</x:v>
      </x:c>
      <x:c r="M347" s="16" t="n">
        <x:v>9.800000000000182</x:v>
      </x:c>
      <x:c r="N347" s="16" t="n">
        <x:v>15.612244897958893</x:v>
      </x:c>
      <x:c r="O347" s="12" t="str">
        <x:v>FTRL44G005</x:v>
      </x:c>
      <x:c r="P347" s="12" t="str">
        <x:v>EXVV21G036</x:v>
      </x:c>
      <x:c r="Q347" s="12" t="str"/>
      <x:c r="R347" s="12" t="str"/>
      <x:c r="S347" s="12" t="str"/>
      <x:c r="T347" s="12" t="str">
        <x:v>ABM</x:v>
      </x:c>
      <x:c r="U347" s="12" t="str"/>
      <x:c r="V347" s="12" t="str"/>
      <x:c r="W347" s="12" t="str"/>
      <x:c r="X347" s="12" t="str">
        <x:v>EXVV21</x:v>
      </x:c>
      <x:c r="Y347" s="12" t="str">
        <x:v>RAFIF &amp; YOGI</x:v>
      </x:c>
      <x:c r="Z347" s="12" t="str"/>
      <x:c r="AA347" s="32" t="n">
        <x:f>IFERROR(VLOOKUP(G347,Master_Unit!$A$2:$N$78,7,FALSE),"")</x:f>
        <x:v>20</x:v>
      </x:c>
      <x:c r="AB347" s="32" t="n">
        <x:f>IF(OR(N347="",AA347=""),"",N347-AA347)</x:f>
        <x:v>-4.3877551020411065</x:v>
      </x:c>
      <x:c r="AC347" s="20" t="n">
        <x:f>IF(OR(N347="",AA347="",AA347=0),"",AB347/AA347)</x:f>
        <x:v>-0.21938775510205533</x:v>
      </x:c>
      <x:c r="AD347" t="str">
        <x:f>IF(AA347="","NO STANDARD",IF(AC347&lt;=Config_Status!$B$2,"EFFICIENT",IF(AC347&lt;=Config_Status!$B$3,"NORMAL",IF(AC347&lt;=Config_Status!$B$4,"WARNING","OVER CONSUMPTION"))))</x:f>
        <x:v>EFFICIENT</x:v>
      </x:c>
      <x:c r="AE347" t="str">
        <x:f>IFERROR(VLOOKUP(G347,Master_Unit!$A$2:$N$78,13,FALSE),"UNIT NOT FOUND")</x:f>
        <x:v>Matched</x:v>
      </x:c>
    </x:row>
    <x:row r="348">
      <x:c r="A348" s="12" t="str">
        <x:v>FU-20260605-00347</x:v>
      </x:c>
      <x:c r="B348" s="12" t="n">
        <x:v>477</x:v>
      </x:c>
      <x:c r="C348" s="14" t="n">
        <x:v>46178</x:v>
      </x:c>
      <x:c r="D348" s="12" t="str">
        <x:v>Jum'at</x:v>
      </x:c>
      <x:c r="E348" s="12" t="str">
        <x:v>18:26:00</x:v>
      </x:c>
      <x:c r="F348" s="12" t="str">
        <x:v>All Shift Night</x:v>
      </x:c>
      <x:c r="G348" s="12" t="str">
        <x:v>BDKM85G040</x:v>
      </x:c>
      <x:c r="H348" s="12" t="str">
        <x:v>Dozer</x:v>
      </x:c>
      <x:c r="I348" s="12" t="str">
        <x:v>BULDOZER KOMATSU D85ESS-2</x:v>
      </x:c>
      <x:c r="J348" s="16" t="n">
        <x:v>148</x:v>
      </x:c>
      <x:c r="K348" s="16" t="n">
        <x:v>6213.4</x:v>
      </x:c>
      <x:c r="L348" s="16" t="n">
        <x:v>6220.2</x:v>
      </x:c>
      <x:c r="M348" s="16" t="n">
        <x:v>6.800000000000182</x:v>
      </x:c>
      <x:c r="N348" s="16" t="n">
        <x:v>21.76470588235236</x:v>
      </x:c>
      <x:c r="O348" s="12" t="str">
        <x:v>FTRL44G004</x:v>
      </x:c>
      <x:c r="P348" s="12" t="str">
        <x:v>BDKM85G040</x:v>
      </x:c>
      <x:c r="Q348" s="12" t="str"/>
      <x:c r="R348" s="12" t="str"/>
      <x:c r="S348" s="12" t="str"/>
      <x:c r="T348" s="12" t="str">
        <x:v>ABM</x:v>
      </x:c>
      <x:c r="U348" s="12" t="str"/>
      <x:c r="V348" s="12" t="str"/>
      <x:c r="W348" s="12" t="str"/>
      <x:c r="X348" s="12" t="str">
        <x:v>BDKM85</x:v>
      </x:c>
      <x:c r="Y348" s="12" t="str">
        <x:v>BADRI &amp; KAMRAN</x:v>
      </x:c>
      <x:c r="Z348" s="12" t="str"/>
      <x:c r="AA348" s="32" t="n">
        <x:f>IFERROR(VLOOKUP(G348,Master_Unit!$A$2:$N$78,7,FALSE),"")</x:f>
        <x:v>30</x:v>
      </x:c>
      <x:c r="AB348" s="32" t="n">
        <x:f>IF(OR(N348="",AA348=""),"",N348-AA348)</x:f>
        <x:v>-8.23529411764764</x:v>
      </x:c>
      <x:c r="AC348" s="20" t="n">
        <x:f>IF(OR(N348="",AA348="",AA348=0),"",AB348/AA348)</x:f>
        <x:v>-0.274509803921588</x:v>
      </x:c>
      <x:c r="AD348" t="str">
        <x:f>IF(AA348="","NO STANDARD",IF(AC348&lt;=Config_Status!$B$2,"EFFICIENT",IF(AC348&lt;=Config_Status!$B$3,"NORMAL",IF(AC348&lt;=Config_Status!$B$4,"WARNING","OVER CONSUMPTION"))))</x:f>
        <x:v>EFFICIENT</x:v>
      </x:c>
      <x:c r="AE348" t="str">
        <x:f>IFERROR(VLOOKUP(G348,Master_Unit!$A$2:$N$78,13,FALSE),"UNIT NOT FOUND")</x:f>
        <x:v>Matched</x:v>
      </x:c>
    </x:row>
    <x:row r="349">
      <x:c r="A349" s="12" t="str">
        <x:v>FU-20260605-00348</x:v>
      </x:c>
      <x:c r="B349" s="12" t="n">
        <x:v>478</x:v>
      </x:c>
      <x:c r="C349" s="14" t="n">
        <x:v>46178</x:v>
      </x:c>
      <x:c r="D349" s="12" t="str">
        <x:v>Jum'at</x:v>
      </x:c>
      <x:c r="E349" s="12" t="str">
        <x:v>18:30:00</x:v>
      </x:c>
      <x:c r="F349" s="12" t="str">
        <x:v>All Shift Night</x:v>
      </x:c>
      <x:c r="G349" s="12" t="str">
        <x:v>VRVV11G013</x:v>
      </x:c>
      <x:c r="H349" s="12" t="str">
        <x:v>Compactor</x:v>
      </x:c>
      <x:c r="I349" s="12" t="str">
        <x:v>VIBRO COMPACTOR VOLVO SD110NE</x:v>
      </x:c>
      <x:c r="J349" s="16" t="n">
        <x:v>66</x:v>
      </x:c>
      <x:c r="K349" s="16" t="n">
        <x:v>3174</x:v>
      </x:c>
      <x:c r="L349" s="16" t="n">
        <x:v>3180.1</x:v>
      </x:c>
      <x:c r="M349" s="16" t="n">
        <x:v>6.099999999999909</x:v>
      </x:c>
      <x:c r="N349" s="16" t="n">
        <x:v>10.819672131147703</x:v>
      </x:c>
      <x:c r="O349" s="12" t="str">
        <x:v>FTRL44G004</x:v>
      </x:c>
      <x:c r="P349" s="12" t="str">
        <x:v>VRVV11G013</x:v>
      </x:c>
      <x:c r="Q349" s="12" t="str"/>
      <x:c r="R349" s="12" t="str"/>
      <x:c r="S349" s="12" t="str"/>
      <x:c r="T349" s="12" t="str">
        <x:v>ABM</x:v>
      </x:c>
      <x:c r="U349" s="12" t="str"/>
      <x:c r="V349" s="12" t="str"/>
      <x:c r="W349" s="12" t="str"/>
      <x:c r="X349" s="12" t="str">
        <x:v>VRVV11</x:v>
      </x:c>
      <x:c r="Y349" s="12" t="str">
        <x:v>BADRI &amp; KAMRAN</x:v>
      </x:c>
      <x:c r="Z349" s="12" t="str"/>
      <x:c r="AA349" s="32" t="n">
        <x:f>IFERROR(VLOOKUP(G349,Master_Unit!$A$2:$N$78,7,FALSE),"")</x:f>
        <x:v>15</x:v>
      </x:c>
      <x:c r="AB349" s="32" t="n">
        <x:f>IF(OR(N349="",AA349=""),"",N349-AA349)</x:f>
        <x:v>-4.180327868852297</x:v>
      </x:c>
      <x:c r="AC349" s="20" t="n">
        <x:f>IF(OR(N349="",AA349="",AA349=0),"",AB349/AA349)</x:f>
        <x:v>-0.27868852459015314</x:v>
      </x:c>
      <x:c r="AD349" t="str">
        <x:f>IF(AA349="","NO STANDARD",IF(AC349&lt;=Config_Status!$B$2,"EFFICIENT",IF(AC349&lt;=Config_Status!$B$3,"NORMAL",IF(AC349&lt;=Config_Status!$B$4,"WARNING","OVER CONSUMPTION"))))</x:f>
        <x:v>EFFICIENT</x:v>
      </x:c>
      <x:c r="AE349" t="str">
        <x:f>IFERROR(VLOOKUP(G349,Master_Unit!$A$2:$N$78,13,FALSE),"UNIT NOT FOUND")</x:f>
        <x:v>Matched</x:v>
      </x:c>
    </x:row>
    <x:row r="350">
      <x:c r="A350" s="12" t="str">
        <x:v>FU-20260605-00349</x:v>
      </x:c>
      <x:c r="B350" s="12" t="n">
        <x:v>479</x:v>
      </x:c>
      <x:c r="C350" s="14" t="n">
        <x:v>46178</x:v>
      </x:c>
      <x:c r="D350" s="12" t="str">
        <x:v>Jum'at</x:v>
      </x:c>
      <x:c r="E350" s="12" t="str">
        <x:v>18:32:00</x:v>
      </x:c>
      <x:c r="F350" s="12" t="str">
        <x:v>All Shift Night</x:v>
      </x:c>
      <x:c r="G350" s="12" t="str">
        <x:v>EXVV21G040</x:v>
      </x:c>
      <x:c r="H350" s="12" t="str">
        <x:v>Excavator</x:v>
      </x:c>
      <x:c r="I350" s="12" t="str">
        <x:v>EXCAVATOR VOLVO EC210D</x:v>
      </x:c>
      <x:c r="J350" s="16" t="n">
        <x:v>140</x:v>
      </x:c>
      <x:c r="K350" s="16" t="n">
        <x:v>6516.5</x:v>
      </x:c>
      <x:c r="L350" s="16" t="n">
        <x:v>6533.1</x:v>
      </x:c>
      <x:c r="M350" s="16" t="n">
        <x:v>16.600000000000364</x:v>
      </x:c>
      <x:c r="N350" s="16" t="n">
        <x:v>8.433734939758851</x:v>
      </x:c>
      <x:c r="O350" s="12" t="str">
        <x:v>FTRL44G004</x:v>
      </x:c>
      <x:c r="P350" s="12" t="str">
        <x:v>EXVV21G040</x:v>
      </x:c>
      <x:c r="Q350" s="12" t="str"/>
      <x:c r="R350" s="12" t="str"/>
      <x:c r="S350" s="12" t="str"/>
      <x:c r="T350" s="12" t="str">
        <x:v>ABM</x:v>
      </x:c>
      <x:c r="U350" s="12" t="str"/>
      <x:c r="V350" s="12" t="str"/>
      <x:c r="W350" s="12" t="str"/>
      <x:c r="X350" s="12" t="str">
        <x:v>EXVV21</x:v>
      </x:c>
      <x:c r="Y350" s="12" t="str">
        <x:v>BADRI &amp; KAMRAN</x:v>
      </x:c>
      <x:c r="Z350" s="12" t="str"/>
      <x:c r="AA350" s="32" t="n">
        <x:f>IFERROR(VLOOKUP(G350,Master_Unit!$A$2:$N$78,7,FALSE),"")</x:f>
        <x:v>20</x:v>
      </x:c>
      <x:c r="AB350" s="32" t="n">
        <x:f>IF(OR(N350="",AA350=""),"",N350-AA350)</x:f>
        <x:v>-11.566265060241149</x:v>
      </x:c>
      <x:c r="AC350" s="20" t="n">
        <x:f>IF(OR(N350="",AA350="",AA350=0),"",AB350/AA350)</x:f>
        <x:v>-0.5783132530120574</x:v>
      </x:c>
      <x:c r="AD350" t="str">
        <x:f>IF(AA350="","NO STANDARD",IF(AC350&lt;=Config_Status!$B$2,"EFFICIENT",IF(AC350&lt;=Config_Status!$B$3,"NORMAL",IF(AC350&lt;=Config_Status!$B$4,"WARNING","OVER CONSUMPTION"))))</x:f>
        <x:v>EFFICIENT</x:v>
      </x:c>
      <x:c r="AE350" t="str">
        <x:f>IFERROR(VLOOKUP(G350,Master_Unit!$A$2:$N$78,13,FALSE),"UNIT NOT FOUND")</x:f>
        <x:v>Matched</x:v>
      </x:c>
    </x:row>
    <x:row r="351">
      <x:c r="A351" s="12" t="str">
        <x:v>FU-20260605-00350</x:v>
      </x:c>
      <x:c r="B351" s="12" t="n">
        <x:v>480</x:v>
      </x:c>
      <x:c r="C351" s="14" t="n">
        <x:v>46178</x:v>
      </x:c>
      <x:c r="D351" s="12" t="str">
        <x:v>Jum'at</x:v>
      </x:c>
      <x:c r="E351" s="12" t="str">
        <x:v>18:41:00</x:v>
      </x:c>
      <x:c r="F351" s="12" t="str">
        <x:v>All Shift Night</x:v>
      </x:c>
      <x:c r="G351" s="12" t="str">
        <x:v>EXVV21G035</x:v>
      </x:c>
      <x:c r="H351" s="12" t="str">
        <x:v>Excavator</x:v>
      </x:c>
      <x:c r="I351" s="12" t="str">
        <x:v>EXCAVATOR VOLVO EC210D</x:v>
      </x:c>
      <x:c r="J351" s="16" t="n">
        <x:v>145</x:v>
      </x:c>
      <x:c r="K351" s="16" t="n">
        <x:v>8334</x:v>
      </x:c>
      <x:c r="L351" s="16" t="n">
        <x:v>8338.4</x:v>
      </x:c>
      <x:c r="M351" s="16" t="n">
        <x:v>4.399999999999636</x:v>
      </x:c>
      <x:c r="N351" s="16" t="n">
        <x:v>32.95454545454818</x:v>
      </x:c>
      <x:c r="O351" s="12" t="str">
        <x:v>FTRL44G004</x:v>
      </x:c>
      <x:c r="P351" s="12" t="str">
        <x:v>EXVV21G035</x:v>
      </x:c>
      <x:c r="Q351" s="12" t="str"/>
      <x:c r="R351" s="12" t="str"/>
      <x:c r="S351" s="12" t="str"/>
      <x:c r="T351" s="12" t="str">
        <x:v>ABM</x:v>
      </x:c>
      <x:c r="U351" s="12" t="str"/>
      <x:c r="V351" s="12" t="str"/>
      <x:c r="W351" s="12" t="str"/>
      <x:c r="X351" s="12" t="str">
        <x:v>EXVV21</x:v>
      </x:c>
      <x:c r="Y351" s="12" t="str">
        <x:v>BADRI &amp; KAMRAN</x:v>
      </x:c>
      <x:c r="Z351" s="12" t="str"/>
      <x:c r="AA351" s="32" t="n">
        <x:f>IFERROR(VLOOKUP(G351,Master_Unit!$A$2:$N$78,7,FALSE),"")</x:f>
        <x:v>20</x:v>
      </x:c>
      <x:c r="AB351" s="32" t="n">
        <x:f>IF(OR(N351="",AA351=""),"",N351-AA351)</x:f>
        <x:v>12.954545454548182</x:v>
      </x:c>
      <x:c r="AC351" s="20" t="n">
        <x:f>IF(OR(N351="",AA351="",AA351=0),"",AB351/AA351)</x:f>
        <x:v>0.647727272727409</x:v>
      </x:c>
      <x:c r="AD351" t="str">
        <x:f>IF(AA351="","NO STANDARD",IF(AC351&lt;=Config_Status!$B$2,"EFFICIENT",IF(AC351&lt;=Config_Status!$B$3,"NORMAL",IF(AC351&lt;=Config_Status!$B$4,"WARNING","OVER CONSUMPTION"))))</x:f>
        <x:v>OVER CONSUMPTION</x:v>
      </x:c>
      <x:c r="AE351" t="str">
        <x:f>IFERROR(VLOOKUP(G351,Master_Unit!$A$2:$N$78,13,FALSE),"UNIT NOT FOUND")</x:f>
        <x:v>Matched</x:v>
      </x:c>
    </x:row>
    <x:row r="352">
      <x:c r="A352" s="12" t="str">
        <x:v>FU-20260605-00351</x:v>
      </x:c>
      <x:c r="B352" s="12" t="n">
        <x:v>481</x:v>
      </x:c>
      <x:c r="C352" s="14" t="n">
        <x:v>46178</x:v>
      </x:c>
      <x:c r="D352" s="12" t="str">
        <x:v>Jum'at</x:v>
      </x:c>
      <x:c r="E352" s="12" t="str">
        <x:v>18:45:00</x:v>
      </x:c>
      <x:c r="F352" s="12" t="str">
        <x:v>All Shift Night</x:v>
      </x:c>
      <x:c r="G352" s="12" t="str">
        <x:v>EXVV21G042</x:v>
      </x:c>
      <x:c r="H352" s="12" t="str">
        <x:v>Excavator</x:v>
      </x:c>
      <x:c r="I352" s="12" t="str">
        <x:v>EXCAVATOR VOLVO EC210D</x:v>
      </x:c>
      <x:c r="J352" s="16" t="n">
        <x:v>141</x:v>
      </x:c>
      <x:c r="K352" s="16" t="n">
        <x:v>7658.3</x:v>
      </x:c>
      <x:c r="L352" s="16" t="n">
        <x:v>7662.9</x:v>
      </x:c>
      <x:c r="M352" s="16" t="n">
        <x:v>4.599999999999454</x:v>
      </x:c>
      <x:c r="N352" s="16" t="n">
        <x:v>30.652173913047115</x:v>
      </x:c>
      <x:c r="O352" s="12" t="str">
        <x:v>FTRL44G004</x:v>
      </x:c>
      <x:c r="P352" s="12" t="str">
        <x:v>EXVV21G042</x:v>
      </x:c>
      <x:c r="Q352" s="12" t="str"/>
      <x:c r="R352" s="12" t="str"/>
      <x:c r="S352" s="12" t="str"/>
      <x:c r="T352" s="12" t="str">
        <x:v>ABM</x:v>
      </x:c>
      <x:c r="U352" s="12" t="str"/>
      <x:c r="V352" s="12" t="str"/>
      <x:c r="W352" s="12" t="str"/>
      <x:c r="X352" s="12" t="str">
        <x:v>EXVV21</x:v>
      </x:c>
      <x:c r="Y352" s="12" t="str">
        <x:v>BADRI &amp; KAMRAN</x:v>
      </x:c>
      <x:c r="Z352" s="12" t="str"/>
      <x:c r="AA352" s="32" t="n">
        <x:f>IFERROR(VLOOKUP(G352,Master_Unit!$A$2:$N$78,7,FALSE),"")</x:f>
        <x:v>20</x:v>
      </x:c>
      <x:c r="AB352" s="32" t="n">
        <x:f>IF(OR(N352="",AA352=""),"",N352-AA352)</x:f>
        <x:v>10.652173913047115</x:v>
      </x:c>
      <x:c r="AC352" s="20" t="n">
        <x:f>IF(OR(N352="",AA352="",AA352=0),"",AB352/AA352)</x:f>
        <x:v>0.5326086956523557</x:v>
      </x:c>
      <x:c r="AD352" t="str">
        <x:f>IF(AA352="","NO STANDARD",IF(AC352&lt;=Config_Status!$B$2,"EFFICIENT",IF(AC352&lt;=Config_Status!$B$3,"NORMAL",IF(AC352&lt;=Config_Status!$B$4,"WARNING","OVER CONSUMPTION"))))</x:f>
        <x:v>OVER CONSUMPTION</x:v>
      </x:c>
      <x:c r="AE352" t="str">
        <x:f>IFERROR(VLOOKUP(G352,Master_Unit!$A$2:$N$78,13,FALSE),"UNIT NOT FOUND")</x:f>
        <x:v>Matched</x:v>
      </x:c>
    </x:row>
    <x:row r="353">
      <x:c r="A353" s="12" t="str">
        <x:v>FU-20260605-00352</x:v>
      </x:c>
      <x:c r="B353" s="12" t="n">
        <x:v>482</x:v>
      </x:c>
      <x:c r="C353" s="14" t="n">
        <x:v>46178</x:v>
      </x:c>
      <x:c r="D353" s="12" t="str">
        <x:v>Jum'at</x:v>
      </x:c>
      <x:c r="E353" s="12" t="str">
        <x:v>18:55:00</x:v>
      </x:c>
      <x:c r="F353" s="12" t="str">
        <x:v>All Shift Night</x:v>
      </x:c>
      <x:c r="G353" s="12" t="str">
        <x:v>EXVV35G005</x:v>
      </x:c>
      <x:c r="H353" s="12" t="str">
        <x:v>Excavator</x:v>
      </x:c>
      <x:c r="I353" s="12" t="str">
        <x:v>EXCAVATOR VOLVO EC350D</x:v>
      </x:c>
      <x:c r="J353" s="16" t="n">
        <x:v>201</x:v>
      </x:c>
      <x:c r="K353" s="16" t="n">
        <x:v>5135.1</x:v>
      </x:c>
      <x:c r="L353" s="16" t="n">
        <x:v>5139.8</x:v>
      </x:c>
      <x:c r="M353" s="16" t="n">
        <x:v>4.699999999999818</x:v>
      </x:c>
      <x:c r="N353" s="16" t="n">
        <x:v>42.76595744681016</x:v>
      </x:c>
      <x:c r="O353" s="12" t="str">
        <x:v>FTRL44G004</x:v>
      </x:c>
      <x:c r="P353" s="12" t="str">
        <x:v>EXVV35G005</x:v>
      </x:c>
      <x:c r="Q353" s="12" t="str"/>
      <x:c r="R353" s="12" t="str"/>
      <x:c r="S353" s="12" t="str"/>
      <x:c r="T353" s="12" t="str">
        <x:v>ABM</x:v>
      </x:c>
      <x:c r="U353" s="12" t="str"/>
      <x:c r="V353" s="12" t="str"/>
      <x:c r="W353" s="12" t="str"/>
      <x:c r="X353" s="12" t="str">
        <x:v>EXVV35</x:v>
      </x:c>
      <x:c r="Y353" s="12" t="str">
        <x:v>BADRI &amp; KAMRAN</x:v>
      </x:c>
      <x:c r="Z353" s="12" t="str"/>
      <x:c r="AA353" s="32" t="n">
        <x:f>IFERROR(VLOOKUP(G353,Master_Unit!$A$2:$N$78,7,FALSE),"")</x:f>
        <x:v>25</x:v>
      </x:c>
      <x:c r="AB353" s="32" t="n">
        <x:f>IF(OR(N353="",AA353=""),"",N353-AA353)</x:f>
        <x:v>17.765957446810162</x:v>
      </x:c>
      <x:c r="AC353" s="20" t="n">
        <x:f>IF(OR(N353="",AA353="",AA353=0),"",AB353/AA353)</x:f>
        <x:v>0.7106382978724065</x:v>
      </x:c>
      <x:c r="AD353" t="str">
        <x:f>IF(AA353="","NO STANDARD",IF(AC353&lt;=Config_Status!$B$2,"EFFICIENT",IF(AC353&lt;=Config_Status!$B$3,"NORMAL",IF(AC353&lt;=Config_Status!$B$4,"WARNING","OVER CONSUMPTION"))))</x:f>
        <x:v>OVER CONSUMPTION</x:v>
      </x:c>
      <x:c r="AE353" t="str">
        <x:f>IFERROR(VLOOKUP(G353,Master_Unit!$A$2:$N$78,13,FALSE),"UNIT NOT FOUND")</x:f>
        <x:v>Matched</x:v>
      </x:c>
    </x:row>
    <x:row r="354">
      <x:c r="A354" s="12" t="str">
        <x:v>FU-20260605-00353</x:v>
      </x:c>
      <x:c r="B354" s="12" t="n">
        <x:v>483</x:v>
      </x:c>
      <x:c r="C354" s="14" t="n">
        <x:v>46178</x:v>
      </x:c>
      <x:c r="D354" s="12" t="str">
        <x:v>Jum'at</x:v>
      </x:c>
      <x:c r="E354" s="12" t="str">
        <x:v>19:11:00</x:v>
      </x:c>
      <x:c r="F354" s="12" t="str">
        <x:v>All Shift Night</x:v>
      </x:c>
      <x:c r="G354" s="12" t="str">
        <x:v>STRL44G139</x:v>
      </x:c>
      <x:c r="H354" s="12" t="str">
        <x:v>Dump Truck</x:v>
      </x:c>
      <x:c r="I354" s="12" t="str">
        <x:v>DUMP TRUCK RENAULT KRANGE440-P6X4 A/T</x:v>
      </x:c>
      <x:c r="J354" s="16" t="n">
        <x:v>154</x:v>
      </x:c>
      <x:c r="K354" s="16" t="n">
        <x:v>4918</x:v>
      </x:c>
      <x:c r="L354" s="16" t="n">
        <x:v>4925</x:v>
      </x:c>
      <x:c r="M354" s="16" t="n">
        <x:v>7</x:v>
      </x:c>
      <x:c r="N354" s="16" t="n">
        <x:v>22</x:v>
      </x:c>
      <x:c r="O354" s="12" t="str">
        <x:v>FTRL44G004</x:v>
      </x:c>
      <x:c r="P354" s="12" t="str">
        <x:v>STRL44G139</x:v>
      </x:c>
      <x:c r="Q354" s="12" t="str"/>
      <x:c r="R354" s="12" t="str"/>
      <x:c r="S354" s="12" t="str"/>
      <x:c r="T354" s="12" t="str">
        <x:v>ABM</x:v>
      </x:c>
      <x:c r="U354" s="12" t="str"/>
      <x:c r="V354" s="12" t="str"/>
      <x:c r="W354" s="12" t="str"/>
      <x:c r="X354" s="12" t="str">
        <x:v>STRL44</x:v>
      </x:c>
      <x:c r="Y354" s="12" t="str">
        <x:v>BADRI &amp; KAMRAN</x:v>
      </x:c>
      <x:c r="Z354" s="12" t="str"/>
      <x:c r="AA354" s="32" t="n">
        <x:f>IFERROR(VLOOKUP(G354,Master_Unit!$A$2:$N$78,7,FALSE),"")</x:f>
        <x:v>20</x:v>
      </x:c>
      <x:c r="AB354" s="32" t="n">
        <x:f>IF(OR(N354="",AA354=""),"",N354-AA354)</x:f>
        <x:v>2</x:v>
      </x:c>
      <x:c r="AC354" s="20" t="n">
        <x:f>IF(OR(N354="",AA354="",AA354=0),"",AB354/AA354)</x:f>
        <x:v>0.1</x:v>
      </x:c>
      <x:c r="AD354" t="str">
        <x:f>IF(AA354="","NO STANDARD",IF(AC354&lt;=Config_Status!$B$2,"EFFICIENT",IF(AC354&lt;=Config_Status!$B$3,"NORMAL",IF(AC354&lt;=Config_Status!$B$4,"WARNING","OVER CONSUMPTION"))))</x:f>
        <x:v>NORMAL</x:v>
      </x:c>
      <x:c r="AE354" t="str">
        <x:f>IFERROR(VLOOKUP(G354,Master_Unit!$A$2:$N$78,13,FALSE),"UNIT NOT FOUND")</x:f>
        <x:v>Matched</x:v>
      </x:c>
    </x:row>
    <x:row r="355">
      <x:c r="A355" s="12" t="str">
        <x:v>FU-20260605-00354</x:v>
      </x:c>
      <x:c r="B355" s="12" t="n">
        <x:v>484</x:v>
      </x:c>
      <x:c r="C355" s="14" t="n">
        <x:v>46178</x:v>
      </x:c>
      <x:c r="D355" s="12" t="str">
        <x:v>Jum'at</x:v>
      </x:c>
      <x:c r="E355" s="12" t="str">
        <x:v>19:16:00</x:v>
      </x:c>
      <x:c r="F355" s="12" t="str">
        <x:v>All Shift Night</x:v>
      </x:c>
      <x:c r="G355" s="12" t="str">
        <x:v>STRL44G137</x:v>
      </x:c>
      <x:c r="H355" s="12" t="str">
        <x:v>Dump Truck</x:v>
      </x:c>
      <x:c r="I355" s="12" t="str">
        <x:v>DUMP TRUCK RENAULT KRANGE440-P6X4 A/T</x:v>
      </x:c>
      <x:c r="J355" s="16" t="n">
        <x:v>114</x:v>
      </x:c>
      <x:c r="K355" s="16" t="n">
        <x:v>6370</x:v>
      </x:c>
      <x:c r="L355" s="16" t="n">
        <x:v>6386</x:v>
      </x:c>
      <x:c r="M355" s="16" t="n">
        <x:v>16</x:v>
      </x:c>
      <x:c r="N355" s="16" t="n">
        <x:v>7.125</x:v>
      </x:c>
      <x:c r="O355" s="12" t="str">
        <x:v>FTRL44G004</x:v>
      </x:c>
      <x:c r="P355" s="12" t="str">
        <x:v>STRL44G137</x:v>
      </x:c>
      <x:c r="Q355" s="12" t="str"/>
      <x:c r="R355" s="12" t="str"/>
      <x:c r="S355" s="12" t="str"/>
      <x:c r="T355" s="12" t="str">
        <x:v>ABM</x:v>
      </x:c>
      <x:c r="U355" s="12" t="str"/>
      <x:c r="V355" s="12" t="str"/>
      <x:c r="W355" s="12" t="str"/>
      <x:c r="X355" s="12" t="str">
        <x:v>STRL44</x:v>
      </x:c>
      <x:c r="Y355" s="12" t="str">
        <x:v>BADRI &amp; KAMRAN</x:v>
      </x:c>
      <x:c r="Z355" s="12" t="str"/>
      <x:c r="AA355" s="32" t="n">
        <x:f>IFERROR(VLOOKUP(G355,Master_Unit!$A$2:$N$78,7,FALSE),"")</x:f>
        <x:v>20</x:v>
      </x:c>
      <x:c r="AB355" s="32" t="n">
        <x:f>IF(OR(N355="",AA355=""),"",N355-AA355)</x:f>
        <x:v>-12.875</x:v>
      </x:c>
      <x:c r="AC355" s="20" t="n">
        <x:f>IF(OR(N355="",AA355="",AA355=0),"",AB355/AA355)</x:f>
        <x:v>-0.64375</x:v>
      </x:c>
      <x:c r="AD355" t="str">
        <x:f>IF(AA355="","NO STANDARD",IF(AC355&lt;=Config_Status!$B$2,"EFFICIENT",IF(AC355&lt;=Config_Status!$B$3,"NORMAL",IF(AC355&lt;=Config_Status!$B$4,"WARNING","OVER CONSUMPTION"))))</x:f>
        <x:v>EFFICIENT</x:v>
      </x:c>
      <x:c r="AE355" t="str">
        <x:f>IFERROR(VLOOKUP(G355,Master_Unit!$A$2:$N$78,13,FALSE),"UNIT NOT FOUND")</x:f>
        <x:v>Matched</x:v>
      </x:c>
    </x:row>
    <x:row r="356">
      <x:c r="A356" s="12" t="str">
        <x:v>FU-20260605-00355</x:v>
      </x:c>
      <x:c r="B356" s="12" t="n">
        <x:v>485</x:v>
      </x:c>
      <x:c r="C356" s="14" t="n">
        <x:v>46178</x:v>
      </x:c>
      <x:c r="D356" s="12" t="str">
        <x:v>Jum'at</x:v>
      </x:c>
      <x:c r="E356" s="12" t="str">
        <x:v>19:19:00</x:v>
      </x:c>
      <x:c r="F356" s="12" t="str">
        <x:v>All Shift Night</x:v>
      </x:c>
      <x:c r="G356" s="12" t="str">
        <x:v>STRL44G147</x:v>
      </x:c>
      <x:c r="H356" s="12" t="str">
        <x:v>Dump Truck</x:v>
      </x:c>
      <x:c r="I356" s="12" t="str">
        <x:v>DUMP TRUCK RENAULT KRANGE440-P6X4 A/T</x:v>
      </x:c>
      <x:c r="J356" s="16" t="n">
        <x:v>194</x:v>
      </x:c>
      <x:c r="K356" s="16" t="n">
        <x:v>4962</x:v>
      </x:c>
      <x:c r="L356" s="16" t="n">
        <x:v>4971</x:v>
      </x:c>
      <x:c r="M356" s="16" t="n">
        <x:v>9</x:v>
      </x:c>
      <x:c r="N356" s="16" t="n">
        <x:v>21.555555555555557</x:v>
      </x:c>
      <x:c r="O356" s="12" t="str">
        <x:v>FTRL44G004</x:v>
      </x:c>
      <x:c r="P356" s="12" t="str">
        <x:v>STRL44G147</x:v>
      </x:c>
      <x:c r="Q356" s="12" t="str"/>
      <x:c r="R356" s="12" t="str"/>
      <x:c r="S356" s="12" t="str"/>
      <x:c r="T356" s="12" t="str">
        <x:v>ABM</x:v>
      </x:c>
      <x:c r="U356" s="12" t="str"/>
      <x:c r="V356" s="12" t="str"/>
      <x:c r="W356" s="12" t="str"/>
      <x:c r="X356" s="12" t="str">
        <x:v>STRL44</x:v>
      </x:c>
      <x:c r="Y356" s="12" t="str">
        <x:v>BADRI &amp; KAMRAN</x:v>
      </x:c>
      <x:c r="Z356" s="12" t="str"/>
      <x:c r="AA356" s="32" t="n">
        <x:f>IFERROR(VLOOKUP(G356,Master_Unit!$A$2:$N$78,7,FALSE),"")</x:f>
        <x:v>20</x:v>
      </x:c>
      <x:c r="AB356" s="32" t="n">
        <x:f>IF(OR(N356="",AA356=""),"",N356-AA356)</x:f>
        <x:v>1.5555555555555571</x:v>
      </x:c>
      <x:c r="AC356" s="20" t="n">
        <x:f>IF(OR(N356="",AA356="",AA356=0),"",AB356/AA356)</x:f>
        <x:v>0.07777777777777786</x:v>
      </x:c>
      <x:c r="AD356" t="str">
        <x:f>IF(AA356="","NO STANDARD",IF(AC356&lt;=Config_Status!$B$2,"EFFICIENT",IF(AC356&lt;=Config_Status!$B$3,"NORMAL",IF(AC356&lt;=Config_Status!$B$4,"WARNING","OVER CONSUMPTION"))))</x:f>
        <x:v>NORMAL</x:v>
      </x:c>
      <x:c r="AE356" t="str">
        <x:f>IFERROR(VLOOKUP(G356,Master_Unit!$A$2:$N$78,13,FALSE),"UNIT NOT FOUND")</x:f>
        <x:v>Matched</x:v>
      </x:c>
    </x:row>
    <x:row r="357">
      <x:c r="A357" s="12" t="str">
        <x:v>FU-20260605-00356</x:v>
      </x:c>
      <x:c r="B357" s="12" t="n">
        <x:v>486</x:v>
      </x:c>
      <x:c r="C357" s="14" t="n">
        <x:v>46178</x:v>
      </x:c>
      <x:c r="D357" s="12" t="str">
        <x:v>Jum'at</x:v>
      </x:c>
      <x:c r="E357" s="12" t="str">
        <x:v>19:23:00</x:v>
      </x:c>
      <x:c r="F357" s="12" t="str">
        <x:v>All Shift Night</x:v>
      </x:c>
      <x:c r="G357" s="12" t="str">
        <x:v>STRL44G136</x:v>
      </x:c>
      <x:c r="H357" s="12" t="str">
        <x:v>Dump Truck</x:v>
      </x:c>
      <x:c r="I357" s="12" t="str">
        <x:v>DUMP TRUCK RENAULT KRANGE440-P6X4 A/T</x:v>
      </x:c>
      <x:c r="J357" s="16" t="n">
        <x:v>98</x:v>
      </x:c>
      <x:c r="K357" s="16" t="n">
        <x:v>5799</x:v>
      </x:c>
      <x:c r="L357" s="16" t="n">
        <x:v>5805</x:v>
      </x:c>
      <x:c r="M357" s="16" t="n">
        <x:v>6</x:v>
      </x:c>
      <x:c r="N357" s="16" t="n">
        <x:v>16.333333333333332</x:v>
      </x:c>
      <x:c r="O357" s="12" t="str">
        <x:v>FTRL44G004</x:v>
      </x:c>
      <x:c r="P357" s="12" t="str">
        <x:v>STRL44G136</x:v>
      </x:c>
      <x:c r="Q357" s="12" t="str"/>
      <x:c r="R357" s="12" t="str"/>
      <x:c r="S357" s="12" t="str"/>
      <x:c r="T357" s="12" t="str">
        <x:v>ABM</x:v>
      </x:c>
      <x:c r="U357" s="12" t="str"/>
      <x:c r="V357" s="12" t="str"/>
      <x:c r="W357" s="12" t="str"/>
      <x:c r="X357" s="12" t="str">
        <x:v>STRL44</x:v>
      </x:c>
      <x:c r="Y357" s="12" t="str">
        <x:v>BADRI &amp; KAMRAN</x:v>
      </x:c>
      <x:c r="Z357" s="12" t="str"/>
      <x:c r="AA357" s="32" t="n">
        <x:f>IFERROR(VLOOKUP(G357,Master_Unit!$A$2:$N$78,7,FALSE),"")</x:f>
        <x:v>20</x:v>
      </x:c>
      <x:c r="AB357" s="32" t="n">
        <x:f>IF(OR(N357="",AA357=""),"",N357-AA357)</x:f>
        <x:v>-3.666666666666668</x:v>
      </x:c>
      <x:c r="AC357" s="20" t="n">
        <x:f>IF(OR(N357="",AA357="",AA357=0),"",AB357/AA357)</x:f>
        <x:v>-0.1833333333333334</x:v>
      </x:c>
      <x:c r="AD357" t="str">
        <x:f>IF(AA357="","NO STANDARD",IF(AC357&lt;=Config_Status!$B$2,"EFFICIENT",IF(AC357&lt;=Config_Status!$B$3,"NORMAL",IF(AC357&lt;=Config_Status!$B$4,"WARNING","OVER CONSUMPTION"))))</x:f>
        <x:v>EFFICIENT</x:v>
      </x:c>
      <x:c r="AE357" t="str">
        <x:f>IFERROR(VLOOKUP(G357,Master_Unit!$A$2:$N$78,13,FALSE),"UNIT NOT FOUND")</x:f>
        <x:v>Matched</x:v>
      </x:c>
    </x:row>
    <x:row r="358">
      <x:c r="A358" s="12" t="str">
        <x:v>FU-20260605-00357</x:v>
      </x:c>
      <x:c r="B358" s="12" t="n">
        <x:v>487</x:v>
      </x:c>
      <x:c r="C358" s="14" t="n">
        <x:v>46178</x:v>
      </x:c>
      <x:c r="D358" s="12" t="str">
        <x:v>Jum'at</x:v>
      </x:c>
      <x:c r="E358" s="12" t="str">
        <x:v>19:32:00</x:v>
      </x:c>
      <x:c r="F358" s="12" t="str">
        <x:v>All Shift Night</x:v>
      </x:c>
      <x:c r="G358" s="12" t="str">
        <x:v>STRL44G135</x:v>
      </x:c>
      <x:c r="H358" s="12" t="str">
        <x:v>Dump Truck</x:v>
      </x:c>
      <x:c r="I358" s="12" t="str">
        <x:v>DUMP TRUCK RENAULT KRANGE440-P6X4 A/T</x:v>
      </x:c>
      <x:c r="J358" s="16" t="n">
        <x:v>110</x:v>
      </x:c>
      <x:c r="K358" s="16" t="n">
        <x:v>5781</x:v>
      </x:c>
      <x:c r="L358" s="16" t="n">
        <x:v>5790</x:v>
      </x:c>
      <x:c r="M358" s="16" t="n">
        <x:v>9</x:v>
      </x:c>
      <x:c r="N358" s="16" t="n">
        <x:v>12.222222222222221</x:v>
      </x:c>
      <x:c r="O358" s="12" t="str">
        <x:v>FTRL44G004</x:v>
      </x:c>
      <x:c r="P358" s="12" t="str">
        <x:v>STRL44G135</x:v>
      </x:c>
      <x:c r="Q358" s="12" t="str"/>
      <x:c r="R358" s="12" t="str"/>
      <x:c r="S358" s="12" t="str"/>
      <x:c r="T358" s="12" t="str">
        <x:v>ABM</x:v>
      </x:c>
      <x:c r="U358" s="12" t="str"/>
      <x:c r="V358" s="12" t="str"/>
      <x:c r="W358" s="12" t="str"/>
      <x:c r="X358" s="12" t="str">
        <x:v>STRL44</x:v>
      </x:c>
      <x:c r="Y358" s="12" t="str">
        <x:v>BADRI &amp; KAMRAN</x:v>
      </x:c>
      <x:c r="Z358" s="12" t="str"/>
      <x:c r="AA358" s="32" t="n">
        <x:f>IFERROR(VLOOKUP(G358,Master_Unit!$A$2:$N$78,7,FALSE),"")</x:f>
        <x:v>20</x:v>
      </x:c>
      <x:c r="AB358" s="32" t="n">
        <x:f>IF(OR(N358="",AA358=""),"",N358-AA358)</x:f>
        <x:v>-7.777777777777779</x:v>
      </x:c>
      <x:c r="AC358" s="20" t="n">
        <x:f>IF(OR(N358="",AA358="",AA358=0),"",AB358/AA358)</x:f>
        <x:v>-0.38888888888888895</x:v>
      </x:c>
      <x:c r="AD358" t="str">
        <x:f>IF(AA358="","NO STANDARD",IF(AC358&lt;=Config_Status!$B$2,"EFFICIENT",IF(AC358&lt;=Config_Status!$B$3,"NORMAL",IF(AC358&lt;=Config_Status!$B$4,"WARNING","OVER CONSUMPTION"))))</x:f>
        <x:v>EFFICIENT</x:v>
      </x:c>
      <x:c r="AE358" t="str">
        <x:f>IFERROR(VLOOKUP(G358,Master_Unit!$A$2:$N$78,13,FALSE),"UNIT NOT FOUND")</x:f>
        <x:v>Matched</x:v>
      </x:c>
    </x:row>
    <x:row r="359">
      <x:c r="A359" s="12" t="str">
        <x:v>FU-20260605-00358</x:v>
      </x:c>
      <x:c r="B359" s="12" t="n">
        <x:v>488</x:v>
      </x:c>
      <x:c r="C359" s="14" t="n">
        <x:v>46178</x:v>
      </x:c>
      <x:c r="D359" s="12" t="str">
        <x:v>Jum'at</x:v>
      </x:c>
      <x:c r="E359" s="12" t="str">
        <x:v>23:56:00</x:v>
      </x:c>
      <x:c r="F359" s="12" t="str">
        <x:v>All Shift Night</x:v>
      </x:c>
      <x:c r="G359" s="12" t="str">
        <x:v>EXVV21G032</x:v>
      </x:c>
      <x:c r="H359" s="12" t="str">
        <x:v>Excavator</x:v>
      </x:c>
      <x:c r="I359" s="12" t="str">
        <x:v>EXCAVATOR VOLVO EC210D</x:v>
      </x:c>
      <x:c r="J359" s="16" t="n">
        <x:v>145</x:v>
      </x:c>
      <x:c r="K359" s="16" t="n">
        <x:v>7442.3</x:v>
      </x:c>
      <x:c r="L359" s="16" t="n">
        <x:v>7451.9</x:v>
      </x:c>
      <x:c r="M359" s="16" t="n">
        <x:v>9.599999999999454</x:v>
      </x:c>
      <x:c r="N359" s="16" t="n">
        <x:v>15.104166666667526</x:v>
      </x:c>
      <x:c r="O359" s="12" t="str">
        <x:v>FTRL44G004</x:v>
      </x:c>
      <x:c r="P359" s="12" t="str">
        <x:v>EXVV21G032</x:v>
      </x:c>
      <x:c r="Q359" s="12" t="str"/>
      <x:c r="R359" s="12" t="str"/>
      <x:c r="S359" s="12" t="str"/>
      <x:c r="T359" s="12" t="str">
        <x:v>ABM</x:v>
      </x:c>
      <x:c r="U359" s="12" t="str"/>
      <x:c r="V359" s="12" t="str"/>
      <x:c r="W359" s="12" t="str"/>
      <x:c r="X359" s="12" t="str">
        <x:v>EXVV21</x:v>
      </x:c>
      <x:c r="Y359" s="12" t="str">
        <x:v>BADRI &amp; KAMRAN</x:v>
      </x:c>
      <x:c r="Z359" s="12" t="str"/>
      <x:c r="AA359" s="32" t="n">
        <x:f>IFERROR(VLOOKUP(G359,Master_Unit!$A$2:$N$78,7,FALSE),"")</x:f>
        <x:v>20</x:v>
      </x:c>
      <x:c r="AB359" s="32" t="n">
        <x:f>IF(OR(N359="",AA359=""),"",N359-AA359)</x:f>
        <x:v>-4.895833333332474</x:v>
      </x:c>
      <x:c r="AC359" s="20" t="n">
        <x:f>IF(OR(N359="",AA359="",AA359=0),"",AB359/AA359)</x:f>
        <x:v>-0.24479166666662372</x:v>
      </x:c>
      <x:c r="AD359" t="str">
        <x:f>IF(AA359="","NO STANDARD",IF(AC359&lt;=Config_Status!$B$2,"EFFICIENT",IF(AC359&lt;=Config_Status!$B$3,"NORMAL",IF(AC359&lt;=Config_Status!$B$4,"WARNING","OVER CONSUMPTION"))))</x:f>
        <x:v>EFFICIENT</x:v>
      </x:c>
      <x:c r="AE359" t="str">
        <x:f>IFERROR(VLOOKUP(G359,Master_Unit!$A$2:$N$78,13,FALSE),"UNIT NOT FOUND")</x:f>
        <x:v>Matched</x:v>
      </x:c>
    </x:row>
    <x:row r="360">
      <x:c r="A360" s="12" t="str">
        <x:v>FU-20260605-00359</x:v>
      </x:c>
      <x:c r="B360" s="12" t="n">
        <x:v>489</x:v>
      </x:c>
      <x:c r="C360" s="14" t="n">
        <x:v>46178</x:v>
      </x:c>
      <x:c r="D360" s="12" t="str">
        <x:v>Jum'at</x:v>
      </x:c>
      <x:c r="E360" s="12" t="str">
        <x:v>00:02:00</x:v>
      </x:c>
      <x:c r="F360" s="12" t="str">
        <x:v>All Shift Night</x:v>
      </x:c>
      <x:c r="G360" s="12" t="str">
        <x:v>EXVV21G037</x:v>
      </x:c>
      <x:c r="H360" s="12" t="str">
        <x:v>Excavator</x:v>
      </x:c>
      <x:c r="I360" s="12" t="str">
        <x:v>EXCAVATOR VOLVO EC210D</x:v>
      </x:c>
      <x:c r="J360" s="16" t="n">
        <x:v>130</x:v>
      </x:c>
      <x:c r="K360" s="16" t="n">
        <x:v>6801.6</x:v>
      </x:c>
      <x:c r="L360" s="16" t="n">
        <x:v>6806.7</x:v>
      </x:c>
      <x:c r="M360" s="16" t="n">
        <x:v>5.099999999999454</x:v>
      </x:c>
      <x:c r="N360" s="16" t="n">
        <x:v>25.4901960784341</x:v>
      </x:c>
      <x:c r="O360" s="12" t="str">
        <x:v>FTRL44G004</x:v>
      </x:c>
      <x:c r="P360" s="12" t="str">
        <x:v>EXVV21G037</x:v>
      </x:c>
      <x:c r="Q360" s="12" t="str"/>
      <x:c r="R360" s="12" t="str"/>
      <x:c r="S360" s="12" t="str"/>
      <x:c r="T360" s="12" t="str">
        <x:v>ABM</x:v>
      </x:c>
      <x:c r="U360" s="12" t="str"/>
      <x:c r="V360" s="12" t="str"/>
      <x:c r="W360" s="12" t="str"/>
      <x:c r="X360" s="12" t="str">
        <x:v>EXVV21</x:v>
      </x:c>
      <x:c r="Y360" s="12" t="str">
        <x:v>BADRI &amp; KAMRAN</x:v>
      </x:c>
      <x:c r="Z360" s="12" t="str"/>
      <x:c r="AA360" s="32" t="n">
        <x:f>IFERROR(VLOOKUP(G360,Master_Unit!$A$2:$N$78,7,FALSE),"")</x:f>
        <x:v>20</x:v>
      </x:c>
      <x:c r="AB360" s="32" t="n">
        <x:f>IF(OR(N360="",AA360=""),"",N360-AA360)</x:f>
        <x:v>5.490196078434099</x:v>
      </x:c>
      <x:c r="AC360" s="20" t="n">
        <x:f>IF(OR(N360="",AA360="",AA360=0),"",AB360/AA360)</x:f>
        <x:v>0.274509803921705</x:v>
      </x:c>
      <x:c r="AD360" t="str">
        <x:f>IF(AA360="","NO STANDARD",IF(AC360&lt;=Config_Status!$B$2,"EFFICIENT",IF(AC360&lt;=Config_Status!$B$3,"NORMAL",IF(AC360&lt;=Config_Status!$B$4,"WARNING","OVER CONSUMPTION"))))</x:f>
        <x:v>OVER CONSUMPTION</x:v>
      </x:c>
      <x:c r="AE360" t="str">
        <x:f>IFERROR(VLOOKUP(G360,Master_Unit!$A$2:$N$78,13,FALSE),"UNIT NOT FOUND")</x:f>
        <x:v>Matched</x:v>
      </x:c>
    </x:row>
    <x:row r="361">
      <x:c r="A361" s="12" t="str">
        <x:v>FU-20260606-00360</x:v>
      </x:c>
      <x:c r="B361" s="12" t="n">
        <x:v>490</x:v>
      </x:c>
      <x:c r="C361" s="14" t="n">
        <x:v>46179</x:v>
      </x:c>
      <x:c r="D361" s="12" t="str">
        <x:v>Sabtu</x:v>
      </x:c>
      <x:c r="E361" s="12" t="str">
        <x:v>07:18:00</x:v>
      </x:c>
      <x:c r="F361" s="12" t="str">
        <x:v>All Shift Day</x:v>
      </x:c>
      <x:c r="G361" s="12" t="str">
        <x:v>GSHT40G002</x:v>
      </x:c>
      <x:c r="H361" s="12" t="str">
        <x:v>Genset</x:v>
      </x:c>
      <x:c r="I361" s="12" t="str">
        <x:v>GENSET HARTECH HT-400-V</x:v>
      </x:c>
      <x:c r="J361" s="16" t="n">
        <x:v>402</x:v>
      </x:c>
      <x:c r="K361" s="16" t="n">
        <x:v>14580.1</x:v>
      </x:c>
      <x:c r="L361" s="16" t="n">
        <x:v>14604.3</x:v>
      </x:c>
      <x:c r="M361" s="16" t="n">
        <x:v>24.19999999999891</x:v>
      </x:c>
      <x:c r="N361" s="16" t="n">
        <x:v>16.611570247934633</x:v>
      </x:c>
      <x:c r="O361" s="12" t="str">
        <x:v>FTRL44G005</x:v>
      </x:c>
      <x:c r="P361" s="12" t="str">
        <x:v>GSHT40G002</x:v>
      </x:c>
      <x:c r="Q361" s="12" t="str"/>
      <x:c r="R361" s="12" t="str"/>
      <x:c r="S361" s="12" t="str"/>
      <x:c r="T361" s="12" t="str">
        <x:v>ABM</x:v>
      </x:c>
      <x:c r="U361" s="12" t="str"/>
      <x:c r="V361" s="12" t="str"/>
      <x:c r="W361" s="12" t="str"/>
      <x:c r="X361" s="12" t="str">
        <x:v>GSHT40</x:v>
      </x:c>
      <x:c r="Y361" s="12" t="str">
        <x:v>FANGKI &amp; ACUNG</x:v>
      </x:c>
      <x:c r="Z361" s="12" t="str"/>
      <x:c r="AA361" s="32" t="n">
        <x:f>IFERROR(VLOOKUP(G361,Master_Unit!$A$2:$N$78,7,FALSE),"")</x:f>
        <x:v>25</x:v>
      </x:c>
      <x:c r="AB361" s="32" t="n">
        <x:f>IF(OR(N361="",AA361=""),"",N361-AA361)</x:f>
        <x:v>-8.388429752065367</x:v>
      </x:c>
      <x:c r="AC361" s="20" t="n">
        <x:f>IF(OR(N361="",AA361="",AA361=0),"",AB361/AA361)</x:f>
        <x:v>-0.3355371900826147</x:v>
      </x:c>
      <x:c r="AD361" t="str">
        <x:f>IF(AA361="","NO STANDARD",IF(AC361&lt;=Config_Status!$B$2,"EFFICIENT",IF(AC361&lt;=Config_Status!$B$3,"NORMAL",IF(AC361&lt;=Config_Status!$B$4,"WARNING","OVER CONSUMPTION"))))</x:f>
        <x:v>EFFICIENT</x:v>
      </x:c>
      <x:c r="AE361" t="str">
        <x:f>IFERROR(VLOOKUP(G361,Master_Unit!$A$2:$N$78,13,FALSE),"UNIT NOT FOUND")</x:f>
        <x:v>Matched</x:v>
      </x:c>
    </x:row>
    <x:row r="362">
      <x:c r="A362" s="12" t="str">
        <x:v>FU-20260606-00361</x:v>
      </x:c>
      <x:c r="B362" s="12" t="n">
        <x:v>491</x:v>
      </x:c>
      <x:c r="C362" s="14" t="n">
        <x:v>46179</x:v>
      </x:c>
      <x:c r="D362" s="12" t="str">
        <x:v>Sabtu</x:v>
      </x:c>
      <x:c r="E362" s="12" t="str">
        <x:v>08:05:00</x:v>
      </x:c>
      <x:c r="F362" s="12" t="str">
        <x:v>All Shift Day</x:v>
      </x:c>
      <x:c r="G362" s="12" t="str">
        <x:v>EXVV21G041</x:v>
      </x:c>
      <x:c r="H362" s="12" t="str">
        <x:v>Excavator</x:v>
      </x:c>
      <x:c r="I362" s="12" t="str">
        <x:v>EXCAVATOR VOLVO EC210D</x:v>
      </x:c>
      <x:c r="J362" s="16" t="n">
        <x:v>132</x:v>
      </x:c>
      <x:c r="K362" s="16" t="n">
        <x:v>4465.1</x:v>
      </x:c>
      <x:c r="L362" s="16" t="n">
        <x:v>4474</x:v>
      </x:c>
      <x:c r="M362" s="16" t="n">
        <x:v>8.899999999999636</x:v>
      </x:c>
      <x:c r="N362" s="16" t="n">
        <x:v>14.83146067415791</x:v>
      </x:c>
      <x:c r="O362" s="12" t="str">
        <x:v>FTRL44G005</x:v>
      </x:c>
      <x:c r="P362" s="12" t="str">
        <x:v>EXVV21G041</x:v>
      </x:c>
      <x:c r="Q362" s="12" t="str"/>
      <x:c r="R362" s="12" t="str"/>
      <x:c r="S362" s="12" t="str"/>
      <x:c r="T362" s="12" t="str">
        <x:v>ABM</x:v>
      </x:c>
      <x:c r="U362" s="12" t="str"/>
      <x:c r="V362" s="12" t="str"/>
      <x:c r="W362" s="12" t="str"/>
      <x:c r="X362" s="12" t="str">
        <x:v>EXVV21</x:v>
      </x:c>
      <x:c r="Y362" s="12" t="str">
        <x:v>FANGKI &amp; ACUNG</x:v>
      </x:c>
      <x:c r="Z362" s="12" t="str"/>
      <x:c r="AA362" s="32" t="n">
        <x:f>IFERROR(VLOOKUP(G362,Master_Unit!$A$2:$N$78,7,FALSE),"")</x:f>
        <x:v>20</x:v>
      </x:c>
      <x:c r="AB362" s="32" t="n">
        <x:f>IF(OR(N362="",AA362=""),"",N362-AA362)</x:f>
        <x:v>-5.16853932584209</x:v>
      </x:c>
      <x:c r="AC362" s="20" t="n">
        <x:f>IF(OR(N362="",AA362="",AA362=0),"",AB362/AA362)</x:f>
        <x:v>-0.2584269662921045</x:v>
      </x:c>
      <x:c r="AD362" t="str">
        <x:f>IF(AA362="","NO STANDARD",IF(AC362&lt;=Config_Status!$B$2,"EFFICIENT",IF(AC362&lt;=Config_Status!$B$3,"NORMAL",IF(AC362&lt;=Config_Status!$B$4,"WARNING","OVER CONSUMPTION"))))</x:f>
        <x:v>EFFICIENT</x:v>
      </x:c>
      <x:c r="AE362" t="str">
        <x:f>IFERROR(VLOOKUP(G362,Master_Unit!$A$2:$N$78,13,FALSE),"UNIT NOT FOUND")</x:f>
        <x:v>Matched</x:v>
      </x:c>
    </x:row>
    <x:row r="363">
      <x:c r="A363" s="12" t="str">
        <x:v>FU-20260606-00362</x:v>
      </x:c>
      <x:c r="B363" s="12" t="n">
        <x:v>492</x:v>
      </x:c>
      <x:c r="C363" s="14" t="n">
        <x:v>46179</x:v>
      </x:c>
      <x:c r="D363" s="12" t="str">
        <x:v>Sabtu</x:v>
      </x:c>
      <x:c r="E363" s="12" t="str">
        <x:v>08:10:00</x:v>
      </x:c>
      <x:c r="F363" s="12" t="str">
        <x:v>All Shift Day</x:v>
      </x:c>
      <x:c r="G363" s="12" t="str">
        <x:v>LVTH24R023</x:v>
      </x:c>
      <x:c r="H363" s="12" t="str">
        <x:v>Light Vehicle</x:v>
      </x:c>
      <x:c r="I363" s="12" t="str">
        <x:v>LIGHT VEHICLE TOYOTA HILUX</x:v>
      </x:c>
      <x:c r="J363" s="16" t="n">
        <x:v>21</x:v>
      </x:c>
      <x:c r="K363" s="16" t="n">
        <x:v>49015</x:v>
      </x:c>
      <x:c r="L363" s="16" t="n">
        <x:v>49080</x:v>
      </x:c>
      <x:c r="M363" s="16" t="n">
        <x:v>65</x:v>
      </x:c>
      <x:c r="N363" s="16" t="n">
        <x:v>0.3230769230769231</x:v>
      </x:c>
      <x:c r="O363" s="12" t="str">
        <x:v>FTRL44G005</x:v>
      </x:c>
      <x:c r="P363" s="12" t="str">
        <x:v>LVTH24R023</x:v>
      </x:c>
      <x:c r="Q363" s="12" t="str"/>
      <x:c r="R363" s="12" t="str"/>
      <x:c r="S363" s="12" t="str"/>
      <x:c r="T363" s="12" t="str">
        <x:v>ABM</x:v>
      </x:c>
      <x:c r="U363" s="12" t="str"/>
      <x:c r="V363" s="12" t="str"/>
      <x:c r="W363" s="12" t="str"/>
      <x:c r="X363" s="12" t="str">
        <x:v>LVTH24</x:v>
      </x:c>
      <x:c r="Y363" s="12" t="str">
        <x:v>FANGKI &amp; ACUNG</x:v>
      </x:c>
      <x:c r="Z363" s="12" t="str"/>
      <x:c r="AA363" s="32" t="n">
        <x:f>IFERROR(VLOOKUP(G363,Master_Unit!$A$2:$N$78,7,FALSE),"")</x:f>
        <x:v>0.2</x:v>
      </x:c>
      <x:c r="AB363" s="32" t="n">
        <x:f>IF(OR(N363="",AA363=""),"",N363-AA363)</x:f>
        <x:v>0.12307692307692308</x:v>
      </x:c>
      <x:c r="AC363" s="20" t="n">
        <x:f>IF(OR(N363="",AA363="",AA363=0),"",AB363/AA363)</x:f>
        <x:v>0.6153846153846154</x:v>
      </x:c>
      <x:c r="AD363" t="str">
        <x:f>IF(AA363="","NO STANDARD",IF(AC363&lt;=Config_Status!$B$2,"EFFICIENT",IF(AC363&lt;=Config_Status!$B$3,"NORMAL",IF(AC363&lt;=Config_Status!$B$4,"WARNING","OVER CONSUMPTION"))))</x:f>
        <x:v>OVER CONSUMPTION</x:v>
      </x:c>
      <x:c r="AE363" t="str">
        <x:f>IFERROR(VLOOKUP(G363,Master_Unit!$A$2:$N$78,13,FALSE),"UNIT NOT FOUND")</x:f>
        <x:v>Matched</x:v>
      </x:c>
    </x:row>
    <x:row r="364">
      <x:c r="A364" s="12" t="str">
        <x:v>FU-20260606-00363</x:v>
      </x:c>
      <x:c r="B364" s="12" t="n">
        <x:v>493</x:v>
      </x:c>
      <x:c r="C364" s="14" t="n">
        <x:v>46179</x:v>
      </x:c>
      <x:c r="D364" s="12" t="str">
        <x:v>Sabtu</x:v>
      </x:c>
      <x:c r="E364" s="12" t="str">
        <x:v>08:11:00</x:v>
      </x:c>
      <x:c r="F364" s="12" t="str">
        <x:v>All Shift Day</x:v>
      </x:c>
      <x:c r="G364" s="12" t="str">
        <x:v>LTRL44G002</x:v>
      </x:c>
      <x:c r="H364" s="12" t="str">
        <x:v>Lube Truck</x:v>
      </x:c>
      <x:c r="I364" s="12" t="str">
        <x:v>LUBE TRUCK RENAULT KRANGE440-P6X4 A/T</x:v>
      </x:c>
      <x:c r="J364" s="16" t="n">
        <x:v>71</x:v>
      </x:c>
      <x:c r="K364" s="16" t="n">
        <x:v>2058</x:v>
      </x:c>
      <x:c r="L364" s="16" t="n">
        <x:v>2064</x:v>
      </x:c>
      <x:c r="M364" s="16" t="n">
        <x:v>6</x:v>
      </x:c>
      <x:c r="N364" s="16" t="n">
        <x:v>11.833333333333334</x:v>
      </x:c>
      <x:c r="O364" s="12" t="str">
        <x:v>FTRL44G005</x:v>
      </x:c>
      <x:c r="P364" s="12" t="str">
        <x:v>LTRL44G002</x:v>
      </x:c>
      <x:c r="Q364" s="12" t="str"/>
      <x:c r="R364" s="12" t="str"/>
      <x:c r="S364" s="12" t="str"/>
      <x:c r="T364" s="12" t="str">
        <x:v>ABM</x:v>
      </x:c>
      <x:c r="U364" s="12" t="str"/>
      <x:c r="V364" s="12" t="str"/>
      <x:c r="W364" s="12" t="str"/>
      <x:c r="X364" s="12" t="str">
        <x:v>LTRL44</x:v>
      </x:c>
      <x:c r="Y364" s="12" t="str">
        <x:v>FANGKI &amp; ACUNG</x:v>
      </x:c>
      <x:c r="Z364" s="12" t="str"/>
      <x:c r="AA364" s="32" t="n">
        <x:f>IFERROR(VLOOKUP(G364,Master_Unit!$A$2:$N$78,7,FALSE),"")</x:f>
        <x:v>20</x:v>
      </x:c>
      <x:c r="AB364" s="32" t="n">
        <x:f>IF(OR(N364="",AA364=""),"",N364-AA364)</x:f>
        <x:v>-8.166666666666666</x:v>
      </x:c>
      <x:c r="AC364" s="20" t="n">
        <x:f>IF(OR(N364="",AA364="",AA364=0),"",AB364/AA364)</x:f>
        <x:v>-0.4083333333333333</x:v>
      </x:c>
      <x:c r="AD364" t="str">
        <x:f>IF(AA364="","NO STANDARD",IF(AC364&lt;=Config_Status!$B$2,"EFFICIENT",IF(AC364&lt;=Config_Status!$B$3,"NORMAL",IF(AC364&lt;=Config_Status!$B$4,"WARNING","OVER CONSUMPTION"))))</x:f>
        <x:v>EFFICIENT</x:v>
      </x:c>
      <x:c r="AE364" t="str">
        <x:f>IFERROR(VLOOKUP(G364,Master_Unit!$A$2:$N$78,13,FALSE),"UNIT NOT FOUND")</x:f>
        <x:v>Matched</x:v>
      </x:c>
    </x:row>
    <x:row r="365">
      <x:c r="A365" s="12" t="str">
        <x:v>FU-20260606-00364</x:v>
      </x:c>
      <x:c r="B365" s="12" t="n">
        <x:v>494</x:v>
      </x:c>
      <x:c r="C365" s="14" t="n">
        <x:v>46179</x:v>
      </x:c>
      <x:c r="D365" s="12" t="str">
        <x:v>Sabtu</x:v>
      </x:c>
      <x:c r="E365" s="12" t="str">
        <x:v>08:13:00</x:v>
      </x:c>
      <x:c r="F365" s="12" t="str">
        <x:v>All Shift Day</x:v>
      </x:c>
      <x:c r="G365" s="12" t="str">
        <x:v>LVTH24R034</x:v>
      </x:c>
      <x:c r="H365" s="12" t="str">
        <x:v>Light Vehicle</x:v>
      </x:c>
      <x:c r="I365" s="12" t="str">
        <x:v>LIGHT VEHICLE TOYOTA HILUX</x:v>
      </x:c>
      <x:c r="J365" s="16" t="n">
        <x:v>40</x:v>
      </x:c>
      <x:c r="K365" s="16" t="n">
        <x:v>47725</x:v>
      </x:c>
      <x:c r="L365" s="16" t="n">
        <x:v>47876</x:v>
      </x:c>
      <x:c r="M365" s="16" t="n">
        <x:v>151</x:v>
      </x:c>
      <x:c r="N365" s="16" t="n">
        <x:v>0.26490066225165565</x:v>
      </x:c>
      <x:c r="O365" s="12" t="str">
        <x:v>FTRL44G005</x:v>
      </x:c>
      <x:c r="P365" s="12" t="str">
        <x:v>LVTH24R034</x:v>
      </x:c>
      <x:c r="Q365" s="12" t="str"/>
      <x:c r="R365" s="12" t="str"/>
      <x:c r="S365" s="12" t="str"/>
      <x:c r="T365" s="12" t="str">
        <x:v>ABM</x:v>
      </x:c>
      <x:c r="U365" s="12" t="str"/>
      <x:c r="V365" s="12" t="str"/>
      <x:c r="W365" s="12" t="str"/>
      <x:c r="X365" s="12" t="str">
        <x:v>LVTH24</x:v>
      </x:c>
      <x:c r="Y365" s="12" t="str">
        <x:v>FANGKI &amp; ACUNG</x:v>
      </x:c>
      <x:c r="Z365" s="12" t="str"/>
      <x:c r="AA365" s="32" t="n">
        <x:f>IFERROR(VLOOKUP(G365,Master_Unit!$A$2:$N$78,7,FALSE),"")</x:f>
        <x:v>0.2</x:v>
      </x:c>
      <x:c r="AB365" s="32" t="n">
        <x:f>IF(OR(N365="",AA365=""),"",N365-AA365)</x:f>
        <x:v>0.06490066225165564</x:v>
      </x:c>
      <x:c r="AC365" s="20" t="n">
        <x:f>IF(OR(N365="",AA365="",AA365=0),"",AB365/AA365)</x:f>
        <x:v>0.3245033112582782</x:v>
      </x:c>
      <x:c r="AD365" t="str">
        <x:f>IF(AA365="","NO STANDARD",IF(AC365&lt;=Config_Status!$B$2,"EFFICIENT",IF(AC365&lt;=Config_Status!$B$3,"NORMAL",IF(AC365&lt;=Config_Status!$B$4,"WARNING","OVER CONSUMPTION"))))</x:f>
        <x:v>OVER CONSUMPTION</x:v>
      </x:c>
      <x:c r="AE365" t="str">
        <x:f>IFERROR(VLOOKUP(G365,Master_Unit!$A$2:$N$78,13,FALSE),"UNIT NOT FOUND")</x:f>
        <x:v>Matched</x:v>
      </x:c>
    </x:row>
    <x:row r="366">
      <x:c r="A366" s="12" t="str">
        <x:v>FU-20260606-00365</x:v>
      </x:c>
      <x:c r="B366" s="12" t="n">
        <x:v>495</x:v>
      </x:c>
      <x:c r="C366" s="14" t="n">
        <x:v>46179</x:v>
      </x:c>
      <x:c r="D366" s="12" t="str">
        <x:v>Sabtu</x:v>
      </x:c>
      <x:c r="E366" s="12" t="str">
        <x:v>08:43:00</x:v>
      </x:c>
      <x:c r="F366" s="12" t="str">
        <x:v>All Shift Day</x:v>
      </x:c>
      <x:c r="G366" s="12" t="str">
        <x:v>EXVV21G038</x:v>
      </x:c>
      <x:c r="H366" s="12" t="str">
        <x:v>Excavator</x:v>
      </x:c>
      <x:c r="I366" s="12" t="str">
        <x:v>EXCAVATOR VOLVO EC210D</x:v>
      </x:c>
      <x:c r="J366" s="16" t="n">
        <x:v>150</x:v>
      </x:c>
      <x:c r="K366" s="16" t="n">
        <x:v>4150.2</x:v>
      </x:c>
      <x:c r="L366" s="16" t="n">
        <x:v>4158.8</x:v>
      </x:c>
      <x:c r="M366" s="16" t="n">
        <x:v>8.600000000000364</x:v>
      </x:c>
      <x:c r="N366" s="16" t="n">
        <x:v>17.441860465115543</x:v>
      </x:c>
      <x:c r="O366" s="12" t="str">
        <x:v>FTRL44G005</x:v>
      </x:c>
      <x:c r="P366" s="12" t="str">
        <x:v>EXVV21G038</x:v>
      </x:c>
      <x:c r="Q366" s="12" t="str"/>
      <x:c r="R366" s="12" t="str"/>
      <x:c r="S366" s="12" t="str"/>
      <x:c r="T366" s="12" t="str">
        <x:v>ABM</x:v>
      </x:c>
      <x:c r="U366" s="12" t="str"/>
      <x:c r="V366" s="12" t="str"/>
      <x:c r="W366" s="12" t="str"/>
      <x:c r="X366" s="12" t="str">
        <x:v>EXVV21</x:v>
      </x:c>
      <x:c r="Y366" s="12" t="str">
        <x:v>FANGKI &amp; ACUNG</x:v>
      </x:c>
      <x:c r="Z366" s="12" t="str"/>
      <x:c r="AA366" s="32" t="n">
        <x:f>IFERROR(VLOOKUP(G366,Master_Unit!$A$2:$N$78,7,FALSE),"")</x:f>
        <x:v>20</x:v>
      </x:c>
      <x:c r="AB366" s="32" t="n">
        <x:f>IF(OR(N366="",AA366=""),"",N366-AA366)</x:f>
        <x:v>-2.5581395348844573</x:v>
      </x:c>
      <x:c r="AC366" s="20" t="n">
        <x:f>IF(OR(N366="",AA366="",AA366=0),"",AB366/AA366)</x:f>
        <x:v>-0.12790697674422286</x:v>
      </x:c>
      <x:c r="AD366" t="str">
        <x:f>IF(AA366="","NO STANDARD",IF(AC366&lt;=Config_Status!$B$2,"EFFICIENT",IF(AC366&lt;=Config_Status!$B$3,"NORMAL",IF(AC366&lt;=Config_Status!$B$4,"WARNING","OVER CONSUMPTION"))))</x:f>
        <x:v>EFFICIENT</x:v>
      </x:c>
      <x:c r="AE366" t="str">
        <x:f>IFERROR(VLOOKUP(G366,Master_Unit!$A$2:$N$78,13,FALSE),"UNIT NOT FOUND")</x:f>
        <x:v>Matched</x:v>
      </x:c>
    </x:row>
    <x:row r="367">
      <x:c r="A367" s="12" t="str">
        <x:v>FU-20260606-00366</x:v>
      </x:c>
      <x:c r="B367" s="12" t="n">
        <x:v>496</x:v>
      </x:c>
      <x:c r="C367" s="14" t="n">
        <x:v>46179</x:v>
      </x:c>
      <x:c r="D367" s="12" t="str">
        <x:v>Sabtu</x:v>
      </x:c>
      <x:c r="E367" s="12" t="str">
        <x:v>09:10:00</x:v>
      </x:c>
      <x:c r="F367" s="12" t="str">
        <x:v>All Shift Day</x:v>
      </x:c>
      <x:c r="G367" s="12" t="str">
        <x:v>STRL44G144</x:v>
      </x:c>
      <x:c r="H367" s="12" t="str">
        <x:v>Dump Truck</x:v>
      </x:c>
      <x:c r="I367" s="12" t="str">
        <x:v>DUMP TRUCK RENAULT KRANGE440-P6X4 A/T</x:v>
      </x:c>
      <x:c r="J367" s="16" t="n">
        <x:v>134</x:v>
      </x:c>
      <x:c r="K367" s="16" t="n">
        <x:v>1488</x:v>
      </x:c>
      <x:c r="L367" s="16" t="n">
        <x:v>1493</x:v>
      </x:c>
      <x:c r="M367" s="16" t="n">
        <x:v>5</x:v>
      </x:c>
      <x:c r="N367" s="16" t="n">
        <x:v>26.8</x:v>
      </x:c>
      <x:c r="O367" s="12" t="str">
        <x:v>FTRL44G005</x:v>
      </x:c>
      <x:c r="P367" s="12" t="str">
        <x:v>STRL44G144</x:v>
      </x:c>
      <x:c r="Q367" s="12" t="str"/>
      <x:c r="R367" s="12" t="str"/>
      <x:c r="S367" s="12" t="str"/>
      <x:c r="T367" s="12" t="str">
        <x:v>ABM</x:v>
      </x:c>
      <x:c r="U367" s="12" t="str"/>
      <x:c r="V367" s="12" t="str"/>
      <x:c r="W367" s="12" t="str"/>
      <x:c r="X367" s="12" t="str">
        <x:v>STRL44</x:v>
      </x:c>
      <x:c r="Y367" s="12" t="str">
        <x:v>FANGKI &amp; ACUNG</x:v>
      </x:c>
      <x:c r="Z367" s="12" t="str"/>
      <x:c r="AA367" s="32" t="n">
        <x:f>IFERROR(VLOOKUP(G367,Master_Unit!$A$2:$N$78,7,FALSE),"")</x:f>
        <x:v>20</x:v>
      </x:c>
      <x:c r="AB367" s="32" t="n">
        <x:f>IF(OR(N367="",AA367=""),"",N367-AA367)</x:f>
        <x:v>6.800000000000001</x:v>
      </x:c>
      <x:c r="AC367" s="20" t="n">
        <x:f>IF(OR(N367="",AA367="",AA367=0),"",AB367/AA367)</x:f>
        <x:v>0.34</x:v>
      </x:c>
      <x:c r="AD367" t="str">
        <x:f>IF(AA367="","NO STANDARD",IF(AC367&lt;=Config_Status!$B$2,"EFFICIENT",IF(AC367&lt;=Config_Status!$B$3,"NORMAL",IF(AC367&lt;=Config_Status!$B$4,"WARNING","OVER CONSUMPTION"))))</x:f>
        <x:v>OVER CONSUMPTION</x:v>
      </x:c>
      <x:c r="AE367" t="str">
        <x:f>IFERROR(VLOOKUP(G367,Master_Unit!$A$2:$N$78,13,FALSE),"UNIT NOT FOUND")</x:f>
        <x:v>Matched</x:v>
      </x:c>
    </x:row>
    <x:row r="368">
      <x:c r="A368" s="12" t="str">
        <x:v>FU-20260606-00367</x:v>
      </x:c>
      <x:c r="B368" s="12" t="n">
        <x:v>497</x:v>
      </x:c>
      <x:c r="C368" s="14" t="n">
        <x:v>46179</x:v>
      </x:c>
      <x:c r="D368" s="12" t="str">
        <x:v>Sabtu</x:v>
      </x:c>
      <x:c r="E368" s="12" t="str">
        <x:v>09:16:00</x:v>
      </x:c>
      <x:c r="F368" s="12" t="str">
        <x:v>All Shift Day</x:v>
      </x:c>
      <x:c r="G368" s="12" t="str">
        <x:v>STRL44G146</x:v>
      </x:c>
      <x:c r="H368" s="12" t="str">
        <x:v>Dump Truck</x:v>
      </x:c>
      <x:c r="I368" s="12" t="str">
        <x:v>DUMP TRUCK RENAULT KRANGE440-P6X4 A/T</x:v>
      </x:c>
      <x:c r="J368" s="16" t="n">
        <x:v>150</x:v>
      </x:c>
      <x:c r="K368" s="16" t="n">
        <x:v>4902</x:v>
      </x:c>
      <x:c r="L368" s="16" t="n">
        <x:v>4911</x:v>
      </x:c>
      <x:c r="M368" s="16" t="n">
        <x:v>9</x:v>
      </x:c>
      <x:c r="N368" s="16" t="n">
        <x:v>16.666666666666668</x:v>
      </x:c>
      <x:c r="O368" s="12" t="str">
        <x:v>FTRL44G005</x:v>
      </x:c>
      <x:c r="P368" s="12" t="str">
        <x:v>STRL44G146</x:v>
      </x:c>
      <x:c r="Q368" s="12" t="str"/>
      <x:c r="R368" s="12" t="str"/>
      <x:c r="S368" s="12" t="str"/>
      <x:c r="T368" s="12" t="str">
        <x:v>ABM</x:v>
      </x:c>
      <x:c r="U368" s="12" t="str"/>
      <x:c r="V368" s="12" t="str"/>
      <x:c r="W368" s="12" t="str"/>
      <x:c r="X368" s="12" t="str">
        <x:v>STRL44</x:v>
      </x:c>
      <x:c r="Y368" s="12" t="str">
        <x:v>FANGKI &amp; ACUNG</x:v>
      </x:c>
      <x:c r="Z368" s="12" t="str"/>
      <x:c r="AA368" s="32" t="n">
        <x:f>IFERROR(VLOOKUP(G368,Master_Unit!$A$2:$N$78,7,FALSE),"")</x:f>
        <x:v>20</x:v>
      </x:c>
      <x:c r="AB368" s="32" t="n">
        <x:f>IF(OR(N368="",AA368=""),"",N368-AA368)</x:f>
        <x:v>-3.333333333333332</x:v>
      </x:c>
      <x:c r="AC368" s="20" t="n">
        <x:f>IF(OR(N368="",AA368="",AA368=0),"",AB368/AA368)</x:f>
        <x:v>-0.1666666666666666</x:v>
      </x:c>
      <x:c r="AD368" t="str">
        <x:f>IF(AA368="","NO STANDARD",IF(AC368&lt;=Config_Status!$B$2,"EFFICIENT",IF(AC368&lt;=Config_Status!$B$3,"NORMAL",IF(AC368&lt;=Config_Status!$B$4,"WARNING","OVER CONSUMPTION"))))</x:f>
        <x:v>EFFICIENT</x:v>
      </x:c>
      <x:c r="AE368" t="str">
        <x:f>IFERROR(VLOOKUP(G368,Master_Unit!$A$2:$N$78,13,FALSE),"UNIT NOT FOUND")</x:f>
        <x:v>Matched</x:v>
      </x:c>
    </x:row>
    <x:row r="369">
      <x:c r="A369" s="12" t="str">
        <x:v>FU-20260606-00368</x:v>
      </x:c>
      <x:c r="B369" s="12" t="n">
        <x:v>498</x:v>
      </x:c>
      <x:c r="C369" s="14" t="n">
        <x:v>46179</x:v>
      </x:c>
      <x:c r="D369" s="12" t="str">
        <x:v>Sabtu</x:v>
      </x:c>
      <x:c r="E369" s="12" t="str">
        <x:v>09:20:00</x:v>
      </x:c>
      <x:c r="F369" s="12" t="str">
        <x:v>All Shift Day</x:v>
      </x:c>
      <x:c r="G369" s="12" t="str">
        <x:v>STRL44G156</x:v>
      </x:c>
      <x:c r="H369" s="12" t="str">
        <x:v>Dump Truck</x:v>
      </x:c>
      <x:c r="I369" s="12" t="str">
        <x:v>DUMP TRUCK RENAULT KRANGE440-P6X4 A/T</x:v>
      </x:c>
      <x:c r="J369" s="16" t="n">
        <x:v>146</x:v>
      </x:c>
      <x:c r="K369" s="16" t="n">
        <x:v>3729</x:v>
      </x:c>
      <x:c r="L369" s="16" t="n">
        <x:v>3737</x:v>
      </x:c>
      <x:c r="M369" s="16" t="n">
        <x:v>8</x:v>
      </x:c>
      <x:c r="N369" s="16" t="n">
        <x:v>18.25</x:v>
      </x:c>
      <x:c r="O369" s="12" t="str">
        <x:v>FTRL44G005</x:v>
      </x:c>
      <x:c r="P369" s="12" t="str">
        <x:v>STRL44G156</x:v>
      </x:c>
      <x:c r="Q369" s="12" t="str"/>
      <x:c r="R369" s="12" t="str"/>
      <x:c r="S369" s="12" t="str"/>
      <x:c r="T369" s="12" t="str">
        <x:v>ABM</x:v>
      </x:c>
      <x:c r="U369" s="12" t="str"/>
      <x:c r="V369" s="12" t="str"/>
      <x:c r="W369" s="12" t="str"/>
      <x:c r="X369" s="12" t="str">
        <x:v>STRL44</x:v>
      </x:c>
      <x:c r="Y369" s="12" t="str">
        <x:v>FANGKI &amp; ACUNG</x:v>
      </x:c>
      <x:c r="Z369" s="12" t="str"/>
      <x:c r="AA369" s="32" t="n">
        <x:f>IFERROR(VLOOKUP(G369,Master_Unit!$A$2:$N$78,7,FALSE),"")</x:f>
        <x:v>20</x:v>
      </x:c>
      <x:c r="AB369" s="32" t="n">
        <x:f>IF(OR(N369="",AA369=""),"",N369-AA369)</x:f>
        <x:v>-1.75</x:v>
      </x:c>
      <x:c r="AC369" s="20" t="n">
        <x:f>IF(OR(N369="",AA369="",AA369=0),"",AB369/AA369)</x:f>
        <x:v>-0.0875</x:v>
      </x:c>
      <x:c r="AD369" t="str">
        <x:f>IF(AA369="","NO STANDARD",IF(AC369&lt;=Config_Status!$B$2,"EFFICIENT",IF(AC369&lt;=Config_Status!$B$3,"NORMAL",IF(AC369&lt;=Config_Status!$B$4,"WARNING","OVER CONSUMPTION"))))</x:f>
        <x:v>NORMAL</x:v>
      </x:c>
      <x:c r="AE369" t="str">
        <x:f>IFERROR(VLOOKUP(G369,Master_Unit!$A$2:$N$78,13,FALSE),"UNIT NOT FOUND")</x:f>
        <x:v>Matched</x:v>
      </x:c>
    </x:row>
    <x:row r="370">
      <x:c r="A370" s="12" t="str">
        <x:v>FU-20260606-00369</x:v>
      </x:c>
      <x:c r="B370" s="12" t="n">
        <x:v>499</x:v>
      </x:c>
      <x:c r="C370" s="14" t="n">
        <x:v>46179</x:v>
      </x:c>
      <x:c r="D370" s="12" t="str">
        <x:v>Sabtu</x:v>
      </x:c>
      <x:c r="E370" s="12" t="str">
        <x:v>09:24:00</x:v>
      </x:c>
      <x:c r="F370" s="12" t="str">
        <x:v>All Shift Day</x:v>
      </x:c>
      <x:c r="G370" s="12" t="str">
        <x:v>STRL44G140</x:v>
      </x:c>
      <x:c r="H370" s="12" t="str">
        <x:v>Dump Truck</x:v>
      </x:c>
      <x:c r="I370" s="12" t="str">
        <x:v>DUMP TRUCK RENAULT KRANGE440-P6X4 A/T</x:v>
      </x:c>
      <x:c r="J370" s="16" t="n">
        <x:v>104</x:v>
      </x:c>
      <x:c r="K370" s="16" t="n">
        <x:v>5062</x:v>
      </x:c>
      <x:c r="L370" s="16" t="n">
        <x:v>5071</x:v>
      </x:c>
      <x:c r="M370" s="16" t="n">
        <x:v>9</x:v>
      </x:c>
      <x:c r="N370" s="16" t="n">
        <x:v>11.555555555555555</x:v>
      </x:c>
      <x:c r="O370" s="12" t="str">
        <x:v>FTRL44G005</x:v>
      </x:c>
      <x:c r="P370" s="12" t="str">
        <x:v>STRL44G140</x:v>
      </x:c>
      <x:c r="Q370" s="12" t="str"/>
      <x:c r="R370" s="12" t="str"/>
      <x:c r="S370" s="12" t="str"/>
      <x:c r="T370" s="12" t="str">
        <x:v>ABM</x:v>
      </x:c>
      <x:c r="U370" s="12" t="str"/>
      <x:c r="V370" s="12" t="str"/>
      <x:c r="W370" s="12" t="str"/>
      <x:c r="X370" s="12" t="str">
        <x:v>STRL44</x:v>
      </x:c>
      <x:c r="Y370" s="12" t="str">
        <x:v>FANGKI &amp; ACUNG</x:v>
      </x:c>
      <x:c r="Z370" s="12" t="str"/>
      <x:c r="AA370" s="32" t="n">
        <x:f>IFERROR(VLOOKUP(G370,Master_Unit!$A$2:$N$78,7,FALSE),"")</x:f>
        <x:v>20</x:v>
      </x:c>
      <x:c r="AB370" s="32" t="n">
        <x:f>IF(OR(N370="",AA370=""),"",N370-AA370)</x:f>
        <x:v>-8.444444444444445</x:v>
      </x:c>
      <x:c r="AC370" s="20" t="n">
        <x:f>IF(OR(N370="",AA370="",AA370=0),"",AB370/AA370)</x:f>
        <x:v>-0.4222222222222222</x:v>
      </x:c>
      <x:c r="AD370" t="str">
        <x:f>IF(AA370="","NO STANDARD",IF(AC370&lt;=Config_Status!$B$2,"EFFICIENT",IF(AC370&lt;=Config_Status!$B$3,"NORMAL",IF(AC370&lt;=Config_Status!$B$4,"WARNING","OVER CONSUMPTION"))))</x:f>
        <x:v>EFFICIENT</x:v>
      </x:c>
      <x:c r="AE370" t="str">
        <x:f>IFERROR(VLOOKUP(G370,Master_Unit!$A$2:$N$78,13,FALSE),"UNIT NOT FOUND")</x:f>
        <x:v>Matched</x:v>
      </x:c>
    </x:row>
    <x:row r="371">
      <x:c r="A371" s="12" t="str">
        <x:v>FU-20260606-00370</x:v>
      </x:c>
      <x:c r="B371" s="12" t="n">
        <x:v>500</x:v>
      </x:c>
      <x:c r="C371" s="14" t="n">
        <x:v>46179</x:v>
      </x:c>
      <x:c r="D371" s="12" t="str">
        <x:v>Sabtu</x:v>
      </x:c>
      <x:c r="E371" s="12" t="str">
        <x:v>09:26:00</x:v>
      </x:c>
      <x:c r="F371" s="12" t="str">
        <x:v>All Shift Day</x:v>
      </x:c>
      <x:c r="G371" s="12" t="str">
        <x:v>STRL44G154</x:v>
      </x:c>
      <x:c r="H371" s="12" t="str">
        <x:v>Dump Truck</x:v>
      </x:c>
      <x:c r="I371" s="12" t="str">
        <x:v>DUMP TRUCK RENAULT KRANGE440-P6X4 A/T</x:v>
      </x:c>
      <x:c r="J371" s="16" t="n">
        <x:v>141</x:v>
      </x:c>
      <x:c r="K371" s="16" t="n">
        <x:v>4045</x:v>
      </x:c>
      <x:c r="L371" s="16" t="n">
        <x:v>4054</x:v>
      </x:c>
      <x:c r="M371" s="16" t="n">
        <x:v>9</x:v>
      </x:c>
      <x:c r="N371" s="16" t="n">
        <x:v>15.666666666666666</x:v>
      </x:c>
      <x:c r="O371" s="12" t="str">
        <x:v>FTRL44G005</x:v>
      </x:c>
      <x:c r="P371" s="12" t="str">
        <x:v>STRL44G154</x:v>
      </x:c>
      <x:c r="Q371" s="12" t="str"/>
      <x:c r="R371" s="12" t="str"/>
      <x:c r="S371" s="12" t="str"/>
      <x:c r="T371" s="12" t="str">
        <x:v>ABM</x:v>
      </x:c>
      <x:c r="U371" s="12" t="str"/>
      <x:c r="V371" s="12" t="str"/>
      <x:c r="W371" s="12" t="str"/>
      <x:c r="X371" s="12" t="str">
        <x:v>STRL44</x:v>
      </x:c>
      <x:c r="Y371" s="12" t="str">
        <x:v>FANGKI &amp; ACUNG</x:v>
      </x:c>
      <x:c r="Z371" s="12" t="str"/>
      <x:c r="AA371" s="32" t="n">
        <x:f>IFERROR(VLOOKUP(G371,Master_Unit!$A$2:$N$78,7,FALSE),"")</x:f>
        <x:v>20</x:v>
      </x:c>
      <x:c r="AB371" s="32" t="n">
        <x:f>IF(OR(N371="",AA371=""),"",N371-AA371)</x:f>
        <x:v>-4.333333333333334</x:v>
      </x:c>
      <x:c r="AC371" s="20" t="n">
        <x:f>IF(OR(N371="",AA371="",AA371=0),"",AB371/AA371)</x:f>
        <x:v>-0.2166666666666667</x:v>
      </x:c>
      <x:c r="AD371" t="str">
        <x:f>IF(AA371="","NO STANDARD",IF(AC371&lt;=Config_Status!$B$2,"EFFICIENT",IF(AC371&lt;=Config_Status!$B$3,"NORMAL",IF(AC371&lt;=Config_Status!$B$4,"WARNING","OVER CONSUMPTION"))))</x:f>
        <x:v>EFFICIENT</x:v>
      </x:c>
      <x:c r="AE371" t="str">
        <x:f>IFERROR(VLOOKUP(G371,Master_Unit!$A$2:$N$78,13,FALSE),"UNIT NOT FOUND")</x:f>
        <x:v>Matched</x:v>
      </x:c>
    </x:row>
    <x:row r="372">
      <x:c r="A372" s="12" t="str">
        <x:v>FU-20260606-00371</x:v>
      </x:c>
      <x:c r="B372" s="12" t="n">
        <x:v>501</x:v>
      </x:c>
      <x:c r="C372" s="14" t="n">
        <x:v>46179</x:v>
      </x:c>
      <x:c r="D372" s="12" t="str">
        <x:v>Sabtu</x:v>
      </x:c>
      <x:c r="E372" s="12" t="str">
        <x:v>09:30:00</x:v>
      </x:c>
      <x:c r="F372" s="12" t="str">
        <x:v>All Shift Day</x:v>
      </x:c>
      <x:c r="G372" s="12" t="str">
        <x:v>STRL44G153</x:v>
      </x:c>
      <x:c r="H372" s="12" t="str">
        <x:v>Dump Truck</x:v>
      </x:c>
      <x:c r="I372" s="12" t="str">
        <x:v>DUMP TRUCK RENAULT KRANGE440-P6X4 A/T</x:v>
      </x:c>
      <x:c r="J372" s="16" t="n">
        <x:v>128</x:v>
      </x:c>
      <x:c r="K372" s="16" t="n">
        <x:v>3951</x:v>
      </x:c>
      <x:c r="L372" s="16" t="n">
        <x:v>3958</x:v>
      </x:c>
      <x:c r="M372" s="16" t="n">
        <x:v>7</x:v>
      </x:c>
      <x:c r="N372" s="16" t="n">
        <x:v>18.285714285714285</x:v>
      </x:c>
      <x:c r="O372" s="12" t="str">
        <x:v>FTRL44G005</x:v>
      </x:c>
      <x:c r="P372" s="12" t="str">
        <x:v>STRL44G153</x:v>
      </x:c>
      <x:c r="Q372" s="12" t="str"/>
      <x:c r="R372" s="12" t="str"/>
      <x:c r="S372" s="12" t="str"/>
      <x:c r="T372" s="12" t="str">
        <x:v>ABM</x:v>
      </x:c>
      <x:c r="U372" s="12" t="str"/>
      <x:c r="V372" s="12" t="str"/>
      <x:c r="W372" s="12" t="str"/>
      <x:c r="X372" s="12" t="str">
        <x:v>STRL44</x:v>
      </x:c>
      <x:c r="Y372" s="12" t="str">
        <x:v>FANGKI &amp; ACUNG</x:v>
      </x:c>
      <x:c r="Z372" s="12" t="str"/>
      <x:c r="AA372" s="32" t="n">
        <x:f>IFERROR(VLOOKUP(G372,Master_Unit!$A$2:$N$78,7,FALSE),"")</x:f>
        <x:v>20</x:v>
      </x:c>
      <x:c r="AB372" s="32" t="n">
        <x:f>IF(OR(N372="",AA372=""),"",N372-AA372)</x:f>
        <x:v>-1.7142857142857153</x:v>
      </x:c>
      <x:c r="AC372" s="20" t="n">
        <x:f>IF(OR(N372="",AA372="",AA372=0),"",AB372/AA372)</x:f>
        <x:v>-0.08571428571428577</x:v>
      </x:c>
      <x:c r="AD372" t="str">
        <x:f>IF(AA372="","NO STANDARD",IF(AC372&lt;=Config_Status!$B$2,"EFFICIENT",IF(AC372&lt;=Config_Status!$B$3,"NORMAL",IF(AC372&lt;=Config_Status!$B$4,"WARNING","OVER CONSUMPTION"))))</x:f>
        <x:v>NORMAL</x:v>
      </x:c>
      <x:c r="AE372" t="str">
        <x:f>IFERROR(VLOOKUP(G372,Master_Unit!$A$2:$N$78,13,FALSE),"UNIT NOT FOUND")</x:f>
        <x:v>Matched</x:v>
      </x:c>
    </x:row>
    <x:row r="373">
      <x:c r="A373" s="12" t="str">
        <x:v>FU-20260606-00372</x:v>
      </x:c>
      <x:c r="B373" s="12" t="n">
        <x:v>502</x:v>
      </x:c>
      <x:c r="C373" s="14" t="n">
        <x:v>46179</x:v>
      </x:c>
      <x:c r="D373" s="12" t="str">
        <x:v>Sabtu</x:v>
      </x:c>
      <x:c r="E373" s="12" t="str">
        <x:v>09:33:00</x:v>
      </x:c>
      <x:c r="F373" s="12" t="str">
        <x:v>All Shift Day</x:v>
      </x:c>
      <x:c r="G373" s="12" t="str">
        <x:v>WTRL44G006</x:v>
      </x:c>
      <x:c r="H373" s="12" t="str">
        <x:v>Water Truck</x:v>
      </x:c>
      <x:c r="I373" s="12" t="str">
        <x:v>WATER TRUCK RENAULT KRANGE440-P6X4 A/T</x:v>
      </x:c>
      <x:c r="J373" s="16" t="n">
        <x:v>100</x:v>
      </x:c>
      <x:c r="K373" s="16" t="n">
        <x:v>2006</x:v>
      </x:c>
      <x:c r="L373" s="16" t="n">
        <x:v>2011</x:v>
      </x:c>
      <x:c r="M373" s="16" t="n">
        <x:v>5</x:v>
      </x:c>
      <x:c r="N373" s="16" t="n">
        <x:v>20</x:v>
      </x:c>
      <x:c r="O373" s="12" t="str">
        <x:v>FTRL44G005</x:v>
      </x:c>
      <x:c r="P373" s="12" t="str">
        <x:v>WTRL44G006</x:v>
      </x:c>
      <x:c r="Q373" s="12" t="str"/>
      <x:c r="R373" s="12" t="str"/>
      <x:c r="S373" s="12" t="str"/>
      <x:c r="T373" s="12" t="str">
        <x:v>ABM</x:v>
      </x:c>
      <x:c r="U373" s="12" t="str"/>
      <x:c r="V373" s="12" t="str"/>
      <x:c r="W373" s="12" t="str"/>
      <x:c r="X373" s="12" t="str">
        <x:v>WTRL44</x:v>
      </x:c>
      <x:c r="Y373" s="12" t="str">
        <x:v>FANGKI &amp; ACUNG</x:v>
      </x:c>
      <x:c r="Z373" s="12" t="str"/>
      <x:c r="AA373" s="32" t="n">
        <x:f>IFERROR(VLOOKUP(G373,Master_Unit!$A$2:$N$78,7,FALSE),"")</x:f>
        <x:v>20</x:v>
      </x:c>
      <x:c r="AB373" s="32" t="n">
        <x:f>IF(OR(N373="",AA373=""),"",N373-AA373)</x:f>
        <x:v>0</x:v>
      </x:c>
      <x:c r="AC373" s="20" t="n">
        <x:f>IF(OR(N373="",AA373="",AA373=0),"",AB373/AA373)</x:f>
        <x:v>0</x:v>
      </x:c>
      <x:c r="AD373" t="str">
        <x:f>IF(AA373="","NO STANDARD",IF(AC373&lt;=Config_Status!$B$2,"EFFICIENT",IF(AC373&lt;=Config_Status!$B$3,"NORMAL",IF(AC373&lt;=Config_Status!$B$4,"WARNING","OVER CONSUMPTION"))))</x:f>
        <x:v>NORMAL</x:v>
      </x:c>
      <x:c r="AE373" t="str">
        <x:f>IFERROR(VLOOKUP(G373,Master_Unit!$A$2:$N$78,13,FALSE),"UNIT NOT FOUND")</x:f>
        <x:v>Matched</x:v>
      </x:c>
    </x:row>
    <x:row r="374">
      <x:c r="A374" s="12" t="str">
        <x:v>FU-20260606-00373</x:v>
      </x:c>
      <x:c r="B374" s="12" t="n">
        <x:v>503</x:v>
      </x:c>
      <x:c r="C374" s="14" t="n">
        <x:v>46179</x:v>
      </x:c>
      <x:c r="D374" s="12" t="str">
        <x:v>Sabtu</x:v>
      </x:c>
      <x:c r="E374" s="12" t="str">
        <x:v>09:34:00</x:v>
      </x:c>
      <x:c r="F374" s="12" t="str">
        <x:v>All Shift Day</x:v>
      </x:c>
      <x:c r="G374" s="12" t="str">
        <x:v>STRL44G145</x:v>
      </x:c>
      <x:c r="H374" s="12" t="str">
        <x:v>Dump Truck</x:v>
      </x:c>
      <x:c r="I374" s="12" t="str">
        <x:v>DUMP TRUCK RENAULT KRANGE440-P6X4 A/T</x:v>
      </x:c>
      <x:c r="J374" s="16" t="n">
        <x:v>151</x:v>
      </x:c>
      <x:c r="K374" s="16" t="n">
        <x:v>4900</x:v>
      </x:c>
      <x:c r="L374" s="16" t="n">
        <x:v>4908</x:v>
      </x:c>
      <x:c r="M374" s="16" t="n">
        <x:v>8</x:v>
      </x:c>
      <x:c r="N374" s="16" t="n">
        <x:v>18.875</x:v>
      </x:c>
      <x:c r="O374" s="12" t="str">
        <x:v>FTRL44G005</x:v>
      </x:c>
      <x:c r="P374" s="12" t="str">
        <x:v>STRL44G145</x:v>
      </x:c>
      <x:c r="Q374" s="12" t="str"/>
      <x:c r="R374" s="12" t="str"/>
      <x:c r="S374" s="12" t="str"/>
      <x:c r="T374" s="12" t="str">
        <x:v>ABM</x:v>
      </x:c>
      <x:c r="U374" s="12" t="str"/>
      <x:c r="V374" s="12" t="str"/>
      <x:c r="W374" s="12" t="str"/>
      <x:c r="X374" s="12" t="str">
        <x:v>STRL44</x:v>
      </x:c>
      <x:c r="Y374" s="12" t="str">
        <x:v>FANGKI &amp; ACUNG</x:v>
      </x:c>
      <x:c r="Z374" s="12" t="str"/>
      <x:c r="AA374" s="32" t="n">
        <x:f>IFERROR(VLOOKUP(G374,Master_Unit!$A$2:$N$78,7,FALSE),"")</x:f>
        <x:v>20</x:v>
      </x:c>
      <x:c r="AB374" s="32" t="n">
        <x:f>IF(OR(N374="",AA374=""),"",N374-AA374)</x:f>
        <x:v>-1.125</x:v>
      </x:c>
      <x:c r="AC374" s="20" t="n">
        <x:f>IF(OR(N374="",AA374="",AA374=0),"",AB374/AA374)</x:f>
        <x:v>-0.05625</x:v>
      </x:c>
      <x:c r="AD374" t="str">
        <x:f>IF(AA374="","NO STANDARD",IF(AC374&lt;=Config_Status!$B$2,"EFFICIENT",IF(AC374&lt;=Config_Status!$B$3,"NORMAL",IF(AC374&lt;=Config_Status!$B$4,"WARNING","OVER CONSUMPTION"))))</x:f>
        <x:v>NORMAL</x:v>
      </x:c>
      <x:c r="AE374" t="str">
        <x:f>IFERROR(VLOOKUP(G374,Master_Unit!$A$2:$N$78,13,FALSE),"UNIT NOT FOUND")</x:f>
        <x:v>Matched</x:v>
      </x:c>
    </x:row>
    <x:row r="375">
      <x:c r="A375" s="12" t="str">
        <x:v>FU-20260606-00374</x:v>
      </x:c>
      <x:c r="B375" s="12" t="n">
        <x:v>504</x:v>
      </x:c>
      <x:c r="C375" s="14" t="n">
        <x:v>46179</x:v>
      </x:c>
      <x:c r="D375" s="12" t="str">
        <x:v>Sabtu</x:v>
      </x:c>
      <x:c r="E375" s="12" t="str">
        <x:v>09:39:00</x:v>
      </x:c>
      <x:c r="F375" s="12" t="str">
        <x:v>All Shift Day</x:v>
      </x:c>
      <x:c r="G375" s="12" t="str">
        <x:v>STRL44G157</x:v>
      </x:c>
      <x:c r="H375" s="12" t="str">
        <x:v>Dump Truck</x:v>
      </x:c>
      <x:c r="I375" s="12" t="str">
        <x:v>DUMP TRUCK RENAULT KRANGE440-P6X4 A/T</x:v>
      </x:c>
      <x:c r="J375" s="16" t="n">
        <x:v>151</x:v>
      </x:c>
      <x:c r="K375" s="16" t="n">
        <x:v>4019</x:v>
      </x:c>
      <x:c r="L375" s="16" t="n">
        <x:v>4028</x:v>
      </x:c>
      <x:c r="M375" s="16" t="n">
        <x:v>9</x:v>
      </x:c>
      <x:c r="N375" s="16" t="n">
        <x:v>16.77777777777778</x:v>
      </x:c>
      <x:c r="O375" s="12" t="str">
        <x:v>FTRL44G005</x:v>
      </x:c>
      <x:c r="P375" s="12" t="str">
        <x:v>STRL44G157</x:v>
      </x:c>
      <x:c r="Q375" s="12" t="str"/>
      <x:c r="R375" s="12" t="str"/>
      <x:c r="S375" s="12" t="str"/>
      <x:c r="T375" s="12" t="str">
        <x:v>ABM</x:v>
      </x:c>
      <x:c r="U375" s="12" t="str"/>
      <x:c r="V375" s="12" t="str"/>
      <x:c r="W375" s="12" t="str"/>
      <x:c r="X375" s="12" t="str">
        <x:v>STRL44</x:v>
      </x:c>
      <x:c r="Y375" s="12" t="str">
        <x:v>FANGKI &amp; ACUNG</x:v>
      </x:c>
      <x:c r="Z375" s="12" t="str"/>
      <x:c r="AA375" s="32" t="n">
        <x:f>IFERROR(VLOOKUP(G375,Master_Unit!$A$2:$N$78,7,FALSE),"")</x:f>
        <x:v>20</x:v>
      </x:c>
      <x:c r="AB375" s="32" t="n">
        <x:f>IF(OR(N375="",AA375=""),"",N375-AA375)</x:f>
        <x:v>-3.2222222222222214</x:v>
      </x:c>
      <x:c r="AC375" s="20" t="n">
        <x:f>IF(OR(N375="",AA375="",AA375=0),"",AB375/AA375)</x:f>
        <x:v>-0.16111111111111107</x:v>
      </x:c>
      <x:c r="AD375" t="str">
        <x:f>IF(AA375="","NO STANDARD",IF(AC375&lt;=Config_Status!$B$2,"EFFICIENT",IF(AC375&lt;=Config_Status!$B$3,"NORMAL",IF(AC375&lt;=Config_Status!$B$4,"WARNING","OVER CONSUMPTION"))))</x:f>
        <x:v>EFFICIENT</x:v>
      </x:c>
      <x:c r="AE375" t="str">
        <x:f>IFERROR(VLOOKUP(G375,Master_Unit!$A$2:$N$78,13,FALSE),"UNIT NOT FOUND")</x:f>
        <x:v>Matched</x:v>
      </x:c>
    </x:row>
    <x:row r="376">
      <x:c r="A376" s="12" t="str">
        <x:v>FU-20260606-00375</x:v>
      </x:c>
      <x:c r="B376" s="12" t="n">
        <x:v>505</x:v>
      </x:c>
      <x:c r="C376" s="14" t="n">
        <x:v>46179</x:v>
      </x:c>
      <x:c r="D376" s="12" t="str">
        <x:v>Sabtu</x:v>
      </x:c>
      <x:c r="E376" s="12" t="str">
        <x:v>09:42:00</x:v>
      </x:c>
      <x:c r="F376" s="12" t="str">
        <x:v>All Shift Day</x:v>
      </x:c>
      <x:c r="G376" s="12" t="str">
        <x:v>STRL44G149</x:v>
      </x:c>
      <x:c r="H376" s="12" t="str">
        <x:v>Dump Truck</x:v>
      </x:c>
      <x:c r="I376" s="12" t="str">
        <x:v>DUMP TRUCK RENAULT KRANGE440-P6X4 A/T</x:v>
      </x:c>
      <x:c r="J376" s="16" t="n">
        <x:v>151</x:v>
      </x:c>
      <x:c r="K376" s="16" t="n">
        <x:v>4251</x:v>
      </x:c>
      <x:c r="L376" s="16" t="n">
        <x:v>4258</x:v>
      </x:c>
      <x:c r="M376" s="16" t="n">
        <x:v>7</x:v>
      </x:c>
      <x:c r="N376" s="16" t="n">
        <x:v>21.571428571428573</x:v>
      </x:c>
      <x:c r="O376" s="12" t="str">
        <x:v>FTRL44G005</x:v>
      </x:c>
      <x:c r="P376" s="12" t="str">
        <x:v>STRL44G149</x:v>
      </x:c>
      <x:c r="Q376" s="12" t="str"/>
      <x:c r="R376" s="12" t="str"/>
      <x:c r="S376" s="12" t="str"/>
      <x:c r="T376" s="12" t="str">
        <x:v>ABM</x:v>
      </x:c>
      <x:c r="U376" s="12" t="str"/>
      <x:c r="V376" s="12" t="str"/>
      <x:c r="W376" s="12" t="str"/>
      <x:c r="X376" s="12" t="str">
        <x:v>STRL44</x:v>
      </x:c>
      <x:c r="Y376" s="12" t="str">
        <x:v>FANGKI &amp; ACUNG</x:v>
      </x:c>
      <x:c r="Z376" s="12" t="str"/>
      <x:c r="AA376" s="32" t="n">
        <x:f>IFERROR(VLOOKUP(G376,Master_Unit!$A$2:$N$78,7,FALSE),"")</x:f>
        <x:v>20</x:v>
      </x:c>
      <x:c r="AB376" s="32" t="n">
        <x:f>IF(OR(N376="",AA376=""),"",N376-AA376)</x:f>
        <x:v>1.571428571428573</x:v>
      </x:c>
      <x:c r="AC376" s="20" t="n">
        <x:f>IF(OR(N376="",AA376="",AA376=0),"",AB376/AA376)</x:f>
        <x:v>0.07857142857142865</x:v>
      </x:c>
      <x:c r="AD376" t="str">
        <x:f>IF(AA376="","NO STANDARD",IF(AC376&lt;=Config_Status!$B$2,"EFFICIENT",IF(AC376&lt;=Config_Status!$B$3,"NORMAL",IF(AC376&lt;=Config_Status!$B$4,"WARNING","OVER CONSUMPTION"))))</x:f>
        <x:v>NORMAL</x:v>
      </x:c>
      <x:c r="AE376" t="str">
        <x:f>IFERROR(VLOOKUP(G376,Master_Unit!$A$2:$N$78,13,FALSE),"UNIT NOT FOUND")</x:f>
        <x:v>Matched</x:v>
      </x:c>
    </x:row>
    <x:row r="377">
      <x:c r="A377" s="12" t="str">
        <x:v>FU-20260606-00376</x:v>
      </x:c>
      <x:c r="B377" s="12" t="n">
        <x:v>506</x:v>
      </x:c>
      <x:c r="C377" s="14" t="n">
        <x:v>46179</x:v>
      </x:c>
      <x:c r="D377" s="12" t="str">
        <x:v>Sabtu</x:v>
      </x:c>
      <x:c r="E377" s="12" t="str">
        <x:v>09:46:00</x:v>
      </x:c>
      <x:c r="F377" s="12" t="str">
        <x:v>All Shift Day</x:v>
      </x:c>
      <x:c r="G377" s="12" t="str">
        <x:v>STRL44G155</x:v>
      </x:c>
      <x:c r="H377" s="12" t="str">
        <x:v>Dump Truck</x:v>
      </x:c>
      <x:c r="I377" s="12" t="str">
        <x:v>DUMP TRUCK RENAULT KRANGE440-P6X4 A/T</x:v>
      </x:c>
      <x:c r="J377" s="16" t="n">
        <x:v>151</x:v>
      </x:c>
      <x:c r="K377" s="16" t="n">
        <x:v>3915</x:v>
      </x:c>
      <x:c r="L377" s="16" t="n">
        <x:v>3926</x:v>
      </x:c>
      <x:c r="M377" s="16" t="n">
        <x:v>11</x:v>
      </x:c>
      <x:c r="N377" s="16" t="n">
        <x:v>13.727272727272727</x:v>
      </x:c>
      <x:c r="O377" s="12" t="str">
        <x:v>FTRL44G005</x:v>
      </x:c>
      <x:c r="P377" s="12" t="str">
        <x:v>STRL44G155</x:v>
      </x:c>
      <x:c r="Q377" s="12" t="str"/>
      <x:c r="R377" s="12" t="str"/>
      <x:c r="S377" s="12" t="str"/>
      <x:c r="T377" s="12" t="str">
        <x:v>ABM</x:v>
      </x:c>
      <x:c r="U377" s="12" t="str"/>
      <x:c r="V377" s="12" t="str"/>
      <x:c r="W377" s="12" t="str"/>
      <x:c r="X377" s="12" t="str">
        <x:v>STRL44</x:v>
      </x:c>
      <x:c r="Y377" s="12" t="str">
        <x:v>FANGKI &amp; ACUNG</x:v>
      </x:c>
      <x:c r="Z377" s="12" t="str"/>
      <x:c r="AA377" s="32" t="n">
        <x:f>IFERROR(VLOOKUP(G377,Master_Unit!$A$2:$N$78,7,FALSE),"")</x:f>
        <x:v>20</x:v>
      </x:c>
      <x:c r="AB377" s="32" t="n">
        <x:f>IF(OR(N377="",AA377=""),"",N377-AA377)</x:f>
        <x:v>-6.272727272727273</x:v>
      </x:c>
      <x:c r="AC377" s="20" t="n">
        <x:f>IF(OR(N377="",AA377="",AA377=0),"",AB377/AA377)</x:f>
        <x:v>-0.31363636363636366</x:v>
      </x:c>
      <x:c r="AD377" t="str">
        <x:f>IF(AA377="","NO STANDARD",IF(AC377&lt;=Config_Status!$B$2,"EFFICIENT",IF(AC377&lt;=Config_Status!$B$3,"NORMAL",IF(AC377&lt;=Config_Status!$B$4,"WARNING","OVER CONSUMPTION"))))</x:f>
        <x:v>EFFICIENT</x:v>
      </x:c>
      <x:c r="AE377" t="str">
        <x:f>IFERROR(VLOOKUP(G377,Master_Unit!$A$2:$N$78,13,FALSE),"UNIT NOT FOUND")</x:f>
        <x:v>Matched</x:v>
      </x:c>
    </x:row>
    <x:row r="378">
      <x:c r="A378" s="12" t="str">
        <x:v>FU-20260606-00377</x:v>
      </x:c>
      <x:c r="B378" s="12" t="n">
        <x:v>507</x:v>
      </x:c>
      <x:c r="C378" s="14" t="n">
        <x:v>46179</x:v>
      </x:c>
      <x:c r="D378" s="12" t="str">
        <x:v>Sabtu</x:v>
      </x:c>
      <x:c r="E378" s="12" t="str">
        <x:v>09:51:00</x:v>
      </x:c>
      <x:c r="F378" s="12" t="str">
        <x:v>All Shift Day</x:v>
      </x:c>
      <x:c r="G378" s="12" t="str">
        <x:v>STRL44G152</x:v>
      </x:c>
      <x:c r="H378" s="12" t="str">
        <x:v>Dump Truck</x:v>
      </x:c>
      <x:c r="I378" s="12" t="str">
        <x:v>DUMP TRUCK RENAULT KRANGE440-P6X4 A/T</x:v>
      </x:c>
      <x:c r="J378" s="16" t="n">
        <x:v>114</x:v>
      </x:c>
      <x:c r="K378" s="16" t="n">
        <x:v>3656</x:v>
      </x:c>
      <x:c r="L378" s="16" t="n">
        <x:v>3664</x:v>
      </x:c>
      <x:c r="M378" s="16" t="n">
        <x:v>8</x:v>
      </x:c>
      <x:c r="N378" s="16" t="n">
        <x:v>14.25</x:v>
      </x:c>
      <x:c r="O378" s="12" t="str">
        <x:v>FTRL44G005</x:v>
      </x:c>
      <x:c r="P378" s="12" t="str">
        <x:v>STRL44G152</x:v>
      </x:c>
      <x:c r="Q378" s="12" t="str"/>
      <x:c r="R378" s="12" t="str"/>
      <x:c r="S378" s="12" t="str"/>
      <x:c r="T378" s="12" t="str">
        <x:v>ABM</x:v>
      </x:c>
      <x:c r="U378" s="12" t="str"/>
      <x:c r="V378" s="12" t="str"/>
      <x:c r="W378" s="12" t="str"/>
      <x:c r="X378" s="12" t="str">
        <x:v>STRL44</x:v>
      </x:c>
      <x:c r="Y378" s="12" t="str">
        <x:v>FANGKI &amp; ACUNG</x:v>
      </x:c>
      <x:c r="Z378" s="12" t="str"/>
      <x:c r="AA378" s="32" t="n">
        <x:f>IFERROR(VLOOKUP(G378,Master_Unit!$A$2:$N$78,7,FALSE),"")</x:f>
        <x:v>20</x:v>
      </x:c>
      <x:c r="AB378" s="32" t="n">
        <x:f>IF(OR(N378="",AA378=""),"",N378-AA378)</x:f>
        <x:v>-5.75</x:v>
      </x:c>
      <x:c r="AC378" s="20" t="n">
        <x:f>IF(OR(N378="",AA378="",AA378=0),"",AB378/AA378)</x:f>
        <x:v>-0.2875</x:v>
      </x:c>
      <x:c r="AD378" t="str">
        <x:f>IF(AA378="","NO STANDARD",IF(AC378&lt;=Config_Status!$B$2,"EFFICIENT",IF(AC378&lt;=Config_Status!$B$3,"NORMAL",IF(AC378&lt;=Config_Status!$B$4,"WARNING","OVER CONSUMPTION"))))</x:f>
        <x:v>EFFICIENT</x:v>
      </x:c>
      <x:c r="AE378" t="str">
        <x:f>IFERROR(VLOOKUP(G378,Master_Unit!$A$2:$N$78,13,FALSE),"UNIT NOT FOUND")</x:f>
        <x:v>Matched</x:v>
      </x:c>
    </x:row>
    <x:row r="379">
      <x:c r="A379" s="12" t="str">
        <x:v>FU-20260606-00378</x:v>
      </x:c>
      <x:c r="B379" s="12" t="n">
        <x:v>508</x:v>
      </x:c>
      <x:c r="C379" s="14" t="n">
        <x:v>46179</x:v>
      </x:c>
      <x:c r="D379" s="12" t="str">
        <x:v>Sabtu</x:v>
      </x:c>
      <x:c r="E379" s="12" t="str">
        <x:v>09:53:00</x:v>
      </x:c>
      <x:c r="F379" s="12" t="str">
        <x:v>All Shift Day</x:v>
      </x:c>
      <x:c r="G379" s="12" t="str">
        <x:v>STRL44G147</x:v>
      </x:c>
      <x:c r="H379" s="12" t="str">
        <x:v>Dump Truck</x:v>
      </x:c>
      <x:c r="I379" s="12" t="str">
        <x:v>DUMP TRUCK RENAULT KRANGE440-P6X4 A/T</x:v>
      </x:c>
      <x:c r="J379" s="16" t="n">
        <x:v>151</x:v>
      </x:c>
      <x:c r="K379" s="16" t="n">
        <x:v>4971</x:v>
      </x:c>
      <x:c r="L379" s="16" t="n">
        <x:v>4981</x:v>
      </x:c>
      <x:c r="M379" s="16" t="n">
        <x:v>10</x:v>
      </x:c>
      <x:c r="N379" s="16" t="n">
        <x:v>15.1</x:v>
      </x:c>
      <x:c r="O379" s="12" t="str">
        <x:v>FTRL44G005</x:v>
      </x:c>
      <x:c r="P379" s="12" t="str">
        <x:v>STRL44G147</x:v>
      </x:c>
      <x:c r="Q379" s="12" t="str"/>
      <x:c r="R379" s="12" t="str"/>
      <x:c r="S379" s="12" t="str"/>
      <x:c r="T379" s="12" t="str">
        <x:v>ABM</x:v>
      </x:c>
      <x:c r="U379" s="12" t="str"/>
      <x:c r="V379" s="12" t="str"/>
      <x:c r="W379" s="12" t="str"/>
      <x:c r="X379" s="12" t="str">
        <x:v>STRL44</x:v>
      </x:c>
      <x:c r="Y379" s="12" t="str">
        <x:v>FANGKI &amp; ACUNG</x:v>
      </x:c>
      <x:c r="Z379" s="12" t="str"/>
      <x:c r="AA379" s="32" t="n">
        <x:f>IFERROR(VLOOKUP(G379,Master_Unit!$A$2:$N$78,7,FALSE),"")</x:f>
        <x:v>20</x:v>
      </x:c>
      <x:c r="AB379" s="32" t="n">
        <x:f>IF(OR(N379="",AA379=""),"",N379-AA379)</x:f>
        <x:v>-4.9</x:v>
      </x:c>
      <x:c r="AC379" s="20" t="n">
        <x:f>IF(OR(N379="",AA379="",AA379=0),"",AB379/AA379)</x:f>
        <x:v>-0.24500000000000002</x:v>
      </x:c>
      <x:c r="AD379" t="str">
        <x:f>IF(AA379="","NO STANDARD",IF(AC379&lt;=Config_Status!$B$2,"EFFICIENT",IF(AC379&lt;=Config_Status!$B$3,"NORMAL",IF(AC379&lt;=Config_Status!$B$4,"WARNING","OVER CONSUMPTION"))))</x:f>
        <x:v>EFFICIENT</x:v>
      </x:c>
      <x:c r="AE379" t="str">
        <x:f>IFERROR(VLOOKUP(G379,Master_Unit!$A$2:$N$78,13,FALSE),"UNIT NOT FOUND")</x:f>
        <x:v>Matched</x:v>
      </x:c>
    </x:row>
    <x:row r="380">
      <x:c r="A380" s="12" t="str">
        <x:v>FU-20260606-00379</x:v>
      </x:c>
      <x:c r="B380" s="12" t="n">
        <x:v>509</x:v>
      </x:c>
      <x:c r="C380" s="14" t="n">
        <x:v>46179</x:v>
      </x:c>
      <x:c r="D380" s="12" t="str">
        <x:v>Sabtu</x:v>
      </x:c>
      <x:c r="E380" s="12" t="str">
        <x:v>10:39:00</x:v>
      </x:c>
      <x:c r="F380" s="12" t="str">
        <x:v>All Shift Day</x:v>
      </x:c>
      <x:c r="G380" s="12" t="str">
        <x:v>MHHN13G006</x:v>
      </x:c>
      <x:c r="H380" s="12" t="str">
        <x:v>Other</x:v>
      </x:c>
      <x:c r="I380" s="12" t="str">
        <x:v>MAIN HAUL HINO 136-HDL</x:v>
      </x:c>
      <x:c r="J380" s="16" t="n">
        <x:v>54</x:v>
      </x:c>
      <x:c r="K380" s="16" t="n">
        <x:v>10385</x:v>
      </x:c>
      <x:c r="L380" s="16" t="n">
        <x:v>10508</x:v>
      </x:c>
      <x:c r="M380" s="16" t="n">
        <x:v>123</x:v>
      </x:c>
      <x:c r="N380" s="16" t="n">
        <x:v>0.43902439024390244</x:v>
      </x:c>
      <x:c r="O380" s="12" t="str">
        <x:v>FTRL44G005</x:v>
      </x:c>
      <x:c r="P380" s="12" t="str">
        <x:v>MHHN13G006</x:v>
      </x:c>
      <x:c r="Q380" s="12" t="str"/>
      <x:c r="R380" s="12" t="str"/>
      <x:c r="S380" s="12" t="str"/>
      <x:c r="T380" s="12" t="str">
        <x:v>ABM</x:v>
      </x:c>
      <x:c r="U380" s="12" t="str"/>
      <x:c r="V380" s="12" t="str"/>
      <x:c r="W380" s="12" t="str"/>
      <x:c r="X380" s="12" t="str">
        <x:v>MHHN13</x:v>
      </x:c>
      <x:c r="Y380" s="12" t="str">
        <x:v>FANGKI &amp; ACUNG</x:v>
      </x:c>
      <x:c r="Z380" s="12" t="str"/>
      <x:c r="AA380" s="32" t="n">
        <x:f>IFERROR(VLOOKUP(G380,Master_Unit!$A$2:$N$78,7,FALSE),"")</x:f>
        <x:v>0.5</x:v>
      </x:c>
      <x:c r="AB380" s="32" t="n">
        <x:f>IF(OR(N380="",AA380=""),"",N380-AA380)</x:f>
        <x:v>-0.06097560975609756</x:v>
      </x:c>
      <x:c r="AC380" s="20" t="n">
        <x:f>IF(OR(N380="",AA380="",AA380=0),"",AB380/AA380)</x:f>
        <x:v>-0.12195121951219512</x:v>
      </x:c>
      <x:c r="AD380" t="str">
        <x:f>IF(AA380="","NO STANDARD",IF(AC380&lt;=Config_Status!$B$2,"EFFICIENT",IF(AC380&lt;=Config_Status!$B$3,"NORMAL",IF(AC380&lt;=Config_Status!$B$4,"WARNING","OVER CONSUMPTION"))))</x:f>
        <x:v>EFFICIENT</x:v>
      </x:c>
      <x:c r="AE380" t="str">
        <x:f>IFERROR(VLOOKUP(G380,Master_Unit!$A$2:$N$78,13,FALSE),"UNIT NOT FOUND")</x:f>
        <x:v>Matched</x:v>
      </x:c>
    </x:row>
    <x:row r="381">
      <x:c r="A381" s="12" t="str">
        <x:v>FU-20260606-00380</x:v>
      </x:c>
      <x:c r="B381" s="12" t="n">
        <x:v>510</x:v>
      </x:c>
      <x:c r="C381" s="14" t="n">
        <x:v>46179</x:v>
      </x:c>
      <x:c r="D381" s="12" t="str">
        <x:v>Sabtu</x:v>
      </x:c>
      <x:c r="E381" s="12" t="str">
        <x:v>11:00:00</x:v>
      </x:c>
      <x:c r="F381" s="12" t="str">
        <x:v>All Shift Day</x:v>
      </x:c>
      <x:c r="G381" s="12" t="str">
        <x:v>EXVV35G004</x:v>
      </x:c>
      <x:c r="H381" s="12" t="str">
        <x:v>Excavator</x:v>
      </x:c>
      <x:c r="I381" s="12" t="str">
        <x:v>EXCAVATOR VOLVO EC350D</x:v>
      </x:c>
      <x:c r="J381" s="16" t="n">
        <x:v>213</x:v>
      </x:c>
      <x:c r="K381" s="16" t="n">
        <x:v>2500.3</x:v>
      </x:c>
      <x:c r="L381" s="16" t="n">
        <x:v>2510.4</x:v>
      </x:c>
      <x:c r="M381" s="16" t="n">
        <x:v>10.099999999999909</x:v>
      </x:c>
      <x:c r="N381" s="16" t="n">
        <x:v>21.08910891089128</x:v>
      </x:c>
      <x:c r="O381" s="12" t="str">
        <x:v>FTRL44G005</x:v>
      </x:c>
      <x:c r="P381" s="12" t="str">
        <x:v>EXVV35G004</x:v>
      </x:c>
      <x:c r="Q381" s="12" t="str"/>
      <x:c r="R381" s="12" t="str"/>
      <x:c r="S381" s="12" t="str"/>
      <x:c r="T381" s="12" t="str">
        <x:v>ABM</x:v>
      </x:c>
      <x:c r="U381" s="12" t="str"/>
      <x:c r="V381" s="12" t="str"/>
      <x:c r="W381" s="12" t="str"/>
      <x:c r="X381" s="12" t="str">
        <x:v>EXVV35</x:v>
      </x:c>
      <x:c r="Y381" s="12" t="str">
        <x:v>FANGKI &amp; ACUNG</x:v>
      </x:c>
      <x:c r="Z381" s="12" t="str"/>
      <x:c r="AA381" s="32" t="n">
        <x:f>IFERROR(VLOOKUP(G381,Master_Unit!$A$2:$N$78,7,FALSE),"")</x:f>
        <x:v>25</x:v>
      </x:c>
      <x:c r="AB381" s="32" t="n">
        <x:f>IF(OR(N381="",AA381=""),"",N381-AA381)</x:f>
        <x:v>-3.91089108910872</x:v>
      </x:c>
      <x:c r="AC381" s="20" t="n">
        <x:f>IF(OR(N381="",AA381="",AA381=0),"",AB381/AA381)</x:f>
        <x:v>-0.1564356435643488</x:v>
      </x:c>
      <x:c r="AD381" t="str">
        <x:f>IF(AA381="","NO STANDARD",IF(AC381&lt;=Config_Status!$B$2,"EFFICIENT",IF(AC381&lt;=Config_Status!$B$3,"NORMAL",IF(AC381&lt;=Config_Status!$B$4,"WARNING","OVER CONSUMPTION"))))</x:f>
        <x:v>EFFICIENT</x:v>
      </x:c>
      <x:c r="AE381" t="str">
        <x:f>IFERROR(VLOOKUP(G381,Master_Unit!$A$2:$N$78,13,FALSE),"UNIT NOT FOUND")</x:f>
        <x:v>Matched</x:v>
      </x:c>
    </x:row>
    <x:row r="382">
      <x:c r="A382" s="12" t="str">
        <x:v>FU-20260606-00381</x:v>
      </x:c>
      <x:c r="B382" s="12" t="n">
        <x:v>511</x:v>
      </x:c>
      <x:c r="C382" s="14" t="n">
        <x:v>46179</x:v>
      </x:c>
      <x:c r="D382" s="12" t="str">
        <x:v>Sabtu</x:v>
      </x:c>
      <x:c r="E382" s="12" t="str">
        <x:v>11:06:00</x:v>
      </x:c>
      <x:c r="F382" s="12" t="str">
        <x:v>All Shift Day</x:v>
      </x:c>
      <x:c r="G382" s="12" t="str">
        <x:v>EXVV21G036</x:v>
      </x:c>
      <x:c r="H382" s="12" t="str">
        <x:v>Excavator</x:v>
      </x:c>
      <x:c r="I382" s="12" t="str">
        <x:v>EXCAVATOR VOLVO EC210D</x:v>
      </x:c>
      <x:c r="J382" s="16" t="n">
        <x:v>121</x:v>
      </x:c>
      <x:c r="K382" s="16" t="n">
        <x:v>7508.7</x:v>
      </x:c>
      <x:c r="L382" s="16" t="n">
        <x:v>7517.5</x:v>
      </x:c>
      <x:c r="M382" s="16" t="n">
        <x:v>8.800000000000182</x:v>
      </x:c>
      <x:c r="N382" s="16" t="n">
        <x:v>13.749999999999716</x:v>
      </x:c>
      <x:c r="O382" s="12" t="str">
        <x:v>FTRL44G005</x:v>
      </x:c>
      <x:c r="P382" s="12" t="str">
        <x:v>EXVV21G036</x:v>
      </x:c>
      <x:c r="Q382" s="12" t="str"/>
      <x:c r="R382" s="12" t="str"/>
      <x:c r="S382" s="12" t="str"/>
      <x:c r="T382" s="12" t="str">
        <x:v>ABM</x:v>
      </x:c>
      <x:c r="U382" s="12" t="str"/>
      <x:c r="V382" s="12" t="str"/>
      <x:c r="W382" s="12" t="str"/>
      <x:c r="X382" s="12" t="str">
        <x:v>EXVV21</x:v>
      </x:c>
      <x:c r="Y382" s="12" t="str">
        <x:v>FANGKI &amp; ACUNG</x:v>
      </x:c>
      <x:c r="Z382" s="12" t="str"/>
      <x:c r="AA382" s="32" t="n">
        <x:f>IFERROR(VLOOKUP(G382,Master_Unit!$A$2:$N$78,7,FALSE),"")</x:f>
        <x:v>20</x:v>
      </x:c>
      <x:c r="AB382" s="32" t="n">
        <x:f>IF(OR(N382="",AA382=""),"",N382-AA382)</x:f>
        <x:v>-6.250000000000284</x:v>
      </x:c>
      <x:c r="AC382" s="20" t="n">
        <x:f>IF(OR(N382="",AA382="",AA382=0),"",AB382/AA382)</x:f>
        <x:v>-0.3125000000000142</x:v>
      </x:c>
      <x:c r="AD382" t="str">
        <x:f>IF(AA382="","NO STANDARD",IF(AC382&lt;=Config_Status!$B$2,"EFFICIENT",IF(AC382&lt;=Config_Status!$B$3,"NORMAL",IF(AC382&lt;=Config_Status!$B$4,"WARNING","OVER CONSUMPTION"))))</x:f>
        <x:v>EFFICIENT</x:v>
      </x:c>
      <x:c r="AE382" t="str">
        <x:f>IFERROR(VLOOKUP(G382,Master_Unit!$A$2:$N$78,13,FALSE),"UNIT NOT FOUND")</x:f>
        <x:v>Matched</x:v>
      </x:c>
    </x:row>
    <x:row r="383">
      <x:c r="A383" s="12" t="str">
        <x:v>FU-20260606-00382</x:v>
      </x:c>
      <x:c r="B383" s="12" t="n">
        <x:v>512</x:v>
      </x:c>
      <x:c r="C383" s="14" t="n">
        <x:v>46179</x:v>
      </x:c>
      <x:c r="D383" s="12" t="str">
        <x:v>Sabtu</x:v>
      </x:c>
      <x:c r="E383" s="12" t="str">
        <x:v>11:12:00</x:v>
      </x:c>
      <x:c r="F383" s="12" t="str">
        <x:v>All Shift Day</x:v>
      </x:c>
      <x:c r="G383" s="12" t="str">
        <x:v>STRL44G143</x:v>
      </x:c>
      <x:c r="H383" s="12" t="str">
        <x:v>Dump Truck</x:v>
      </x:c>
      <x:c r="I383" s="12" t="str">
        <x:v>DUMP TRUCK RENAULT KRANGE440-P6X4 A/T</x:v>
      </x:c>
      <x:c r="J383" s="16" t="n">
        <x:v>151</x:v>
      </x:c>
      <x:c r="K383" s="16" t="n">
        <x:v>5191</x:v>
      </x:c>
      <x:c r="L383" s="16" t="n">
        <x:v>5201</x:v>
      </x:c>
      <x:c r="M383" s="16" t="n">
        <x:v>10</x:v>
      </x:c>
      <x:c r="N383" s="16" t="n">
        <x:v>15.1</x:v>
      </x:c>
      <x:c r="O383" s="12" t="str">
        <x:v>FTRL44G005</x:v>
      </x:c>
      <x:c r="P383" s="12" t="str">
        <x:v>STRL44G143</x:v>
      </x:c>
      <x:c r="Q383" s="12" t="str"/>
      <x:c r="R383" s="12" t="str"/>
      <x:c r="S383" s="12" t="str"/>
      <x:c r="T383" s="12" t="str">
        <x:v>ABM</x:v>
      </x:c>
      <x:c r="U383" s="12" t="str"/>
      <x:c r="V383" s="12" t="str"/>
      <x:c r="W383" s="12" t="str"/>
      <x:c r="X383" s="12" t="str">
        <x:v>STRL44</x:v>
      </x:c>
      <x:c r="Y383" s="12" t="str">
        <x:v>FANGKI &amp; ACUNG</x:v>
      </x:c>
      <x:c r="Z383" s="12" t="str"/>
      <x:c r="AA383" s="32" t="n">
        <x:f>IFERROR(VLOOKUP(G383,Master_Unit!$A$2:$N$78,7,FALSE),"")</x:f>
        <x:v>20</x:v>
      </x:c>
      <x:c r="AB383" s="32" t="n">
        <x:f>IF(OR(N383="",AA383=""),"",N383-AA383)</x:f>
        <x:v>-4.9</x:v>
      </x:c>
      <x:c r="AC383" s="20" t="n">
        <x:f>IF(OR(N383="",AA383="",AA383=0),"",AB383/AA383)</x:f>
        <x:v>-0.24500000000000002</x:v>
      </x:c>
      <x:c r="AD383" t="str">
        <x:f>IF(AA383="","NO STANDARD",IF(AC383&lt;=Config_Status!$B$2,"EFFICIENT",IF(AC383&lt;=Config_Status!$B$3,"NORMAL",IF(AC383&lt;=Config_Status!$B$4,"WARNING","OVER CONSUMPTION"))))</x:f>
        <x:v>EFFICIENT</x:v>
      </x:c>
      <x:c r="AE383" t="str">
        <x:f>IFERROR(VLOOKUP(G383,Master_Unit!$A$2:$N$78,13,FALSE),"UNIT NOT FOUND")</x:f>
        <x:v>Matched</x:v>
      </x:c>
    </x:row>
    <x:row r="384">
      <x:c r="A384" s="12" t="str">
        <x:v>FU-20260606-00383</x:v>
      </x:c>
      <x:c r="B384" s="12" t="n">
        <x:v>513</x:v>
      </x:c>
      <x:c r="C384" s="14" t="n">
        <x:v>46179</x:v>
      </x:c>
      <x:c r="D384" s="12" t="str">
        <x:v>Sabtu</x:v>
      </x:c>
      <x:c r="E384" s="12" t="str">
        <x:v>11:16:00</x:v>
      </x:c>
      <x:c r="F384" s="12" t="str">
        <x:v>All Shift Day</x:v>
      </x:c>
      <x:c r="G384" s="12" t="str">
        <x:v>STRL44G151</x:v>
      </x:c>
      <x:c r="H384" s="12" t="str">
        <x:v>Dump Truck</x:v>
      </x:c>
      <x:c r="I384" s="12" t="str">
        <x:v>DUMP TRUCK RENAULT KRANGE440-P6X4 A/T</x:v>
      </x:c>
      <x:c r="J384" s="16" t="n">
        <x:v>150</x:v>
      </x:c>
      <x:c r="K384" s="16" t="n">
        <x:v>4354</x:v>
      </x:c>
      <x:c r="L384" s="16" t="n">
        <x:v>4363</x:v>
      </x:c>
      <x:c r="M384" s="16" t="n">
        <x:v>9</x:v>
      </x:c>
      <x:c r="N384" s="16" t="n">
        <x:v>16.666666666666668</x:v>
      </x:c>
      <x:c r="O384" s="12" t="str">
        <x:v>FTRL44G005</x:v>
      </x:c>
      <x:c r="P384" s="12" t="str">
        <x:v>STRL44G151</x:v>
      </x:c>
      <x:c r="Q384" s="12" t="str"/>
      <x:c r="R384" s="12" t="str"/>
      <x:c r="S384" s="12" t="str"/>
      <x:c r="T384" s="12" t="str">
        <x:v>ABM</x:v>
      </x:c>
      <x:c r="U384" s="12" t="str"/>
      <x:c r="V384" s="12" t="str"/>
      <x:c r="W384" s="12" t="str"/>
      <x:c r="X384" s="12" t="str">
        <x:v>STRL44</x:v>
      </x:c>
      <x:c r="Y384" s="12" t="str">
        <x:v>FANGKI &amp; ACUNG</x:v>
      </x:c>
      <x:c r="Z384" s="12" t="str"/>
      <x:c r="AA384" s="32" t="n">
        <x:f>IFERROR(VLOOKUP(G384,Master_Unit!$A$2:$N$78,7,FALSE),"")</x:f>
        <x:v>20</x:v>
      </x:c>
      <x:c r="AB384" s="32" t="n">
        <x:f>IF(OR(N384="",AA384=""),"",N384-AA384)</x:f>
        <x:v>-3.333333333333332</x:v>
      </x:c>
      <x:c r="AC384" s="20" t="n">
        <x:f>IF(OR(N384="",AA384="",AA384=0),"",AB384/AA384)</x:f>
        <x:v>-0.1666666666666666</x:v>
      </x:c>
      <x:c r="AD384" t="str">
        <x:f>IF(AA384="","NO STANDARD",IF(AC384&lt;=Config_Status!$B$2,"EFFICIENT",IF(AC384&lt;=Config_Status!$B$3,"NORMAL",IF(AC384&lt;=Config_Status!$B$4,"WARNING","OVER CONSUMPTION"))))</x:f>
        <x:v>EFFICIENT</x:v>
      </x:c>
      <x:c r="AE384" t="str">
        <x:f>IFERROR(VLOOKUP(G384,Master_Unit!$A$2:$N$78,13,FALSE),"UNIT NOT FOUND")</x:f>
        <x:v>Matched</x:v>
      </x:c>
    </x:row>
    <x:row r="385">
      <x:c r="A385" s="12" t="str">
        <x:v>FU-20260606-00384</x:v>
      </x:c>
      <x:c r="B385" s="12" t="n">
        <x:v>514</x:v>
      </x:c>
      <x:c r="C385" s="14" t="n">
        <x:v>46179</x:v>
      </x:c>
      <x:c r="D385" s="12" t="str">
        <x:v>Sabtu</x:v>
      </x:c>
      <x:c r="E385" s="12" t="str">
        <x:v>11:19:00</x:v>
      </x:c>
      <x:c r="F385" s="12" t="str">
        <x:v>All Shift Day</x:v>
      </x:c>
      <x:c r="G385" s="12" t="str">
        <x:v>TLYM50G020</x:v>
      </x:c>
      <x:c r="H385" s="12" t="str">
        <x:v>Other</x:v>
      </x:c>
      <x:c r="I385" s="12" t="str">
        <x:v>TOWERLAMP YAMAGEN YDG5001SE-D-TLD4</x:v>
      </x:c>
      <x:c r="J385" s="16" t="n">
        <x:v>15</x:v>
      </x:c>
      <x:c r="K385" s="16" t="n">
        <x:v>4489.66</x:v>
      </x:c>
      <x:c r="L385" s="16" t="n">
        <x:v>4510.69</x:v>
      </x:c>
      <x:c r="M385" s="16" t="n">
        <x:v>21.029999999999745</x:v>
      </x:c>
      <x:c r="N385" s="16" t="n">
        <x:v>0.7132667617689102</x:v>
      </x:c>
      <x:c r="O385" s="12" t="str">
        <x:v>FTRL44G005</x:v>
      </x:c>
      <x:c r="P385" s="12" t="str">
        <x:v>TLYM50G020</x:v>
      </x:c>
      <x:c r="Q385" s="12" t="str"/>
      <x:c r="R385" s="12" t="str"/>
      <x:c r="S385" s="12" t="str"/>
      <x:c r="T385" s="12" t="str">
        <x:v>ABM</x:v>
      </x:c>
      <x:c r="U385" s="12" t="str"/>
      <x:c r="V385" s="12" t="str"/>
      <x:c r="W385" s="12" t="str"/>
      <x:c r="X385" s="12" t="str">
        <x:v>TLYM50</x:v>
      </x:c>
      <x:c r="Y385" s="12" t="str">
        <x:v>FANGKI &amp; ACUNG</x:v>
      </x:c>
      <x:c r="Z385" s="12" t="str"/>
      <x:c r="AA385" s="32" t="n">
        <x:f>IFERROR(VLOOKUP(G385,Master_Unit!$A$2:$N$78,7,FALSE),"")</x:f>
        <x:v>2</x:v>
      </x:c>
      <x:c r="AB385" s="32" t="n">
        <x:f>IF(OR(N385="",AA385=""),"",N385-AA385)</x:f>
        <x:v>-1.2867332382310899</x:v>
      </x:c>
      <x:c r="AC385" s="20" t="n">
        <x:f>IF(OR(N385="",AA385="",AA385=0),"",AB385/AA385)</x:f>
        <x:v>-0.6433666191155449</x:v>
      </x:c>
      <x:c r="AD385" t="str">
        <x:f>IF(AA385="","NO STANDARD",IF(AC385&lt;=Config_Status!$B$2,"EFFICIENT",IF(AC385&lt;=Config_Status!$B$3,"NORMAL",IF(AC385&lt;=Config_Status!$B$4,"WARNING","OVER CONSUMPTION"))))</x:f>
        <x:v>EFFICIENT</x:v>
      </x:c>
      <x:c r="AE385" t="str">
        <x:f>IFERROR(VLOOKUP(G385,Master_Unit!$A$2:$N$78,13,FALSE),"UNIT NOT FOUND")</x:f>
        <x:v>Matched</x:v>
      </x:c>
    </x:row>
    <x:row r="386">
      <x:c r="A386" s="12" t="str">
        <x:v>FU-20260606-00385</x:v>
      </x:c>
      <x:c r="B386" s="12" t="n">
        <x:v>515</x:v>
      </x:c>
      <x:c r="C386" s="14" t="n">
        <x:v>46179</x:v>
      </x:c>
      <x:c r="D386" s="12" t="str">
        <x:v>Sabtu</x:v>
      </x:c>
      <x:c r="E386" s="12" t="str">
        <x:v>11:23:00</x:v>
      </x:c>
      <x:c r="F386" s="12" t="str">
        <x:v>All Shift Day</x:v>
      </x:c>
      <x:c r="G386" s="12" t="str">
        <x:v>TLYM50G019</x:v>
      </x:c>
      <x:c r="H386" s="12" t="str">
        <x:v>Other</x:v>
      </x:c>
      <x:c r="I386" s="12" t="str">
        <x:v>TOWERLAMP YAMAGEN YDG5001SE-D-TLD4</x:v>
      </x:c>
      <x:c r="J386" s="16" t="n">
        <x:v>15</x:v>
      </x:c>
      <x:c r="K386" s="16" t="n">
        <x:v>4631.849999999999</x:v>
      </x:c>
      <x:c r="L386" s="16" t="n">
        <x:v>4652.24</x:v>
      </x:c>
      <x:c r="M386" s="16" t="n">
        <x:v>20.390000000000327</x:v>
      </x:c>
      <x:c r="N386" s="16" t="n">
        <x:v>0.735654732712102</x:v>
      </x:c>
      <x:c r="O386" s="12" t="str">
        <x:v>FTRL44G005</x:v>
      </x:c>
      <x:c r="P386" s="12" t="str">
        <x:v>TLYM50G019</x:v>
      </x:c>
      <x:c r="Q386" s="12" t="str"/>
      <x:c r="R386" s="12" t="str"/>
      <x:c r="S386" s="12" t="str"/>
      <x:c r="T386" s="12" t="str">
        <x:v>ABM</x:v>
      </x:c>
      <x:c r="U386" s="12" t="str"/>
      <x:c r="V386" s="12" t="str"/>
      <x:c r="W386" s="12" t="str"/>
      <x:c r="X386" s="12" t="str">
        <x:v>TLYM50</x:v>
      </x:c>
      <x:c r="Y386" s="12" t="str">
        <x:v>FANGKI &amp; ACUNG</x:v>
      </x:c>
      <x:c r="Z386" s="12" t="str"/>
      <x:c r="AA386" s="32" t="n">
        <x:f>IFERROR(VLOOKUP(G386,Master_Unit!$A$2:$N$78,7,FALSE),"")</x:f>
        <x:v>2</x:v>
      </x:c>
      <x:c r="AB386" s="32" t="n">
        <x:f>IF(OR(N386="",AA386=""),"",N386-AA386)</x:f>
        <x:v>-1.264345267287898</x:v>
      </x:c>
      <x:c r="AC386" s="20" t="n">
        <x:f>IF(OR(N386="",AA386="",AA386=0),"",AB386/AA386)</x:f>
        <x:v>-0.632172633643949</x:v>
      </x:c>
      <x:c r="AD386" t="str">
        <x:f>IF(AA386="","NO STANDARD",IF(AC386&lt;=Config_Status!$B$2,"EFFICIENT",IF(AC386&lt;=Config_Status!$B$3,"NORMAL",IF(AC386&lt;=Config_Status!$B$4,"WARNING","OVER CONSUMPTION"))))</x:f>
        <x:v>EFFICIENT</x:v>
      </x:c>
      <x:c r="AE386" t="str">
        <x:f>IFERROR(VLOOKUP(G386,Master_Unit!$A$2:$N$78,13,FALSE),"UNIT NOT FOUND")</x:f>
        <x:v>Matched</x:v>
      </x:c>
    </x:row>
    <x:row r="387">
      <x:c r="A387" s="12" t="str">
        <x:v>FU-20260606-00386</x:v>
      </x:c>
      <x:c r="B387" s="12" t="n">
        <x:v>516</x:v>
      </x:c>
      <x:c r="C387" s="14" t="n">
        <x:v>46179</x:v>
      </x:c>
      <x:c r="D387" s="12" t="str">
        <x:v>Sabtu</x:v>
      </x:c>
      <x:c r="E387" s="12" t="str">
        <x:v>11:28:00</x:v>
      </x:c>
      <x:c r="F387" s="12" t="str">
        <x:v>All Shift Day</x:v>
      </x:c>
      <x:c r="G387" s="12" t="str">
        <x:v>EXVV35G006</x:v>
      </x:c>
      <x:c r="H387" s="12" t="str">
        <x:v>Excavator</x:v>
      </x:c>
      <x:c r="I387" s="12" t="str">
        <x:v>EXCAVATOR VOLVO EC350D</x:v>
      </x:c>
      <x:c r="J387" s="16" t="n">
        <x:v>213</x:v>
      </x:c>
      <x:c r="K387" s="16" t="n">
        <x:v>3112.4</x:v>
      </x:c>
      <x:c r="L387" s="16" t="n">
        <x:v>3124.5</x:v>
      </x:c>
      <x:c r="M387" s="16" t="n">
        <x:v>12.099999999999909</x:v>
      </x:c>
      <x:c r="N387" s="16" t="n">
        <x:v>17.6033057851241</x:v>
      </x:c>
      <x:c r="O387" s="12" t="str">
        <x:v>FTRL44G005</x:v>
      </x:c>
      <x:c r="P387" s="12" t="str">
        <x:v>EXVV35G006</x:v>
      </x:c>
      <x:c r="Q387" s="12" t="str"/>
      <x:c r="R387" s="12" t="str"/>
      <x:c r="S387" s="12" t="str"/>
      <x:c r="T387" s="12" t="str">
        <x:v>ABM</x:v>
      </x:c>
      <x:c r="U387" s="12" t="str"/>
      <x:c r="V387" s="12" t="str"/>
      <x:c r="W387" s="12" t="str"/>
      <x:c r="X387" s="12" t="str">
        <x:v>EXVV35</x:v>
      </x:c>
      <x:c r="Y387" s="12" t="str">
        <x:v>FANGKI &amp; ACUNG</x:v>
      </x:c>
      <x:c r="Z387" s="12" t="str"/>
      <x:c r="AA387" s="32" t="n">
        <x:f>IFERROR(VLOOKUP(G387,Master_Unit!$A$2:$N$78,7,FALSE),"")</x:f>
        <x:v>25</x:v>
      </x:c>
      <x:c r="AB387" s="32" t="n">
        <x:f>IF(OR(N387="",AA387=""),"",N387-AA387)</x:f>
        <x:v>-7.3966942148759</x:v>
      </x:c>
      <x:c r="AC387" s="20" t="n">
        <x:f>IF(OR(N387="",AA387="",AA387=0),"",AB387/AA387)</x:f>
        <x:v>-0.295867768595036</x:v>
      </x:c>
      <x:c r="AD387" t="str">
        <x:f>IF(AA387="","NO STANDARD",IF(AC387&lt;=Config_Status!$B$2,"EFFICIENT",IF(AC387&lt;=Config_Status!$B$3,"NORMAL",IF(AC387&lt;=Config_Status!$B$4,"WARNING","OVER CONSUMPTION"))))</x:f>
        <x:v>EFFICIENT</x:v>
      </x:c>
      <x:c r="AE387" t="str">
        <x:f>IFERROR(VLOOKUP(G387,Master_Unit!$A$2:$N$78,13,FALSE),"UNIT NOT FOUND")</x:f>
        <x:v>Matched</x:v>
      </x:c>
    </x:row>
    <x:row r="388">
      <x:c r="A388" s="12" t="str">
        <x:v>FU-20260606-00387</x:v>
      </x:c>
      <x:c r="B388" s="12" t="n">
        <x:v>517</x:v>
      </x:c>
      <x:c r="C388" s="14" t="n">
        <x:v>46179</x:v>
      </x:c>
      <x:c r="D388" s="12" t="str">
        <x:v>Sabtu</x:v>
      </x:c>
      <x:c r="E388" s="12" t="str">
        <x:v>11:33:00</x:v>
      </x:c>
      <x:c r="F388" s="12" t="str">
        <x:v>All Shift Day</x:v>
      </x:c>
      <x:c r="G388" s="12" t="str">
        <x:v>EXVV21G040</x:v>
      </x:c>
      <x:c r="H388" s="12" t="str">
        <x:v>Excavator</x:v>
      </x:c>
      <x:c r="I388" s="12" t="str">
        <x:v>EXCAVATOR VOLVO EC210D</x:v>
      </x:c>
      <x:c r="J388" s="16" t="n">
        <x:v>119</x:v>
      </x:c>
      <x:c r="K388" s="16" t="n">
        <x:v>6533.1</x:v>
      </x:c>
      <x:c r="L388" s="16" t="n">
        <x:v>6539.4</x:v>
      </x:c>
      <x:c r="M388" s="16" t="n">
        <x:v>6.299999999999272</x:v>
      </x:c>
      <x:c r="N388" s="16" t="n">
        <x:v>18.88888888889107</x:v>
      </x:c>
      <x:c r="O388" s="12" t="str">
        <x:v>FTRL44G005</x:v>
      </x:c>
      <x:c r="P388" s="12" t="str">
        <x:v>EXVV21G040</x:v>
      </x:c>
      <x:c r="Q388" s="12" t="str"/>
      <x:c r="R388" s="12" t="str"/>
      <x:c r="S388" s="12" t="str"/>
      <x:c r="T388" s="12" t="str">
        <x:v>ABM</x:v>
      </x:c>
      <x:c r="U388" s="12" t="str"/>
      <x:c r="V388" s="12" t="str"/>
      <x:c r="W388" s="12" t="str"/>
      <x:c r="X388" s="12" t="str">
        <x:v>EXVV21</x:v>
      </x:c>
      <x:c r="Y388" s="12" t="str">
        <x:v>FANGKI &amp; ACUNG</x:v>
      </x:c>
      <x:c r="Z388" s="12" t="str"/>
      <x:c r="AA388" s="32" t="n">
        <x:f>IFERROR(VLOOKUP(G388,Master_Unit!$A$2:$N$78,7,FALSE),"")</x:f>
        <x:v>20</x:v>
      </x:c>
      <x:c r="AB388" s="32" t="n">
        <x:f>IF(OR(N388="",AA388=""),"",N388-AA388)</x:f>
        <x:v>-1.1111111111089294</x:v>
      </x:c>
      <x:c r="AC388" s="20" t="n">
        <x:f>IF(OR(N388="",AA388="",AA388=0),"",AB388/AA388)</x:f>
        <x:v>-0.055555555555446466</x:v>
      </x:c>
      <x:c r="AD388" t="str">
        <x:f>IF(AA388="","NO STANDARD",IF(AC388&lt;=Config_Status!$B$2,"EFFICIENT",IF(AC388&lt;=Config_Status!$B$3,"NORMAL",IF(AC388&lt;=Config_Status!$B$4,"WARNING","OVER CONSUMPTION"))))</x:f>
        <x:v>NORMAL</x:v>
      </x:c>
      <x:c r="AE388" t="str">
        <x:f>IFERROR(VLOOKUP(G388,Master_Unit!$A$2:$N$78,13,FALSE),"UNIT NOT FOUND")</x:f>
        <x:v>Matched</x:v>
      </x:c>
    </x:row>
    <x:row r="389">
      <x:c r="A389" s="12" t="str">
        <x:v>FU-20260606-00388</x:v>
      </x:c>
      <x:c r="B389" s="12" t="n">
        <x:v>518</x:v>
      </x:c>
      <x:c r="C389" s="14" t="n">
        <x:v>46179</x:v>
      </x:c>
      <x:c r="D389" s="12" t="str">
        <x:v>Sabtu</x:v>
      </x:c>
      <x:c r="E389" s="12" t="str">
        <x:v>11:36:00</x:v>
      </x:c>
      <x:c r="F389" s="12" t="str">
        <x:v>All Shift Day</x:v>
      </x:c>
      <x:c r="G389" s="12" t="str">
        <x:v>TLYM50G023</x:v>
      </x:c>
      <x:c r="H389" s="12" t="str">
        <x:v>Other</x:v>
      </x:c>
      <x:c r="I389" s="12" t="str">
        <x:v>TOWERLAMP YAMAGEN YDG5001SE-D-TLD4</x:v>
      </x:c>
      <x:c r="J389" s="16" t="n">
        <x:v>48</x:v>
      </x:c>
      <x:c r="K389" s="16" t="n">
        <x:v>4439.74</x:v>
      </x:c>
      <x:c r="L389" s="16" t="n">
        <x:v>4459.27</x:v>
      </x:c>
      <x:c r="M389" s="16" t="n">
        <x:v>19.530000000000655</x:v>
      </x:c>
      <x:c r="N389" s="16" t="n">
        <x:v>2.4577572964668915</x:v>
      </x:c>
      <x:c r="O389" s="12" t="str">
        <x:v>FTRL44G005</x:v>
      </x:c>
      <x:c r="P389" s="12" t="str">
        <x:v>TLYM50G023</x:v>
      </x:c>
      <x:c r="Q389" s="12" t="str"/>
      <x:c r="R389" s="12" t="str"/>
      <x:c r="S389" s="12" t="str"/>
      <x:c r="T389" s="12" t="str">
        <x:v>ABM</x:v>
      </x:c>
      <x:c r="U389" s="12" t="str"/>
      <x:c r="V389" s="12" t="str"/>
      <x:c r="W389" s="12" t="str"/>
      <x:c r="X389" s="12" t="str">
        <x:v>TLYM50</x:v>
      </x:c>
      <x:c r="Y389" s="12" t="str">
        <x:v>FANGKI &amp; ACUNG</x:v>
      </x:c>
      <x:c r="Z389" s="12" t="str"/>
      <x:c r="AA389" s="32" t="n">
        <x:f>IFERROR(VLOOKUP(G389,Master_Unit!$A$2:$N$78,7,FALSE),"")</x:f>
        <x:v>2</x:v>
      </x:c>
      <x:c r="AB389" s="32" t="n">
        <x:f>IF(OR(N389="",AA389=""),"",N389-AA389)</x:f>
        <x:v>0.45775729646689145</x:v>
      </x:c>
      <x:c r="AC389" s="20" t="n">
        <x:f>IF(OR(N389="",AA389="",AA389=0),"",AB389/AA389)</x:f>
        <x:v>0.22887864823344573</x:v>
      </x:c>
      <x:c r="AD389" t="str">
        <x:f>IF(AA389="","NO STANDARD",IF(AC389&lt;=Config_Status!$B$2,"EFFICIENT",IF(AC389&lt;=Config_Status!$B$3,"NORMAL",IF(AC389&lt;=Config_Status!$B$4,"WARNING","OVER CONSUMPTION"))))</x:f>
        <x:v>OVER CONSUMPTION</x:v>
      </x:c>
      <x:c r="AE389" t="str">
        <x:f>IFERROR(VLOOKUP(G389,Master_Unit!$A$2:$N$78,13,FALSE),"UNIT NOT FOUND")</x:f>
        <x:v>Matched</x:v>
      </x:c>
    </x:row>
    <x:row r="390">
      <x:c r="A390" s="12" t="str">
        <x:v>FU-20260606-00389</x:v>
      </x:c>
      <x:c r="B390" s="12" t="n">
        <x:v>519</x:v>
      </x:c>
      <x:c r="C390" s="14" t="n">
        <x:v>46179</x:v>
      </x:c>
      <x:c r="D390" s="12" t="str">
        <x:v>Sabtu</x:v>
      </x:c>
      <x:c r="E390" s="12" t="str">
        <x:v>06:44:00</x:v>
      </x:c>
      <x:c r="F390" s="12" t="str">
        <x:v>All Shift Day</x:v>
      </x:c>
      <x:c r="G390" s="12" t="str">
        <x:v>EXVV21G042</x:v>
      </x:c>
      <x:c r="H390" s="12" t="str">
        <x:v>Excavator</x:v>
      </x:c>
      <x:c r="I390" s="12" t="str">
        <x:v>EXCAVATOR VOLVO EC210D</x:v>
      </x:c>
      <x:c r="J390" s="16" t="n">
        <x:v>153</x:v>
      </x:c>
      <x:c r="K390" s="16" t="n">
        <x:v>7662.9</x:v>
      </x:c>
      <x:c r="L390" s="16" t="n">
        <x:v>7672.9</x:v>
      </x:c>
      <x:c r="M390" s="16" t="n">
        <x:v>10</x:v>
      </x:c>
      <x:c r="N390" s="16" t="n">
        <x:v>15.3</x:v>
      </x:c>
      <x:c r="O390" s="12" t="str">
        <x:v>FTRL44G004</x:v>
      </x:c>
      <x:c r="P390" s="12" t="str">
        <x:v>EXVV21G042</x:v>
      </x:c>
      <x:c r="Q390" s="12" t="str"/>
      <x:c r="R390" s="12" t="str"/>
      <x:c r="S390" s="12" t="str"/>
      <x:c r="T390" s="12" t="str">
        <x:v>ABM</x:v>
      </x:c>
      <x:c r="U390" s="12" t="str"/>
      <x:c r="V390" s="12" t="str"/>
      <x:c r="W390" s="12" t="str"/>
      <x:c r="X390" s="12" t="str">
        <x:v>EXVV21</x:v>
      </x:c>
      <x:c r="Y390" s="12" t="str">
        <x:v>ANDI &amp; RUSLAN</x:v>
      </x:c>
      <x:c r="Z390" s="12" t="str"/>
      <x:c r="AA390" s="32" t="n">
        <x:f>IFERROR(VLOOKUP(G390,Master_Unit!$A$2:$N$78,7,FALSE),"")</x:f>
        <x:v>20</x:v>
      </x:c>
      <x:c r="AB390" s="32" t="n">
        <x:f>IF(OR(N390="",AA390=""),"",N390-AA390)</x:f>
        <x:v>-4.699999999999999</x:v>
      </x:c>
      <x:c r="AC390" s="20" t="n">
        <x:f>IF(OR(N390="",AA390="",AA390=0),"",AB390/AA390)</x:f>
        <x:v>-0.23499999999999996</x:v>
      </x:c>
      <x:c r="AD390" t="str">
        <x:f>IF(AA390="","NO STANDARD",IF(AC390&lt;=Config_Status!$B$2,"EFFICIENT",IF(AC390&lt;=Config_Status!$B$3,"NORMAL",IF(AC390&lt;=Config_Status!$B$4,"WARNING","OVER CONSUMPTION"))))</x:f>
        <x:v>EFFICIENT</x:v>
      </x:c>
      <x:c r="AE390" t="str">
        <x:f>IFERROR(VLOOKUP(G390,Master_Unit!$A$2:$N$78,13,FALSE),"UNIT NOT FOUND")</x:f>
        <x:v>Matched</x:v>
      </x:c>
    </x:row>
    <x:row r="391">
      <x:c r="A391" s="12" t="str">
        <x:v>FU-20260606-00390</x:v>
      </x:c>
      <x:c r="B391" s="12" t="n">
        <x:v>520</x:v>
      </x:c>
      <x:c r="C391" s="14" t="n">
        <x:v>46179</x:v>
      </x:c>
      <x:c r="D391" s="12" t="str">
        <x:v>Sabtu</x:v>
      </x:c>
      <x:c r="E391" s="12" t="str">
        <x:v>06:47:00</x:v>
      </x:c>
      <x:c r="F391" s="12" t="str">
        <x:v>All Shift Day</x:v>
      </x:c>
      <x:c r="G391" s="12" t="str">
        <x:v>BDKM85G039</x:v>
      </x:c>
      <x:c r="H391" s="12" t="str">
        <x:v>Dozer</x:v>
      </x:c>
      <x:c r="I391" s="12" t="str">
        <x:v>BULDOZER KOMATSU D85ESS-2</x:v>
      </x:c>
      <x:c r="J391" s="16" t="n">
        <x:v>103</x:v>
      </x:c>
      <x:c r="K391" s="16" t="n">
        <x:v>7047.8</x:v>
      </x:c>
      <x:c r="L391" s="16" t="n">
        <x:v>7052.9</x:v>
      </x:c>
      <x:c r="M391" s="16" t="n">
        <x:v>5.099999999999454</x:v>
      </x:c>
      <x:c r="N391" s="16" t="n">
        <x:v>20.19607843137471</x:v>
      </x:c>
      <x:c r="O391" s="12" t="str">
        <x:v>FTRL44G004</x:v>
      </x:c>
      <x:c r="P391" s="12" t="str">
        <x:v>BDKM85G039</x:v>
      </x:c>
      <x:c r="Q391" s="12" t="str"/>
      <x:c r="R391" s="12" t="str"/>
      <x:c r="S391" s="12" t="str"/>
      <x:c r="T391" s="12" t="str">
        <x:v>ABM</x:v>
      </x:c>
      <x:c r="U391" s="12" t="str"/>
      <x:c r="V391" s="12" t="str"/>
      <x:c r="W391" s="12" t="str"/>
      <x:c r="X391" s="12" t="str">
        <x:v>BDKM85</x:v>
      </x:c>
      <x:c r="Y391" s="12" t="str">
        <x:v>ANDI &amp; RUSLAN</x:v>
      </x:c>
      <x:c r="Z391" s="12" t="str"/>
      <x:c r="AA391" s="32" t="n">
        <x:f>IFERROR(VLOOKUP(G391,Master_Unit!$A$2:$N$78,7,FALSE),"")</x:f>
        <x:v>30</x:v>
      </x:c>
      <x:c r="AB391" s="32" t="n">
        <x:f>IF(OR(N391="",AA391=""),"",N391-AA391)</x:f>
        <x:v>-9.803921568625292</x:v>
      </x:c>
      <x:c r="AC391" s="20" t="n">
        <x:f>IF(OR(N391="",AA391="",AA391=0),"",AB391/AA391)</x:f>
        <x:v>-0.32679738562084304</x:v>
      </x:c>
      <x:c r="AD391" t="str">
        <x:f>IF(AA391="","NO STANDARD",IF(AC391&lt;=Config_Status!$B$2,"EFFICIENT",IF(AC391&lt;=Config_Status!$B$3,"NORMAL",IF(AC391&lt;=Config_Status!$B$4,"WARNING","OVER CONSUMPTION"))))</x:f>
        <x:v>EFFICIENT</x:v>
      </x:c>
      <x:c r="AE391" t="str">
        <x:f>IFERROR(VLOOKUP(G391,Master_Unit!$A$2:$N$78,13,FALSE),"UNIT NOT FOUND")</x:f>
        <x:v>Matched</x:v>
      </x:c>
    </x:row>
    <x:row r="392">
      <x:c r="A392" s="12" t="str">
        <x:v>FU-20260606-00391</x:v>
      </x:c>
      <x:c r="B392" s="12" t="n">
        <x:v>521</x:v>
      </x:c>
      <x:c r="C392" s="14" t="n">
        <x:v>46179</x:v>
      </x:c>
      <x:c r="D392" s="12" t="str">
        <x:v>Sabtu</x:v>
      </x:c>
      <x:c r="E392" s="12" t="str">
        <x:v>06:54:00</x:v>
      </x:c>
      <x:c r="F392" s="12" t="str">
        <x:v>All Shift Day</x:v>
      </x:c>
      <x:c r="G392" s="12" t="str">
        <x:v>STRL44G142</x:v>
      </x:c>
      <x:c r="H392" s="12" t="str">
        <x:v>Dump Truck</x:v>
      </x:c>
      <x:c r="I392" s="12" t="str">
        <x:v>DUMP TRUCK RENAULT KRANGE440-P6X4 A/T</x:v>
      </x:c>
      <x:c r="J392" s="16" t="n">
        <x:v>160</x:v>
      </x:c>
      <x:c r="K392" s="16" t="n">
        <x:v>3299</x:v>
      </x:c>
      <x:c r="L392" s="16" t="n">
        <x:v>3305</x:v>
      </x:c>
      <x:c r="M392" s="16" t="n">
        <x:v>6</x:v>
      </x:c>
      <x:c r="N392" s="16" t="n">
        <x:v>26.666666666666668</x:v>
      </x:c>
      <x:c r="O392" s="12" t="str">
        <x:v>FTRL44G004</x:v>
      </x:c>
      <x:c r="P392" s="12" t="str">
        <x:v>STRL44G142</x:v>
      </x:c>
      <x:c r="Q392" s="12" t="str"/>
      <x:c r="R392" s="12" t="str"/>
      <x:c r="S392" s="12" t="str"/>
      <x:c r="T392" s="12" t="str">
        <x:v>ABM</x:v>
      </x:c>
      <x:c r="U392" s="12" t="str"/>
      <x:c r="V392" s="12" t="str"/>
      <x:c r="W392" s="12" t="str"/>
      <x:c r="X392" s="12" t="str">
        <x:v>STRL44</x:v>
      </x:c>
      <x:c r="Y392" s="12" t="str">
        <x:v>ANDI &amp; RUSLAN</x:v>
      </x:c>
      <x:c r="Z392" s="12" t="str"/>
      <x:c r="AA392" s="32" t="n">
        <x:f>IFERROR(VLOOKUP(G392,Master_Unit!$A$2:$N$78,7,FALSE),"")</x:f>
        <x:v>20</x:v>
      </x:c>
      <x:c r="AB392" s="32" t="n">
        <x:f>IF(OR(N392="",AA392=""),"",N392-AA392)</x:f>
        <x:v>6.666666666666668</x:v>
      </x:c>
      <x:c r="AC392" s="20" t="n">
        <x:f>IF(OR(N392="",AA392="",AA392=0),"",AB392/AA392)</x:f>
        <x:v>0.33333333333333337</x:v>
      </x:c>
      <x:c r="AD392" t="str">
        <x:f>IF(AA392="","NO STANDARD",IF(AC392&lt;=Config_Status!$B$2,"EFFICIENT",IF(AC392&lt;=Config_Status!$B$3,"NORMAL",IF(AC392&lt;=Config_Status!$B$4,"WARNING","OVER CONSUMPTION"))))</x:f>
        <x:v>OVER CONSUMPTION</x:v>
      </x:c>
      <x:c r="AE392" t="str">
        <x:f>IFERROR(VLOOKUP(G392,Master_Unit!$A$2:$N$78,13,FALSE),"UNIT NOT FOUND")</x:f>
        <x:v>Matched</x:v>
      </x:c>
    </x:row>
    <x:row r="393">
      <x:c r="A393" s="12" t="str">
        <x:v>FU-20260606-00392</x:v>
      </x:c>
      <x:c r="B393" s="12" t="n">
        <x:v>522</x:v>
      </x:c>
      <x:c r="C393" s="14" t="n">
        <x:v>46179</x:v>
      </x:c>
      <x:c r="D393" s="12" t="str">
        <x:v>Sabtu</x:v>
      </x:c>
      <x:c r="E393" s="12" t="str">
        <x:v>06:58:00</x:v>
      </x:c>
      <x:c r="F393" s="12" t="str">
        <x:v>All Shift Day</x:v>
      </x:c>
      <x:c r="G393" s="12" t="str">
        <x:v>STRL44G139</x:v>
      </x:c>
      <x:c r="H393" s="12" t="str">
        <x:v>Dump Truck</x:v>
      </x:c>
      <x:c r="I393" s="12" t="str">
        <x:v>DUMP TRUCK RENAULT KRANGE440-P6X4 A/T</x:v>
      </x:c>
      <x:c r="J393" s="16" t="n">
        <x:v>149</x:v>
      </x:c>
      <x:c r="K393" s="16" t="n">
        <x:v>4925</x:v>
      </x:c>
      <x:c r="L393" s="16" t="n">
        <x:v>4933</x:v>
      </x:c>
      <x:c r="M393" s="16" t="n">
        <x:v>8</x:v>
      </x:c>
      <x:c r="N393" s="16" t="n">
        <x:v>18.625</x:v>
      </x:c>
      <x:c r="O393" s="12" t="str">
        <x:v>FTRL44G004</x:v>
      </x:c>
      <x:c r="P393" s="12" t="str">
        <x:v>STRL44G139</x:v>
      </x:c>
      <x:c r="Q393" s="12" t="str"/>
      <x:c r="R393" s="12" t="str"/>
      <x:c r="S393" s="12" t="str"/>
      <x:c r="T393" s="12" t="str">
        <x:v>ABM</x:v>
      </x:c>
      <x:c r="U393" s="12" t="str"/>
      <x:c r="V393" s="12" t="str"/>
      <x:c r="W393" s="12" t="str"/>
      <x:c r="X393" s="12" t="str">
        <x:v>STRL44</x:v>
      </x:c>
      <x:c r="Y393" s="12" t="str">
        <x:v>ANDI &amp; RUSLAN</x:v>
      </x:c>
      <x:c r="Z393" s="12" t="str"/>
      <x:c r="AA393" s="32" t="n">
        <x:f>IFERROR(VLOOKUP(G393,Master_Unit!$A$2:$N$78,7,FALSE),"")</x:f>
        <x:v>20</x:v>
      </x:c>
      <x:c r="AB393" s="32" t="n">
        <x:f>IF(OR(N393="",AA393=""),"",N393-AA393)</x:f>
        <x:v>-1.375</x:v>
      </x:c>
      <x:c r="AC393" s="20" t="n">
        <x:f>IF(OR(N393="",AA393="",AA393=0),"",AB393/AA393)</x:f>
        <x:v>-0.06875</x:v>
      </x:c>
      <x:c r="AD393" t="str">
        <x:f>IF(AA393="","NO STANDARD",IF(AC393&lt;=Config_Status!$B$2,"EFFICIENT",IF(AC393&lt;=Config_Status!$B$3,"NORMAL",IF(AC393&lt;=Config_Status!$B$4,"WARNING","OVER CONSUMPTION"))))</x:f>
        <x:v>NORMAL</x:v>
      </x:c>
      <x:c r="AE393" t="str">
        <x:f>IFERROR(VLOOKUP(G393,Master_Unit!$A$2:$N$78,13,FALSE),"UNIT NOT FOUND")</x:f>
        <x:v>Matched</x:v>
      </x:c>
    </x:row>
    <x:row r="394">
      <x:c r="A394" s="12" t="str">
        <x:v>FU-20260606-00393</x:v>
      </x:c>
      <x:c r="B394" s="12" t="n">
        <x:v>523</x:v>
      </x:c>
      <x:c r="C394" s="14" t="n">
        <x:v>46179</x:v>
      </x:c>
      <x:c r="D394" s="12" t="str">
        <x:v>Sabtu</x:v>
      </x:c>
      <x:c r="E394" s="12" t="str">
        <x:v>07:04:00</x:v>
      </x:c>
      <x:c r="F394" s="12" t="str">
        <x:v>All Shift Day</x:v>
      </x:c>
      <x:c r="G394" s="12" t="str">
        <x:v>VRVV11G013</x:v>
      </x:c>
      <x:c r="H394" s="12" t="str">
        <x:v>Compactor</x:v>
      </x:c>
      <x:c r="I394" s="12" t="str">
        <x:v>VIBRO COMPACTOR VOLVO SD110NE</x:v>
      </x:c>
      <x:c r="J394" s="16" t="n">
        <x:v>73</x:v>
      </x:c>
      <x:c r="K394" s="16" t="n">
        <x:v>3180.1</x:v>
      </x:c>
      <x:c r="L394" s="16" t="n">
        <x:v>3182.1</x:v>
      </x:c>
      <x:c r="M394" s="16" t="n">
        <x:v>2</x:v>
      </x:c>
      <x:c r="N394" s="16" t="n">
        <x:v>36.5</x:v>
      </x:c>
      <x:c r="O394" s="12" t="str">
        <x:v>FTRL44G004</x:v>
      </x:c>
      <x:c r="P394" s="12" t="str">
        <x:v>VRVV11G013</x:v>
      </x:c>
      <x:c r="Q394" s="12" t="str"/>
      <x:c r="R394" s="12" t="str"/>
      <x:c r="S394" s="12" t="str"/>
      <x:c r="T394" s="12" t="str">
        <x:v>ABM</x:v>
      </x:c>
      <x:c r="U394" s="12" t="str"/>
      <x:c r="V394" s="12" t="str"/>
      <x:c r="W394" s="12" t="str"/>
      <x:c r="X394" s="12" t="str">
        <x:v>VRVV11</x:v>
      </x:c>
      <x:c r="Y394" s="12" t="str">
        <x:v>ANDI &amp; RUSLAN</x:v>
      </x:c>
      <x:c r="Z394" s="12" t="str"/>
      <x:c r="AA394" s="32" t="n">
        <x:f>IFERROR(VLOOKUP(G394,Master_Unit!$A$2:$N$78,7,FALSE),"")</x:f>
        <x:v>15</x:v>
      </x:c>
      <x:c r="AB394" s="32" t="n">
        <x:f>IF(OR(N394="",AA394=""),"",N394-AA394)</x:f>
        <x:v>21.5</x:v>
      </x:c>
      <x:c r="AC394" s="20" t="n">
        <x:f>IF(OR(N394="",AA394="",AA394=0),"",AB394/AA394)</x:f>
        <x:v>1.4333333333333333</x:v>
      </x:c>
      <x:c r="AD394" t="str">
        <x:f>IF(AA394="","NO STANDARD",IF(AC394&lt;=Config_Status!$B$2,"EFFICIENT",IF(AC394&lt;=Config_Status!$B$3,"NORMAL",IF(AC394&lt;=Config_Status!$B$4,"WARNING","OVER CONSUMPTION"))))</x:f>
        <x:v>OVER CONSUMPTION</x:v>
      </x:c>
      <x:c r="AE394" t="str">
        <x:f>IFERROR(VLOOKUP(G394,Master_Unit!$A$2:$N$78,13,FALSE),"UNIT NOT FOUND")</x:f>
        <x:v>Matched</x:v>
      </x:c>
    </x:row>
    <x:row r="395">
      <x:c r="A395" s="12" t="str">
        <x:v>FU-20260606-00394</x:v>
      </x:c>
      <x:c r="B395" s="12" t="n">
        <x:v>524</x:v>
      </x:c>
      <x:c r="C395" s="14" t="n">
        <x:v>46179</x:v>
      </x:c>
      <x:c r="D395" s="12" t="str">
        <x:v>Sabtu</x:v>
      </x:c>
      <x:c r="E395" s="12" t="str">
        <x:v>08:41:00</x:v>
      </x:c>
      <x:c r="F395" s="12" t="str">
        <x:v>All Shift Day</x:v>
      </x:c>
      <x:c r="G395" s="12" t="str">
        <x:v>STRL44G141</x:v>
      </x:c>
      <x:c r="H395" s="12" t="str">
        <x:v>Dump Truck</x:v>
      </x:c>
      <x:c r="I395" s="12" t="str">
        <x:v>DUMP TRUCK RENAULT KRANGE440-P6X4 A/T</x:v>
      </x:c>
      <x:c r="J395" s="16" t="n">
        <x:v>113</x:v>
      </x:c>
      <x:c r="K395" s="16" t="n">
        <x:v>3139</x:v>
      </x:c>
      <x:c r="L395" s="16" t="n">
        <x:v>3149</x:v>
      </x:c>
      <x:c r="M395" s="16" t="n">
        <x:v>10</x:v>
      </x:c>
      <x:c r="N395" s="16" t="n">
        <x:v>11.3</x:v>
      </x:c>
      <x:c r="O395" s="12" t="str">
        <x:v>FTRL44G004</x:v>
      </x:c>
      <x:c r="P395" s="12" t="str">
        <x:v>STRL44G141</x:v>
      </x:c>
      <x:c r="Q395" s="12" t="str"/>
      <x:c r="R395" s="12" t="str"/>
      <x:c r="S395" s="12" t="str"/>
      <x:c r="T395" s="12" t="str">
        <x:v>ABM</x:v>
      </x:c>
      <x:c r="U395" s="12" t="str"/>
      <x:c r="V395" s="12" t="str"/>
      <x:c r="W395" s="12" t="str"/>
      <x:c r="X395" s="12" t="str">
        <x:v>STRL44</x:v>
      </x:c>
      <x:c r="Y395" s="12" t="str">
        <x:v>ANDI &amp; RUSLAN</x:v>
      </x:c>
      <x:c r="Z395" s="12" t="str"/>
      <x:c r="AA395" s="32" t="n">
        <x:f>IFERROR(VLOOKUP(G395,Master_Unit!$A$2:$N$78,7,FALSE),"")</x:f>
        <x:v>20</x:v>
      </x:c>
      <x:c r="AB395" s="32" t="n">
        <x:f>IF(OR(N395="",AA395=""),"",N395-AA395)</x:f>
        <x:v>-8.7</x:v>
      </x:c>
      <x:c r="AC395" s="20" t="n">
        <x:f>IF(OR(N395="",AA395="",AA395=0),"",AB395/AA395)</x:f>
        <x:v>-0.43499999999999994</x:v>
      </x:c>
      <x:c r="AD395" t="str">
        <x:f>IF(AA395="","NO STANDARD",IF(AC395&lt;=Config_Status!$B$2,"EFFICIENT",IF(AC395&lt;=Config_Status!$B$3,"NORMAL",IF(AC395&lt;=Config_Status!$B$4,"WARNING","OVER CONSUMPTION"))))</x:f>
        <x:v>EFFICIENT</x:v>
      </x:c>
      <x:c r="AE395" t="str">
        <x:f>IFERROR(VLOOKUP(G395,Master_Unit!$A$2:$N$78,13,FALSE),"UNIT NOT FOUND")</x:f>
        <x:v>Matched</x:v>
      </x:c>
    </x:row>
    <x:row r="396">
      <x:c r="A396" s="12" t="str">
        <x:v>FU-20260606-00395</x:v>
      </x:c>
      <x:c r="B396" s="12" t="n">
        <x:v>525</x:v>
      </x:c>
      <x:c r="C396" s="14" t="n">
        <x:v>46179</x:v>
      </x:c>
      <x:c r="D396" s="12" t="str">
        <x:v>Sabtu</x:v>
      </x:c>
      <x:c r="E396" s="12" t="str">
        <x:v>08:44:00</x:v>
      </x:c>
      <x:c r="F396" s="12" t="str">
        <x:v>All Shift Day</x:v>
      </x:c>
      <x:c r="G396" s="12" t="str">
        <x:v>LVTH24R024</x:v>
      </x:c>
      <x:c r="H396" s="12" t="str">
        <x:v>Light Vehicle</x:v>
      </x:c>
      <x:c r="I396" s="12" t="str">
        <x:v>LIGHT VEHICLE TOYOTA HILUX</x:v>
      </x:c>
      <x:c r="J396" s="16" t="n">
        <x:v>19</x:v>
      </x:c>
      <x:c r="K396" s="16" t="n">
        <x:v>46028</x:v>
      </x:c>
      <x:c r="L396" s="16" t="n">
        <x:v>46122</x:v>
      </x:c>
      <x:c r="M396" s="16" t="n">
        <x:v>94</x:v>
      </x:c>
      <x:c r="N396" s="16" t="n">
        <x:v>0.20212765957446807</x:v>
      </x:c>
      <x:c r="O396" s="12" t="str">
        <x:v>FTRL44G004</x:v>
      </x:c>
      <x:c r="P396" s="12" t="str">
        <x:v>LVTH24R024</x:v>
      </x:c>
      <x:c r="Q396" s="12" t="str"/>
      <x:c r="R396" s="12" t="str"/>
      <x:c r="S396" s="12" t="str"/>
      <x:c r="T396" s="12" t="str">
        <x:v>ABM</x:v>
      </x:c>
      <x:c r="U396" s="12" t="str"/>
      <x:c r="V396" s="12" t="str"/>
      <x:c r="W396" s="12" t="str"/>
      <x:c r="X396" s="12" t="str">
        <x:v>LVTH24</x:v>
      </x:c>
      <x:c r="Y396" s="12" t="str">
        <x:v>ANDI &amp; RUSLAN</x:v>
      </x:c>
      <x:c r="Z396" s="12" t="str"/>
      <x:c r="AA396" s="32" t="n">
        <x:f>IFERROR(VLOOKUP(G396,Master_Unit!$A$2:$N$78,7,FALSE),"")</x:f>
        <x:v>0.2</x:v>
      </x:c>
      <x:c r="AB396" s="32" t="n">
        <x:f>IF(OR(N396="",AA396=""),"",N396-AA396)</x:f>
        <x:v>0.0021276595744680604</x:v>
      </x:c>
      <x:c r="AC396" s="20" t="n">
        <x:f>IF(OR(N396="",AA396="",AA396=0),"",AB396/AA396)</x:f>
        <x:v>0.010638297872340302</x:v>
      </x:c>
      <x:c r="AD396" t="str">
        <x:f>IF(AA396="","NO STANDARD",IF(AC396&lt;=Config_Status!$B$2,"EFFICIENT",IF(AC396&lt;=Config_Status!$B$3,"NORMAL",IF(AC396&lt;=Config_Status!$B$4,"WARNING","OVER CONSUMPTION"))))</x:f>
        <x:v>NORMAL</x:v>
      </x:c>
      <x:c r="AE396" t="str">
        <x:f>IFERROR(VLOOKUP(G396,Master_Unit!$A$2:$N$78,13,FALSE),"UNIT NOT FOUND")</x:f>
        <x:v>Matched</x:v>
      </x:c>
    </x:row>
    <x:row r="397">
      <x:c r="A397" s="12" t="str">
        <x:v>FU-20260606-00396</x:v>
      </x:c>
      <x:c r="B397" s="12" t="n">
        <x:v>526</x:v>
      </x:c>
      <x:c r="C397" s="14" t="n">
        <x:v>46179</x:v>
      </x:c>
      <x:c r="D397" s="12" t="str">
        <x:v>Sabtu</x:v>
      </x:c>
      <x:c r="E397" s="12" t="str">
        <x:v>08:46:00</x:v>
      </x:c>
      <x:c r="F397" s="12" t="str">
        <x:v>All Shift Day</x:v>
      </x:c>
      <x:c r="G397" s="12" t="str">
        <x:v>LVTH24R033</x:v>
      </x:c>
      <x:c r="H397" s="12" t="str">
        <x:v>Light Vehicle</x:v>
      </x:c>
      <x:c r="I397" s="12" t="str">
        <x:v>LIGHT VEHICLE TOYOTA HILUX</x:v>
      </x:c>
      <x:c r="J397" s="16" t="n">
        <x:v>19</x:v>
      </x:c>
      <x:c r="K397" s="16" t="n">
        <x:v>137938</x:v>
      </x:c>
      <x:c r="L397" s="16" t="n">
        <x:v>138211</x:v>
      </x:c>
      <x:c r="M397" s="16" t="n">
        <x:v>273</x:v>
      </x:c>
      <x:c r="N397" s="16" t="n">
        <x:v>0.0695970695970696</x:v>
      </x:c>
      <x:c r="O397" s="12" t="str">
        <x:v>FTRL44G004</x:v>
      </x:c>
      <x:c r="P397" s="12" t="str">
        <x:v>LVTH24R033</x:v>
      </x:c>
      <x:c r="Q397" s="12" t="str"/>
      <x:c r="R397" s="12" t="str"/>
      <x:c r="S397" s="12" t="str"/>
      <x:c r="T397" s="12" t="str">
        <x:v>ABM</x:v>
      </x:c>
      <x:c r="U397" s="12" t="str"/>
      <x:c r="V397" s="12" t="str"/>
      <x:c r="W397" s="12" t="str"/>
      <x:c r="X397" s="12" t="str">
        <x:v>LVTH24</x:v>
      </x:c>
      <x:c r="Y397" s="12" t="str">
        <x:v>ANDI &amp; RUSLAN</x:v>
      </x:c>
      <x:c r="Z397" s="12" t="str"/>
      <x:c r="AA397" s="32" t="n">
        <x:f>IFERROR(VLOOKUP(G397,Master_Unit!$A$2:$N$78,7,FALSE),"")</x:f>
        <x:v>0.2</x:v>
      </x:c>
      <x:c r="AB397" s="32" t="n">
        <x:f>IF(OR(N397="",AA397=""),"",N397-AA397)</x:f>
        <x:v>-0.1304029304029304</x:v>
      </x:c>
      <x:c r="AC397" s="20" t="n">
        <x:f>IF(OR(N397="",AA397="",AA397=0),"",AB397/AA397)</x:f>
        <x:v>-0.652014652014652</x:v>
      </x:c>
      <x:c r="AD397" t="str">
        <x:f>IF(AA397="","NO STANDARD",IF(AC397&lt;=Config_Status!$B$2,"EFFICIENT",IF(AC397&lt;=Config_Status!$B$3,"NORMAL",IF(AC397&lt;=Config_Status!$B$4,"WARNING","OVER CONSUMPTION"))))</x:f>
        <x:v>EFFICIENT</x:v>
      </x:c>
      <x:c r="AE397" t="str">
        <x:f>IFERROR(VLOOKUP(G397,Master_Unit!$A$2:$N$78,13,FALSE),"UNIT NOT FOUND")</x:f>
        <x:v>Matched</x:v>
      </x:c>
    </x:row>
    <x:row r="398">
      <x:c r="A398" s="12" t="str">
        <x:v>FU-20260606-00397</x:v>
      </x:c>
      <x:c r="B398" s="12" t="n">
        <x:v>527</x:v>
      </x:c>
      <x:c r="C398" s="14" t="n">
        <x:v>46179</x:v>
      </x:c>
      <x:c r="D398" s="12" t="str">
        <x:v>Sabtu</x:v>
      </x:c>
      <x:c r="E398" s="12" t="str">
        <x:v>08:47:00</x:v>
      </x:c>
      <x:c r="F398" s="12" t="str">
        <x:v>All Shift Day</x:v>
      </x:c>
      <x:c r="G398" s="12" t="str">
        <x:v>STRL44G136</x:v>
      </x:c>
      <x:c r="H398" s="12" t="str">
        <x:v>Dump Truck</x:v>
      </x:c>
      <x:c r="I398" s="12" t="str">
        <x:v>DUMP TRUCK RENAULT KRANGE440-P6X4 A/T</x:v>
      </x:c>
      <x:c r="J398" s="16" t="n">
        <x:v>121</x:v>
      </x:c>
      <x:c r="K398" s="16" t="n">
        <x:v>5805</x:v>
      </x:c>
      <x:c r="L398" s="16" t="n">
        <x:v>5815</x:v>
      </x:c>
      <x:c r="M398" s="16" t="n">
        <x:v>10</x:v>
      </x:c>
      <x:c r="N398" s="16" t="n">
        <x:v>12.1</x:v>
      </x:c>
      <x:c r="O398" s="12" t="str">
        <x:v>FTRL44G004</x:v>
      </x:c>
      <x:c r="P398" s="12" t="str">
        <x:v>STRL44G136</x:v>
      </x:c>
      <x:c r="Q398" s="12" t="str"/>
      <x:c r="R398" s="12" t="str"/>
      <x:c r="S398" s="12" t="str"/>
      <x:c r="T398" s="12" t="str">
        <x:v>ABM</x:v>
      </x:c>
      <x:c r="U398" s="12" t="str"/>
      <x:c r="V398" s="12" t="str"/>
      <x:c r="W398" s="12" t="str"/>
      <x:c r="X398" s="12" t="str">
        <x:v>STRL44</x:v>
      </x:c>
      <x:c r="Y398" s="12" t="str">
        <x:v>ANDI &amp; RUSLAN</x:v>
      </x:c>
      <x:c r="Z398" s="12" t="str"/>
      <x:c r="AA398" s="32" t="n">
        <x:f>IFERROR(VLOOKUP(G398,Master_Unit!$A$2:$N$78,7,FALSE),"")</x:f>
        <x:v>20</x:v>
      </x:c>
      <x:c r="AB398" s="32" t="n">
        <x:f>IF(OR(N398="",AA398=""),"",N398-AA398)</x:f>
        <x:v>-7.9</x:v>
      </x:c>
      <x:c r="AC398" s="20" t="n">
        <x:f>IF(OR(N398="",AA398="",AA398=0),"",AB398/AA398)</x:f>
        <x:v>-0.395</x:v>
      </x:c>
      <x:c r="AD398" t="str">
        <x:f>IF(AA398="","NO STANDARD",IF(AC398&lt;=Config_Status!$B$2,"EFFICIENT",IF(AC398&lt;=Config_Status!$B$3,"NORMAL",IF(AC398&lt;=Config_Status!$B$4,"WARNING","OVER CONSUMPTION"))))</x:f>
        <x:v>EFFICIENT</x:v>
      </x:c>
      <x:c r="AE398" t="str">
        <x:f>IFERROR(VLOOKUP(G398,Master_Unit!$A$2:$N$78,13,FALSE),"UNIT NOT FOUND")</x:f>
        <x:v>Matched</x:v>
      </x:c>
    </x:row>
    <x:row r="399">
      <x:c r="A399" s="12" t="str">
        <x:v>FU-20260606-00398</x:v>
      </x:c>
      <x:c r="B399" s="12" t="n">
        <x:v>528</x:v>
      </x:c>
      <x:c r="C399" s="14" t="n">
        <x:v>46179</x:v>
      </x:c>
      <x:c r="D399" s="12" t="str">
        <x:v>Sabtu</x:v>
      </x:c>
      <x:c r="E399" s="12" t="str">
        <x:v>08:50:00</x:v>
      </x:c>
      <x:c r="F399" s="12" t="str">
        <x:v>All Shift Day</x:v>
      </x:c>
      <x:c r="G399" s="12" t="str">
        <x:v>LVTH24R035</x:v>
      </x:c>
      <x:c r="H399" s="12" t="str">
        <x:v>Light Vehicle</x:v>
      </x:c>
      <x:c r="I399" s="12" t="str">
        <x:v>LIGHT VEHICLE TOYOTA HILUX</x:v>
      </x:c>
      <x:c r="J399" s="16" t="n">
        <x:v>20</x:v>
      </x:c>
      <x:c r="K399" s="16" t="n">
        <x:v>69287</x:v>
      </x:c>
      <x:c r="L399" s="16" t="n">
        <x:v>69481</x:v>
      </x:c>
      <x:c r="M399" s="16" t="n">
        <x:v>194</x:v>
      </x:c>
      <x:c r="N399" s="16" t="n">
        <x:v>0.10309278350515463</x:v>
      </x:c>
      <x:c r="O399" s="12" t="str">
        <x:v>FTRL44G004</x:v>
      </x:c>
      <x:c r="P399" s="12" t="str">
        <x:v>LVTH24R035</x:v>
      </x:c>
      <x:c r="Q399" s="12" t="str"/>
      <x:c r="R399" s="12" t="str"/>
      <x:c r="S399" s="12" t="str"/>
      <x:c r="T399" s="12" t="str">
        <x:v>ABM</x:v>
      </x:c>
      <x:c r="U399" s="12" t="str"/>
      <x:c r="V399" s="12" t="str"/>
      <x:c r="W399" s="12" t="str"/>
      <x:c r="X399" s="12" t="str">
        <x:v>LVTH24</x:v>
      </x:c>
      <x:c r="Y399" s="12" t="str">
        <x:v>ANDI &amp; RUSLAN</x:v>
      </x:c>
      <x:c r="Z399" s="12" t="str"/>
      <x:c r="AA399" s="32" t="n">
        <x:f>IFERROR(VLOOKUP(G399,Master_Unit!$A$2:$N$78,7,FALSE),"")</x:f>
        <x:v>0.2</x:v>
      </x:c>
      <x:c r="AB399" s="32" t="n">
        <x:f>IF(OR(N399="",AA399=""),"",N399-AA399)</x:f>
        <x:v>-0.09690721649484538</x:v>
      </x:c>
      <x:c r="AC399" s="20" t="n">
        <x:f>IF(OR(N399="",AA399="",AA399=0),"",AB399/AA399)</x:f>
        <x:v>-0.48453608247422686</x:v>
      </x:c>
      <x:c r="AD399" t="str">
        <x:f>IF(AA399="","NO STANDARD",IF(AC399&lt;=Config_Status!$B$2,"EFFICIENT",IF(AC399&lt;=Config_Status!$B$3,"NORMAL",IF(AC399&lt;=Config_Status!$B$4,"WARNING","OVER CONSUMPTION"))))</x:f>
        <x:v>EFFICIENT</x:v>
      </x:c>
      <x:c r="AE399" t="str">
        <x:f>IFERROR(VLOOKUP(G399,Master_Unit!$A$2:$N$78,13,FALSE),"UNIT NOT FOUND")</x:f>
        <x:v>Matched</x:v>
      </x:c>
    </x:row>
    <x:row r="400">
      <x:c r="A400" s="12" t="str">
        <x:v>FU-20260606-00399</x:v>
      </x:c>
      <x:c r="B400" s="12" t="n">
        <x:v>529</x:v>
      </x:c>
      <x:c r="C400" s="14" t="n">
        <x:v>46179</x:v>
      </x:c>
      <x:c r="D400" s="12" t="str">
        <x:v>Sabtu</x:v>
      </x:c>
      <x:c r="E400" s="12" t="str">
        <x:v>08:56:00</x:v>
      </x:c>
      <x:c r="F400" s="12" t="str">
        <x:v>All Shift Day</x:v>
      </x:c>
      <x:c r="G400" s="12" t="str">
        <x:v>STRL44G138</x:v>
      </x:c>
      <x:c r="H400" s="12" t="str">
        <x:v>Dump Truck</x:v>
      </x:c>
      <x:c r="I400" s="12" t="str">
        <x:v>DUMP TRUCK RENAULT KRANGE440-P6X4 A/T</x:v>
      </x:c>
      <x:c r="J400" s="16" t="n">
        <x:v>160</x:v>
      </x:c>
      <x:c r="K400" s="16" t="n">
        <x:v>5260</x:v>
      </x:c>
      <x:c r="L400" s="16" t="n">
        <x:v>5269</x:v>
      </x:c>
      <x:c r="M400" s="16" t="n">
        <x:v>9</x:v>
      </x:c>
      <x:c r="N400" s="16" t="n">
        <x:v>17.77777777777778</x:v>
      </x:c>
      <x:c r="O400" s="12" t="str">
        <x:v>FTRL44G004</x:v>
      </x:c>
      <x:c r="P400" s="12" t="str">
        <x:v>STRL44G138</x:v>
      </x:c>
      <x:c r="Q400" s="12" t="str"/>
      <x:c r="R400" s="12" t="str"/>
      <x:c r="S400" s="12" t="str"/>
      <x:c r="T400" s="12" t="str">
        <x:v>ABM</x:v>
      </x:c>
      <x:c r="U400" s="12" t="str"/>
      <x:c r="V400" s="12" t="str"/>
      <x:c r="W400" s="12" t="str"/>
      <x:c r="X400" s="12" t="str">
        <x:v>STRL44</x:v>
      </x:c>
      <x:c r="Y400" s="12" t="str">
        <x:v>ANDI &amp; RUSLAN</x:v>
      </x:c>
      <x:c r="Z400" s="12" t="str"/>
      <x:c r="AA400" s="32" t="n">
        <x:f>IFERROR(VLOOKUP(G400,Master_Unit!$A$2:$N$78,7,FALSE),"")</x:f>
        <x:v>20</x:v>
      </x:c>
      <x:c r="AB400" s="32" t="n">
        <x:f>IF(OR(N400="",AA400=""),"",N400-AA400)</x:f>
        <x:v>-2.2222222222222214</x:v>
      </x:c>
      <x:c r="AC400" s="20" t="n">
        <x:f>IF(OR(N400="",AA400="",AA400=0),"",AB400/AA400)</x:f>
        <x:v>-0.11111111111111108</x:v>
      </x:c>
      <x:c r="AD400" t="str">
        <x:f>IF(AA400="","NO STANDARD",IF(AC400&lt;=Config_Status!$B$2,"EFFICIENT",IF(AC400&lt;=Config_Status!$B$3,"NORMAL",IF(AC400&lt;=Config_Status!$B$4,"WARNING","OVER CONSUMPTION"))))</x:f>
        <x:v>EFFICIENT</x:v>
      </x:c>
      <x:c r="AE400" t="str">
        <x:f>IFERROR(VLOOKUP(G400,Master_Unit!$A$2:$N$78,13,FALSE),"UNIT NOT FOUND")</x:f>
        <x:v>Matched</x:v>
      </x:c>
    </x:row>
    <x:row r="401">
      <x:c r="A401" s="12" t="str">
        <x:v>FU-20260606-00400</x:v>
      </x:c>
      <x:c r="B401" s="12" t="n">
        <x:v>530</x:v>
      </x:c>
      <x:c r="C401" s="14" t="n">
        <x:v>46179</x:v>
      </x:c>
      <x:c r="D401" s="12" t="str">
        <x:v>Sabtu</x:v>
      </x:c>
      <x:c r="E401" s="12" t="str">
        <x:v>09:11:00</x:v>
      </x:c>
      <x:c r="F401" s="12" t="str">
        <x:v>All Shift Day</x:v>
      </x:c>
      <x:c r="G401" s="12" t="str">
        <x:v>EXVV21G039</x:v>
      </x:c>
      <x:c r="H401" s="12" t="str">
        <x:v>Excavator</x:v>
      </x:c>
      <x:c r="I401" s="12" t="str">
        <x:v>EXCAVATOR VOLVO EC210D</x:v>
      </x:c>
      <x:c r="J401" s="16" t="n">
        <x:v>152</x:v>
      </x:c>
      <x:c r="K401" s="16" t="n">
        <x:v>6211.6</x:v>
      </x:c>
      <x:c r="L401" s="16" t="n">
        <x:v>6225.5</x:v>
      </x:c>
      <x:c r="M401" s="16" t="n">
        <x:v>13.899999999999636</x:v>
      </x:c>
      <x:c r="N401" s="16" t="n">
        <x:v>10.935251798561437</x:v>
      </x:c>
      <x:c r="O401" s="12" t="str">
        <x:v>FTRL44G004</x:v>
      </x:c>
      <x:c r="P401" s="12" t="str">
        <x:v>EXVV21G039</x:v>
      </x:c>
      <x:c r="Q401" s="12" t="str"/>
      <x:c r="R401" s="12" t="str"/>
      <x:c r="S401" s="12" t="str"/>
      <x:c r="T401" s="12" t="str">
        <x:v>ABM</x:v>
      </x:c>
      <x:c r="U401" s="12" t="str"/>
      <x:c r="V401" s="12" t="str"/>
      <x:c r="W401" s="12" t="str"/>
      <x:c r="X401" s="12" t="str">
        <x:v>EXVV21</x:v>
      </x:c>
      <x:c r="Y401" s="12" t="str">
        <x:v>ANDI &amp; RUSLAN</x:v>
      </x:c>
      <x:c r="Z401" s="12" t="str"/>
      <x:c r="AA401" s="32" t="n">
        <x:f>IFERROR(VLOOKUP(G401,Master_Unit!$A$2:$N$78,7,FALSE),"")</x:f>
        <x:v>20</x:v>
      </x:c>
      <x:c r="AB401" s="32" t="n">
        <x:f>IF(OR(N401="",AA401=""),"",N401-AA401)</x:f>
        <x:v>-9.064748201438563</x:v>
      </x:c>
      <x:c r="AC401" s="20" t="n">
        <x:f>IF(OR(N401="",AA401="",AA401=0),"",AB401/AA401)</x:f>
        <x:v>-0.4532374100719282</x:v>
      </x:c>
      <x:c r="AD401" t="str">
        <x:f>IF(AA401="","NO STANDARD",IF(AC401&lt;=Config_Status!$B$2,"EFFICIENT",IF(AC401&lt;=Config_Status!$B$3,"NORMAL",IF(AC401&lt;=Config_Status!$B$4,"WARNING","OVER CONSUMPTION"))))</x:f>
        <x:v>EFFICIENT</x:v>
      </x:c>
      <x:c r="AE401" t="str">
        <x:f>IFERROR(VLOOKUP(G401,Master_Unit!$A$2:$N$78,13,FALSE),"UNIT NOT FOUND")</x:f>
        <x:v>Matched</x:v>
      </x:c>
    </x:row>
    <x:row r="402">
      <x:c r="A402" s="12" t="str">
        <x:v>FU-20260606-00401</x:v>
      </x:c>
      <x:c r="B402" s="12" t="n">
        <x:v>531</x:v>
      </x:c>
      <x:c r="C402" s="14" t="n">
        <x:v>46179</x:v>
      </x:c>
      <x:c r="D402" s="12" t="str">
        <x:v>Sabtu</x:v>
      </x:c>
      <x:c r="E402" s="12" t="str">
        <x:v>09:16:00</x:v>
      </x:c>
      <x:c r="F402" s="12" t="str">
        <x:v>All Shift Day</x:v>
      </x:c>
      <x:c r="G402" s="12" t="str">
        <x:v>GSHT10G001</x:v>
      </x:c>
      <x:c r="H402" s="12" t="str">
        <x:v>Genset</x:v>
      </x:c>
      <x:c r="I402" s="12" t="str">
        <x:v>GENSET HARTECH HT-10</x:v>
      </x:c>
      <x:c r="J402" s="16" t="n">
        <x:v>9</x:v>
      </x:c>
      <x:c r="K402" s="16" t="n">
        <x:v>5905.55</x:v>
      </x:c>
      <x:c r="L402" s="16" t="n">
        <x:v>5916.46</x:v>
      </x:c>
      <x:c r="M402" s="16" t="n">
        <x:v>10.909999999999854</x:v>
      </x:c>
      <x:c r="N402" s="16" t="n">
        <x:v>0.8249312557287003</x:v>
      </x:c>
      <x:c r="O402" s="12" t="str">
        <x:v>FTRL44G004</x:v>
      </x:c>
      <x:c r="P402" s="12" t="str">
        <x:v>GSHT10G001</x:v>
      </x:c>
      <x:c r="Q402" s="12" t="str"/>
      <x:c r="R402" s="12" t="str"/>
      <x:c r="S402" s="12" t="str"/>
      <x:c r="T402" s="12" t="str">
        <x:v>ABM</x:v>
      </x:c>
      <x:c r="U402" s="12" t="str"/>
      <x:c r="V402" s="12" t="str"/>
      <x:c r="W402" s="12" t="str"/>
      <x:c r="X402" s="12" t="str">
        <x:v>GSHT10</x:v>
      </x:c>
      <x:c r="Y402" s="12" t="str">
        <x:v>ANDI &amp; RUSLAN</x:v>
      </x:c>
      <x:c r="Z402" s="12" t="str"/>
      <x:c r="AA402" s="32" t="n">
        <x:f>IFERROR(VLOOKUP(G402,Master_Unit!$A$2:$N$78,7,FALSE),"")</x:f>
        <x:v>3</x:v>
      </x:c>
      <x:c r="AB402" s="32" t="n">
        <x:f>IF(OR(N402="",AA402=""),"",N402-AA402)</x:f>
        <x:v>-2.1750687442712997</x:v>
      </x:c>
      <x:c r="AC402" s="20" t="n">
        <x:f>IF(OR(N402="",AA402="",AA402=0),"",AB402/AA402)</x:f>
        <x:v>-0.7250229147570999</x:v>
      </x:c>
      <x:c r="AD402" t="str">
        <x:f>IF(AA402="","NO STANDARD",IF(AC402&lt;=Config_Status!$B$2,"EFFICIENT",IF(AC402&lt;=Config_Status!$B$3,"NORMAL",IF(AC402&lt;=Config_Status!$B$4,"WARNING","OVER CONSUMPTION"))))</x:f>
        <x:v>EFFICIENT</x:v>
      </x:c>
      <x:c r="AE402" t="str">
        <x:f>IFERROR(VLOOKUP(G402,Master_Unit!$A$2:$N$78,13,FALSE),"UNIT NOT FOUND")</x:f>
        <x:v>Matched</x:v>
      </x:c>
    </x:row>
    <x:row r="403">
      <x:c r="A403" s="12" t="str">
        <x:v>FU-20260606-00402</x:v>
      </x:c>
      <x:c r="B403" s="12" t="n">
        <x:v>532</x:v>
      </x:c>
      <x:c r="C403" s="14" t="n">
        <x:v>46179</x:v>
      </x:c>
      <x:c r="D403" s="12" t="str">
        <x:v>Sabtu</x:v>
      </x:c>
      <x:c r="E403" s="12" t="str">
        <x:v>09:22:00</x:v>
      </x:c>
      <x:c r="F403" s="12" t="str">
        <x:v>All Shift Day</x:v>
      </x:c>
      <x:c r="G403" s="12" t="str">
        <x:v>STRL44G135</x:v>
      </x:c>
      <x:c r="H403" s="12" t="str">
        <x:v>Dump Truck</x:v>
      </x:c>
      <x:c r="I403" s="12" t="str">
        <x:v>DUMP TRUCK RENAULT KRANGE440-P6X4 A/T</x:v>
      </x:c>
      <x:c r="J403" s="16" t="n">
        <x:v>121</x:v>
      </x:c>
      <x:c r="K403" s="16" t="n">
        <x:v>5790</x:v>
      </x:c>
      <x:c r="L403" s="16" t="n">
        <x:v>5801</x:v>
      </x:c>
      <x:c r="M403" s="16" t="n">
        <x:v>11</x:v>
      </x:c>
      <x:c r="N403" s="16" t="n">
        <x:v>11</x:v>
      </x:c>
      <x:c r="O403" s="12" t="str">
        <x:v>FTRL44G004</x:v>
      </x:c>
      <x:c r="P403" s="12" t="str">
        <x:v>STRL44G135</x:v>
      </x:c>
      <x:c r="Q403" s="12" t="str"/>
      <x:c r="R403" s="12" t="str"/>
      <x:c r="S403" s="12" t="str"/>
      <x:c r="T403" s="12" t="str">
        <x:v>ABM</x:v>
      </x:c>
      <x:c r="U403" s="12" t="str"/>
      <x:c r="V403" s="12" t="str"/>
      <x:c r="W403" s="12" t="str"/>
      <x:c r="X403" s="12" t="str">
        <x:v>STRL44</x:v>
      </x:c>
      <x:c r="Y403" s="12" t="str">
        <x:v>ANDI &amp; RUSLAN</x:v>
      </x:c>
      <x:c r="Z403" s="12" t="str"/>
      <x:c r="AA403" s="32" t="n">
        <x:f>IFERROR(VLOOKUP(G403,Master_Unit!$A$2:$N$78,7,FALSE),"")</x:f>
        <x:v>20</x:v>
      </x:c>
      <x:c r="AB403" s="32" t="n">
        <x:f>IF(OR(N403="",AA403=""),"",N403-AA403)</x:f>
        <x:v>-9</x:v>
      </x:c>
      <x:c r="AC403" s="20" t="n">
        <x:f>IF(OR(N403="",AA403="",AA403=0),"",AB403/AA403)</x:f>
        <x:v>-0.45</x:v>
      </x:c>
      <x:c r="AD403" t="str">
        <x:f>IF(AA403="","NO STANDARD",IF(AC403&lt;=Config_Status!$B$2,"EFFICIENT",IF(AC403&lt;=Config_Status!$B$3,"NORMAL",IF(AC403&lt;=Config_Status!$B$4,"WARNING","OVER CONSUMPTION"))))</x:f>
        <x:v>EFFICIENT</x:v>
      </x:c>
      <x:c r="AE403" t="str">
        <x:f>IFERROR(VLOOKUP(G403,Master_Unit!$A$2:$N$78,13,FALSE),"UNIT NOT FOUND")</x:f>
        <x:v>Matched</x:v>
      </x:c>
    </x:row>
    <x:row r="404">
      <x:c r="A404" s="12" t="str">
        <x:v>FU-20260606-00403</x:v>
      </x:c>
      <x:c r="B404" s="12" t="n">
        <x:v>533</x:v>
      </x:c>
      <x:c r="C404" s="14" t="n">
        <x:v>46179</x:v>
      </x:c>
      <x:c r="D404" s="12" t="str">
        <x:v>Sabtu</x:v>
      </x:c>
      <x:c r="E404" s="12" t="str">
        <x:v>09:39:00</x:v>
      </x:c>
      <x:c r="F404" s="12" t="str">
        <x:v>All Shift Day</x:v>
      </x:c>
      <x:c r="G404" s="12" t="str">
        <x:v>GSHT10G002</x:v>
      </x:c>
      <x:c r="H404" s="12" t="str">
        <x:v>Genset</x:v>
      </x:c>
      <x:c r="I404" s="12" t="str">
        <x:v>GENSET HARTECH HT-10</x:v>
      </x:c>
      <x:c r="J404" s="16" t="n">
        <x:v>12</x:v>
      </x:c>
      <x:c r="K404" s="16" t="n">
        <x:v>8457.42</x:v>
      </x:c>
      <x:c r="L404" s="16" t="n">
        <x:v>8468.59</x:v>
      </x:c>
      <x:c r="M404" s="16" t="n">
        <x:v>11.170000000000073</x:v>
      </x:c>
      <x:c r="N404" s="16" t="n">
        <x:v>1.0743061772605123</x:v>
      </x:c>
      <x:c r="O404" s="12" t="str">
        <x:v>FTRL44G004</x:v>
      </x:c>
      <x:c r="P404" s="12" t="str">
        <x:v>GSHT10G002</x:v>
      </x:c>
      <x:c r="Q404" s="12" t="str"/>
      <x:c r="R404" s="12" t="str"/>
      <x:c r="S404" s="12" t="str"/>
      <x:c r="T404" s="12" t="str">
        <x:v>ABM</x:v>
      </x:c>
      <x:c r="U404" s="12" t="str"/>
      <x:c r="V404" s="12" t="str"/>
      <x:c r="W404" s="12" t="str"/>
      <x:c r="X404" s="12" t="str">
        <x:v>GSHT10</x:v>
      </x:c>
      <x:c r="Y404" s="12" t="str">
        <x:v>ANDI &amp; RUSLAN</x:v>
      </x:c>
      <x:c r="Z404" s="12" t="str"/>
      <x:c r="AA404" s="32" t="n">
        <x:f>IFERROR(VLOOKUP(G404,Master_Unit!$A$2:$N$78,7,FALSE),"")</x:f>
        <x:v>3</x:v>
      </x:c>
      <x:c r="AB404" s="32" t="n">
        <x:f>IF(OR(N404="",AA404=""),"",N404-AA404)</x:f>
        <x:v>-1.9256938227394877</x:v>
      </x:c>
      <x:c r="AC404" s="20" t="n">
        <x:f>IF(OR(N404="",AA404="",AA404=0),"",AB404/AA404)</x:f>
        <x:v>-0.6418979409131625</x:v>
      </x:c>
      <x:c r="AD404" t="str">
        <x:f>IF(AA404="","NO STANDARD",IF(AC404&lt;=Config_Status!$B$2,"EFFICIENT",IF(AC404&lt;=Config_Status!$B$3,"NORMAL",IF(AC404&lt;=Config_Status!$B$4,"WARNING","OVER CONSUMPTION"))))</x:f>
        <x:v>EFFICIENT</x:v>
      </x:c>
      <x:c r="AE404" t="str">
        <x:f>IFERROR(VLOOKUP(G404,Master_Unit!$A$2:$N$78,13,FALSE),"UNIT NOT FOUND")</x:f>
        <x:v>Matched</x:v>
      </x:c>
    </x:row>
    <x:row r="405">
      <x:c r="A405" s="12" t="str">
        <x:v>FU-20260606-00404</x:v>
      </x:c>
      <x:c r="B405" s="12" t="n">
        <x:v>534</x:v>
      </x:c>
      <x:c r="C405" s="14" t="n">
        <x:v>46179</x:v>
      </x:c>
      <x:c r="D405" s="12" t="str">
        <x:v>Sabtu</x:v>
      </x:c>
      <x:c r="E405" s="12" t="str">
        <x:v>09:41:00</x:v>
      </x:c>
      <x:c r="F405" s="12" t="str">
        <x:v>All Shift Day</x:v>
      </x:c>
      <x:c r="G405" s="12" t="str">
        <x:v>LVTH24R036</x:v>
      </x:c>
      <x:c r="H405" s="12" t="str">
        <x:v>Light Vehicle</x:v>
      </x:c>
      <x:c r="I405" s="12" t="str">
        <x:v>LIGHT VEHICLE TOYOTA HILUX</x:v>
      </x:c>
      <x:c r="J405" s="16" t="n">
        <x:v>19</x:v>
      </x:c>
      <x:c r="K405" s="16" t="n">
        <x:v>62751</x:v>
      </x:c>
      <x:c r="L405" s="16" t="n">
        <x:v>62952</x:v>
      </x:c>
      <x:c r="M405" s="16" t="n">
        <x:v>201</x:v>
      </x:c>
      <x:c r="N405" s="16" t="n">
        <x:v>0.0945273631840796</x:v>
      </x:c>
      <x:c r="O405" s="12" t="str">
        <x:v>FTRL44G004</x:v>
      </x:c>
      <x:c r="P405" s="12" t="str">
        <x:v>LVTH24R036</x:v>
      </x:c>
      <x:c r="Q405" s="12" t="str"/>
      <x:c r="R405" s="12" t="str"/>
      <x:c r="S405" s="12" t="str"/>
      <x:c r="T405" s="12" t="str">
        <x:v>ABM</x:v>
      </x:c>
      <x:c r="U405" s="12" t="str"/>
      <x:c r="V405" s="12" t="str"/>
      <x:c r="W405" s="12" t="str"/>
      <x:c r="X405" s="12" t="str">
        <x:v>LVTH24</x:v>
      </x:c>
      <x:c r="Y405" s="12" t="str">
        <x:v>ANDI &amp; RUSLAN</x:v>
      </x:c>
      <x:c r="Z405" s="12" t="str"/>
      <x:c r="AA405" s="32" t="n">
        <x:f>IFERROR(VLOOKUP(G405,Master_Unit!$A$2:$N$78,7,FALSE),"")</x:f>
        <x:v>0.2</x:v>
      </x:c>
      <x:c r="AB405" s="32" t="n">
        <x:f>IF(OR(N405="",AA405=""),"",N405-AA405)</x:f>
        <x:v>-0.10547263681592041</x:v>
      </x:c>
      <x:c r="AC405" s="20" t="n">
        <x:f>IF(OR(N405="",AA405="",AA405=0),"",AB405/AA405)</x:f>
        <x:v>-0.527363184079602</x:v>
      </x:c>
      <x:c r="AD405" t="str">
        <x:f>IF(AA405="","NO STANDARD",IF(AC405&lt;=Config_Status!$B$2,"EFFICIENT",IF(AC405&lt;=Config_Status!$B$3,"NORMAL",IF(AC405&lt;=Config_Status!$B$4,"WARNING","OVER CONSUMPTION"))))</x:f>
        <x:v>EFFICIENT</x:v>
      </x:c>
      <x:c r="AE405" t="str">
        <x:f>IFERROR(VLOOKUP(G405,Master_Unit!$A$2:$N$78,13,FALSE),"UNIT NOT FOUND")</x:f>
        <x:v>Matched</x:v>
      </x:c>
    </x:row>
    <x:row r="406">
      <x:c r="A406" s="12" t="str">
        <x:v>FU-20260606-00405</x:v>
      </x:c>
      <x:c r="B406" s="12" t="n">
        <x:v>535</x:v>
      </x:c>
      <x:c r="C406" s="14" t="n">
        <x:v>46179</x:v>
      </x:c>
      <x:c r="D406" s="12" t="str">
        <x:v>Sabtu</x:v>
      </x:c>
      <x:c r="E406" s="12" t="str">
        <x:v>09:46:00</x:v>
      </x:c>
      <x:c r="F406" s="12" t="str">
        <x:v>All Shift Day</x:v>
      </x:c>
      <x:c r="G406" s="12" t="str">
        <x:v>MGSD20G007</x:v>
      </x:c>
      <x:c r="H406" s="12" t="str">
        <x:v>Other</x:v>
      </x:c>
      <x:c r="I406" s="12" t="str">
        <x:v>MOTOR GRADER SDLG GD9220F</x:v>
      </x:c>
      <x:c r="J406" s="16" t="n">
        <x:v>120</x:v>
      </x:c>
      <x:c r="K406" s="16" t="n">
        <x:v>3706.4</x:v>
      </x:c>
      <x:c r="L406" s="16" t="n">
        <x:v>3713.1</x:v>
      </x:c>
      <x:c r="M406" s="16" t="n">
        <x:v>6.699999999999818</x:v>
      </x:c>
      <x:c r="N406" s="16" t="n">
        <x:v>17.910447761194515</x:v>
      </x:c>
      <x:c r="O406" s="12" t="str">
        <x:v>FTRL44G004</x:v>
      </x:c>
      <x:c r="P406" s="12" t="str">
        <x:v>MGSD20G007</x:v>
      </x:c>
      <x:c r="Q406" s="12" t="str"/>
      <x:c r="R406" s="12" t="str"/>
      <x:c r="S406" s="12" t="str"/>
      <x:c r="T406" s="12" t="str">
        <x:v>ABM</x:v>
      </x:c>
      <x:c r="U406" s="12" t="str"/>
      <x:c r="V406" s="12" t="str"/>
      <x:c r="W406" s="12" t="str"/>
      <x:c r="X406" s="12" t="str">
        <x:v>MGSD20</x:v>
      </x:c>
      <x:c r="Y406" s="12" t="str">
        <x:v>ANDI &amp; RUSLAN</x:v>
      </x:c>
      <x:c r="Z406" s="12" t="str"/>
      <x:c r="AA406" s="32" t="n">
        <x:f>IFERROR(VLOOKUP(G406,Master_Unit!$A$2:$N$78,7,FALSE),"")</x:f>
        <x:v>20</x:v>
      </x:c>
      <x:c r="AB406" s="32" t="n">
        <x:f>IF(OR(N406="",AA406=""),"",N406-AA406)</x:f>
        <x:v>-2.089552238805485</x:v>
      </x:c>
      <x:c r="AC406" s="20" t="n">
        <x:f>IF(OR(N406="",AA406="",AA406=0),"",AB406/AA406)</x:f>
        <x:v>-0.10447761194027425</x:v>
      </x:c>
      <x:c r="AD406" t="str">
        <x:f>IF(AA406="","NO STANDARD",IF(AC406&lt;=Config_Status!$B$2,"EFFICIENT",IF(AC406&lt;=Config_Status!$B$3,"NORMAL",IF(AC406&lt;=Config_Status!$B$4,"WARNING","OVER CONSUMPTION"))))</x:f>
        <x:v>EFFICIENT</x:v>
      </x:c>
      <x:c r="AE406" t="str">
        <x:f>IFERROR(VLOOKUP(G406,Master_Unit!$A$2:$N$78,13,FALSE),"UNIT NOT FOUND")</x:f>
        <x:v>Matched</x:v>
      </x:c>
    </x:row>
    <x:row r="407">
      <x:c r="A407" s="12" t="str">
        <x:v>FU-20260606-00406</x:v>
      </x:c>
      <x:c r="B407" s="12" t="n">
        <x:v>536</x:v>
      </x:c>
      <x:c r="C407" s="14" t="n">
        <x:v>46179</x:v>
      </x:c>
      <x:c r="D407" s="12" t="str">
        <x:v>Sabtu</x:v>
      </x:c>
      <x:c r="E407" s="12" t="str">
        <x:v>11:54:00</x:v>
      </x:c>
      <x:c r="F407" s="12" t="str">
        <x:v>All Shift Day</x:v>
      </x:c>
      <x:c r="G407" s="12" t="str">
        <x:v>EXVV21G032</x:v>
      </x:c>
      <x:c r="H407" s="12" t="str">
        <x:v>Excavator</x:v>
      </x:c>
      <x:c r="I407" s="12" t="str">
        <x:v>EXCAVATOR VOLVO EC210D</x:v>
      </x:c>
      <x:c r="J407" s="16" t="n">
        <x:v>154</x:v>
      </x:c>
      <x:c r="K407" s="16" t="n">
        <x:v>7451.9</x:v>
      </x:c>
      <x:c r="L407" s="16" t="n">
        <x:v>7460.8</x:v>
      </x:c>
      <x:c r="M407" s="16" t="n">
        <x:v>8.900000000000546</x:v>
      </x:c>
      <x:c r="N407" s="16" t="n">
        <x:v>17.303370786515792</x:v>
      </x:c>
      <x:c r="O407" s="12" t="str">
        <x:v>FTRL44G004</x:v>
      </x:c>
      <x:c r="P407" s="12" t="str">
        <x:v>EXVV21G032</x:v>
      </x:c>
      <x:c r="Q407" s="12" t="str"/>
      <x:c r="R407" s="12" t="str"/>
      <x:c r="S407" s="12" t="str"/>
      <x:c r="T407" s="12" t="str">
        <x:v>ABM</x:v>
      </x:c>
      <x:c r="U407" s="12" t="str"/>
      <x:c r="V407" s="12" t="str"/>
      <x:c r="W407" s="12" t="str"/>
      <x:c r="X407" s="12" t="str">
        <x:v>EXVV21</x:v>
      </x:c>
      <x:c r="Y407" s="12" t="str">
        <x:v>ANDI &amp; RUSLAN</x:v>
      </x:c>
      <x:c r="Z407" s="12" t="str"/>
      <x:c r="AA407" s="32" t="n">
        <x:f>IFERROR(VLOOKUP(G407,Master_Unit!$A$2:$N$78,7,FALSE),"")</x:f>
        <x:v>20</x:v>
      </x:c>
      <x:c r="AB407" s="32" t="n">
        <x:f>IF(OR(N407="",AA407=""),"",N407-AA407)</x:f>
        <x:v>-2.696629213484208</x:v>
      </x:c>
      <x:c r="AC407" s="20" t="n">
        <x:f>IF(OR(N407="",AA407="",AA407=0),"",AB407/AA407)</x:f>
        <x:v>-0.1348314606742104</x:v>
      </x:c>
      <x:c r="AD407" t="str">
        <x:f>IF(AA407="","NO STANDARD",IF(AC407&lt;=Config_Status!$B$2,"EFFICIENT",IF(AC407&lt;=Config_Status!$B$3,"NORMAL",IF(AC407&lt;=Config_Status!$B$4,"WARNING","OVER CONSUMPTION"))))</x:f>
        <x:v>EFFICIENT</x:v>
      </x:c>
      <x:c r="AE407" t="str">
        <x:f>IFERROR(VLOOKUP(G407,Master_Unit!$A$2:$N$78,13,FALSE),"UNIT NOT FOUND")</x:f>
        <x:v>Matched</x:v>
      </x:c>
    </x:row>
    <x:row r="408">
      <x:c r="A408" s="12" t="str">
        <x:v>FU-20260606-00407</x:v>
      </x:c>
      <x:c r="B408" s="12" t="n">
        <x:v>537</x:v>
      </x:c>
      <x:c r="C408" s="14" t="n">
        <x:v>46179</x:v>
      </x:c>
      <x:c r="D408" s="12" t="str">
        <x:v>Sabtu</x:v>
      </x:c>
      <x:c r="E408" s="12" t="str">
        <x:v>11:58:00</x:v>
      </x:c>
      <x:c r="F408" s="12" t="str">
        <x:v>All Shift Day</x:v>
      </x:c>
      <x:c r="G408" s="12" t="str">
        <x:v>EXVV35G005</x:v>
      </x:c>
      <x:c r="H408" s="12" t="str">
        <x:v>Excavator</x:v>
      </x:c>
      <x:c r="I408" s="12" t="str">
        <x:v>EXCAVATOR VOLVO EC350D</x:v>
      </x:c>
      <x:c r="J408" s="16" t="n">
        <x:v>212</x:v>
      </x:c>
      <x:c r="K408" s="16" t="n">
        <x:v>5139.8</x:v>
      </x:c>
      <x:c r="L408" s="16" t="n">
        <x:v>5147.2</x:v>
      </x:c>
      <x:c r="M408" s="16" t="n">
        <x:v>7.399999999999636</x:v>
      </x:c>
      <x:c r="N408" s="16" t="n">
        <x:v>28.648648648650056</x:v>
      </x:c>
      <x:c r="O408" s="12" t="str">
        <x:v>FTRL44G004</x:v>
      </x:c>
      <x:c r="P408" s="12" t="str">
        <x:v>EXVV35G005</x:v>
      </x:c>
      <x:c r="Q408" s="12" t="str"/>
      <x:c r="R408" s="12" t="str"/>
      <x:c r="S408" s="12" t="str"/>
      <x:c r="T408" s="12" t="str">
        <x:v>ABM</x:v>
      </x:c>
      <x:c r="U408" s="12" t="str"/>
      <x:c r="V408" s="12" t="str"/>
      <x:c r="W408" s="12" t="str"/>
      <x:c r="X408" s="12" t="str">
        <x:v>EXVV35</x:v>
      </x:c>
      <x:c r="Y408" s="12" t="str">
        <x:v>ANDI &amp; RUSLAN</x:v>
      </x:c>
      <x:c r="Z408" s="12" t="str"/>
      <x:c r="AA408" s="32" t="n">
        <x:f>IFERROR(VLOOKUP(G408,Master_Unit!$A$2:$N$78,7,FALSE),"")</x:f>
        <x:v>25</x:v>
      </x:c>
      <x:c r="AB408" s="32" t="n">
        <x:f>IF(OR(N408="",AA408=""),"",N408-AA408)</x:f>
        <x:v>3.648648648650056</x:v>
      </x:c>
      <x:c r="AC408" s="20" t="n">
        <x:f>IF(OR(N408="",AA408="",AA408=0),"",AB408/AA408)</x:f>
        <x:v>0.14594594594600224</x:v>
      </x:c>
      <x:c r="AD408" t="str">
        <x:f>IF(AA408="","NO STANDARD",IF(AC408&lt;=Config_Status!$B$2,"EFFICIENT",IF(AC408&lt;=Config_Status!$B$3,"NORMAL",IF(AC408&lt;=Config_Status!$B$4,"WARNING","OVER CONSUMPTION"))))</x:f>
        <x:v>WARNING</x:v>
      </x:c>
      <x:c r="AE408" t="str">
        <x:f>IFERROR(VLOOKUP(G408,Master_Unit!$A$2:$N$78,13,FALSE),"UNIT NOT FOUND")</x:f>
        <x:v>Matched</x:v>
      </x:c>
    </x:row>
    <x:row r="409">
      <x:c r="A409" s="12" t="str">
        <x:v>FU-20260606-00408</x:v>
      </x:c>
      <x:c r="B409" s="12" t="n">
        <x:v>538</x:v>
      </x:c>
      <x:c r="C409" s="14" t="n">
        <x:v>46179</x:v>
      </x:c>
      <x:c r="D409" s="12" t="str">
        <x:v>Sabtu</x:v>
      </x:c>
      <x:c r="E409" s="12" t="str">
        <x:v>12:04:00</x:v>
      </x:c>
      <x:c r="F409" s="12" t="str">
        <x:v>All Shift Day</x:v>
      </x:c>
      <x:c r="G409" s="12" t="str">
        <x:v>EXVV21G037</x:v>
      </x:c>
      <x:c r="H409" s="12" t="str">
        <x:v>Excavator</x:v>
      </x:c>
      <x:c r="I409" s="12" t="str">
        <x:v>EXCAVATOR VOLVO EC210D</x:v>
      </x:c>
      <x:c r="J409" s="16" t="n">
        <x:v>134</x:v>
      </x:c>
      <x:c r="K409" s="16" t="n">
        <x:v>6806.7</x:v>
      </x:c>
      <x:c r="L409" s="16" t="n">
        <x:v>6812.5</x:v>
      </x:c>
      <x:c r="M409" s="16" t="n">
        <x:v>5.800000000000182</x:v>
      </x:c>
      <x:c r="N409" s="16" t="n">
        <x:v>23.103448275861343</x:v>
      </x:c>
      <x:c r="O409" s="12" t="str">
        <x:v>FTRL44G004</x:v>
      </x:c>
      <x:c r="P409" s="12" t="str">
        <x:v>EXVV21G037</x:v>
      </x:c>
      <x:c r="Q409" s="12" t="str"/>
      <x:c r="R409" s="12" t="str"/>
      <x:c r="S409" s="12" t="str"/>
      <x:c r="T409" s="12" t="str">
        <x:v>ABM</x:v>
      </x:c>
      <x:c r="U409" s="12" t="str"/>
      <x:c r="V409" s="12" t="str"/>
      <x:c r="W409" s="12" t="str"/>
      <x:c r="X409" s="12" t="str">
        <x:v>EXVV21</x:v>
      </x:c>
      <x:c r="Y409" s="12" t="str">
        <x:v>ANDI &amp; RUSLAN</x:v>
      </x:c>
      <x:c r="Z409" s="12" t="str"/>
      <x:c r="AA409" s="32" t="n">
        <x:f>IFERROR(VLOOKUP(G409,Master_Unit!$A$2:$N$78,7,FALSE),"")</x:f>
        <x:v>20</x:v>
      </x:c>
      <x:c r="AB409" s="32" t="n">
        <x:f>IF(OR(N409="",AA409=""),"",N409-AA409)</x:f>
        <x:v>3.103448275861343</x:v>
      </x:c>
      <x:c r="AC409" s="20" t="n">
        <x:f>IF(OR(N409="",AA409="",AA409=0),"",AB409/AA409)</x:f>
        <x:v>0.15517241379306715</x:v>
      </x:c>
      <x:c r="AD409" t="str">
        <x:f>IF(AA409="","NO STANDARD",IF(AC409&lt;=Config_Status!$B$2,"EFFICIENT",IF(AC409&lt;=Config_Status!$B$3,"NORMAL",IF(AC409&lt;=Config_Status!$B$4,"WARNING","OVER CONSUMPTION"))))</x:f>
        <x:v>WARNING</x:v>
      </x:c>
      <x:c r="AE409" t="str">
        <x:f>IFERROR(VLOOKUP(G409,Master_Unit!$A$2:$N$78,13,FALSE),"UNIT NOT FOUND")</x:f>
        <x:v>Matched</x:v>
      </x:c>
    </x:row>
    <x:row r="410">
      <x:c r="A410" s="12" t="str">
        <x:v>FU-20260606-00409</x:v>
      </x:c>
      <x:c r="B410" s="12" t="n">
        <x:v>539</x:v>
      </x:c>
      <x:c r="C410" s="14" t="n">
        <x:v>46179</x:v>
      </x:c>
      <x:c r="D410" s="12" t="str">
        <x:v>Sabtu</x:v>
      </x:c>
      <x:c r="E410" s="12" t="str">
        <x:v>18:24:00</x:v>
      </x:c>
      <x:c r="F410" s="12" t="str">
        <x:v>All Shift Night</x:v>
      </x:c>
      <x:c r="G410" s="12" t="str">
        <x:v>EXVV21G035</x:v>
      </x:c>
      <x:c r="H410" s="12" t="str">
        <x:v>Excavator</x:v>
      </x:c>
      <x:c r="I410" s="12" t="str">
        <x:v>EXCAVATOR VOLVO EC210D</x:v>
      </x:c>
      <x:c r="J410" s="16" t="n">
        <x:v>156</x:v>
      </x:c>
      <x:c r="K410" s="16" t="n">
        <x:v>8338.4</x:v>
      </x:c>
      <x:c r="L410" s="16" t="n">
        <x:v>8353.3</x:v>
      </x:c>
      <x:c r="M410" s="16" t="n">
        <x:v>14.899999999999636</x:v>
      </x:c>
      <x:c r="N410" s="16" t="n">
        <x:v>10.469798657718377</x:v>
      </x:c>
      <x:c r="O410" s="12" t="str">
        <x:v>FTRL44G005</x:v>
      </x:c>
      <x:c r="P410" s="12" t="str">
        <x:v>EXVV21G035</x:v>
      </x:c>
      <x:c r="Q410" s="12" t="str"/>
      <x:c r="R410" s="12" t="str"/>
      <x:c r="S410" s="12" t="str"/>
      <x:c r="T410" s="12" t="str">
        <x:v>ABM</x:v>
      </x:c>
      <x:c r="U410" s="12" t="str"/>
      <x:c r="V410" s="12" t="str"/>
      <x:c r="W410" s="12" t="str"/>
      <x:c r="X410" s="12" t="str">
        <x:v>EXVV21</x:v>
      </x:c>
      <x:c r="Y410" s="12" t="str">
        <x:v>RAFIF &amp; YOGI</x:v>
      </x:c>
      <x:c r="Z410" s="12" t="str"/>
      <x:c r="AA410" s="32" t="n">
        <x:f>IFERROR(VLOOKUP(G410,Master_Unit!$A$2:$N$78,7,FALSE),"")</x:f>
        <x:v>20</x:v>
      </x:c>
      <x:c r="AB410" s="32" t="n">
        <x:f>IF(OR(N410="",AA410=""),"",N410-AA410)</x:f>
        <x:v>-9.530201342281623</x:v>
      </x:c>
      <x:c r="AC410" s="20" t="n">
        <x:f>IF(OR(N410="",AA410="",AA410=0),"",AB410/AA410)</x:f>
        <x:v>-0.47651006711408117</x:v>
      </x:c>
      <x:c r="AD410" t="str">
        <x:f>IF(AA410="","NO STANDARD",IF(AC410&lt;=Config_Status!$B$2,"EFFICIENT",IF(AC410&lt;=Config_Status!$B$3,"NORMAL",IF(AC410&lt;=Config_Status!$B$4,"WARNING","OVER CONSUMPTION"))))</x:f>
        <x:v>EFFICIENT</x:v>
      </x:c>
      <x:c r="AE410" t="str">
        <x:f>IFERROR(VLOOKUP(G410,Master_Unit!$A$2:$N$78,13,FALSE),"UNIT NOT FOUND")</x:f>
        <x:v>Matched</x:v>
      </x:c>
    </x:row>
    <x:row r="411">
      <x:c r="A411" s="12" t="str">
        <x:v>FU-20260606-00410</x:v>
      </x:c>
      <x:c r="B411" s="12" t="n">
        <x:v>540</x:v>
      </x:c>
      <x:c r="C411" s="14" t="n">
        <x:v>46179</x:v>
      </x:c>
      <x:c r="D411" s="12" t="str">
        <x:v>Sabtu</x:v>
      </x:c>
      <x:c r="E411" s="12" t="str">
        <x:v>18:32:00</x:v>
      </x:c>
      <x:c r="F411" s="12" t="str">
        <x:v>All Shift Night</x:v>
      </x:c>
      <x:c r="G411" s="12" t="str">
        <x:v>EXVV21G039</x:v>
      </x:c>
      <x:c r="H411" s="12" t="str">
        <x:v>Excavator</x:v>
      </x:c>
      <x:c r="I411" s="12" t="str">
        <x:v>EXCAVATOR VOLVO EC210D</x:v>
      </x:c>
      <x:c r="J411" s="16" t="n">
        <x:v>154</x:v>
      </x:c>
      <x:c r="K411" s="16" t="n">
        <x:v>6225.5</x:v>
      </x:c>
      <x:c r="L411" s="16" t="n">
        <x:v>6231.2</x:v>
      </x:c>
      <x:c r="M411" s="16" t="n">
        <x:v>5.699999999999818</x:v>
      </x:c>
      <x:c r="N411" s="16" t="n">
        <x:v>27.017543859649987</x:v>
      </x:c>
      <x:c r="O411" s="12" t="str">
        <x:v>FTRL44G005</x:v>
      </x:c>
      <x:c r="P411" s="12" t="str">
        <x:v>EXVV21G039</x:v>
      </x:c>
      <x:c r="Q411" s="12" t="str"/>
      <x:c r="R411" s="12" t="str"/>
      <x:c r="S411" s="12" t="str"/>
      <x:c r="T411" s="12" t="str">
        <x:v>ABM</x:v>
      </x:c>
      <x:c r="U411" s="12" t="str"/>
      <x:c r="V411" s="12" t="str"/>
      <x:c r="W411" s="12" t="str"/>
      <x:c r="X411" s="12" t="str">
        <x:v>EXVV21</x:v>
      </x:c>
      <x:c r="Y411" s="12" t="str">
        <x:v>RAFIF &amp; YOGI</x:v>
      </x:c>
      <x:c r="Z411" s="12" t="str"/>
      <x:c r="AA411" s="32" t="n">
        <x:f>IFERROR(VLOOKUP(G411,Master_Unit!$A$2:$N$78,7,FALSE),"")</x:f>
        <x:v>20</x:v>
      </x:c>
      <x:c r="AB411" s="32" t="n">
        <x:f>IF(OR(N411="",AA411=""),"",N411-AA411)</x:f>
        <x:v>7.017543859649987</x:v>
      </x:c>
      <x:c r="AC411" s="20" t="n">
        <x:f>IF(OR(N411="",AA411="",AA411=0),"",AB411/AA411)</x:f>
        <x:v>0.3508771929824993</x:v>
      </x:c>
      <x:c r="AD411" t="str">
        <x:f>IF(AA411="","NO STANDARD",IF(AC411&lt;=Config_Status!$B$2,"EFFICIENT",IF(AC411&lt;=Config_Status!$B$3,"NORMAL",IF(AC411&lt;=Config_Status!$B$4,"WARNING","OVER CONSUMPTION"))))</x:f>
        <x:v>OVER CONSUMPTION</x:v>
      </x:c>
      <x:c r="AE411" t="str">
        <x:f>IFERROR(VLOOKUP(G411,Master_Unit!$A$2:$N$78,13,FALSE),"UNIT NOT FOUND")</x:f>
        <x:v>Matched</x:v>
      </x:c>
    </x:row>
    <x:row r="412">
      <x:c r="A412" s="12" t="str">
        <x:v>FU-20260606-00411</x:v>
      </x:c>
      <x:c r="B412" s="12" t="n">
        <x:v>541</x:v>
      </x:c>
      <x:c r="C412" s="14" t="n">
        <x:v>46179</x:v>
      </x:c>
      <x:c r="D412" s="12" t="str">
        <x:v>Sabtu</x:v>
      </x:c>
      <x:c r="E412" s="12" t="str">
        <x:v>18:38:00</x:v>
      </x:c>
      <x:c r="F412" s="12" t="str">
        <x:v>All Shift Night</x:v>
      </x:c>
      <x:c r="G412" s="12" t="str">
        <x:v>EXVV21G042</x:v>
      </x:c>
      <x:c r="H412" s="12" t="str">
        <x:v>Excavator</x:v>
      </x:c>
      <x:c r="I412" s="12" t="str">
        <x:v>EXCAVATOR VOLVO EC210D</x:v>
      </x:c>
      <x:c r="J412" s="16" t="n">
        <x:v>148</x:v>
      </x:c>
      <x:c r="K412" s="16" t="n">
        <x:v>7672.9</x:v>
      </x:c>
      <x:c r="L412" s="16" t="n">
        <x:v>7682.2</x:v>
      </x:c>
      <x:c r="M412" s="16" t="n">
        <x:v>9.300000000000182</x:v>
      </x:c>
      <x:c r="N412" s="16" t="n">
        <x:v>15.913978494623345</x:v>
      </x:c>
      <x:c r="O412" s="12" t="str">
        <x:v>FTRL44G005</x:v>
      </x:c>
      <x:c r="P412" s="12" t="str">
        <x:v>EXVV21G042</x:v>
      </x:c>
      <x:c r="Q412" s="12" t="str"/>
      <x:c r="R412" s="12" t="str"/>
      <x:c r="S412" s="12" t="str"/>
      <x:c r="T412" s="12" t="str">
        <x:v>ABM</x:v>
      </x:c>
      <x:c r="U412" s="12" t="str"/>
      <x:c r="V412" s="12" t="str"/>
      <x:c r="W412" s="12" t="str"/>
      <x:c r="X412" s="12" t="str">
        <x:v>EXVV21</x:v>
      </x:c>
      <x:c r="Y412" s="12" t="str">
        <x:v>RAFIF &amp; YOGI</x:v>
      </x:c>
      <x:c r="Z412" s="12" t="str"/>
      <x:c r="AA412" s="32" t="n">
        <x:f>IFERROR(VLOOKUP(G412,Master_Unit!$A$2:$N$78,7,FALSE),"")</x:f>
        <x:v>20</x:v>
      </x:c>
      <x:c r="AB412" s="32" t="n">
        <x:f>IF(OR(N412="",AA412=""),"",N412-AA412)</x:f>
        <x:v>-4.086021505376655</x:v>
      </x:c>
      <x:c r="AC412" s="20" t="n">
        <x:f>IF(OR(N412="",AA412="",AA412=0),"",AB412/AA412)</x:f>
        <x:v>-0.20430107526883273</x:v>
      </x:c>
      <x:c r="AD412" t="str">
        <x:f>IF(AA412="","NO STANDARD",IF(AC412&lt;=Config_Status!$B$2,"EFFICIENT",IF(AC412&lt;=Config_Status!$B$3,"NORMAL",IF(AC412&lt;=Config_Status!$B$4,"WARNING","OVER CONSUMPTION"))))</x:f>
        <x:v>EFFICIENT</x:v>
      </x:c>
      <x:c r="AE412" t="str">
        <x:f>IFERROR(VLOOKUP(G412,Master_Unit!$A$2:$N$78,13,FALSE),"UNIT NOT FOUND")</x:f>
        <x:v>Matched</x:v>
      </x:c>
    </x:row>
    <x:row r="413">
      <x:c r="A413" s="12" t="str">
        <x:v>FU-20260606-00412</x:v>
      </x:c>
      <x:c r="B413" s="12" t="n">
        <x:v>542</x:v>
      </x:c>
      <x:c r="C413" s="14" t="n">
        <x:v>46179</x:v>
      </x:c>
      <x:c r="D413" s="12" t="str">
        <x:v>Sabtu</x:v>
      </x:c>
      <x:c r="E413" s="12" t="str">
        <x:v>18:40:00</x:v>
      </x:c>
      <x:c r="F413" s="12" t="str">
        <x:v>All Shift Night</x:v>
      </x:c>
      <x:c r="G413" s="12" t="str">
        <x:v>EXVV35G005</x:v>
      </x:c>
      <x:c r="H413" s="12" t="str">
        <x:v>Excavator</x:v>
      </x:c>
      <x:c r="I413" s="12" t="str">
        <x:v>EXCAVATOR VOLVO EC350D</x:v>
      </x:c>
      <x:c r="J413" s="16" t="n">
        <x:v>214</x:v>
      </x:c>
      <x:c r="K413" s="16" t="n">
        <x:v>5147.2</x:v>
      </x:c>
      <x:c r="L413" s="16" t="n">
        <x:v>5151.9</x:v>
      </x:c>
      <x:c r="M413" s="16" t="n">
        <x:v>4.699999999999818</x:v>
      </x:c>
      <x:c r="N413" s="16" t="n">
        <x:v>45.53191489361878</x:v>
      </x:c>
      <x:c r="O413" s="12" t="str">
        <x:v>FTRL44G004</x:v>
      </x:c>
      <x:c r="P413" s="12" t="str">
        <x:v>EXVV35G005</x:v>
      </x:c>
      <x:c r="Q413" s="12" t="str"/>
      <x:c r="R413" s="12" t="str"/>
      <x:c r="S413" s="12" t="str"/>
      <x:c r="T413" s="12" t="str">
        <x:v>ABM</x:v>
      </x:c>
      <x:c r="U413" s="12" t="str"/>
      <x:c r="V413" s="12" t="str"/>
      <x:c r="W413" s="12" t="str"/>
      <x:c r="X413" s="12" t="str">
        <x:v>EXVV35</x:v>
      </x:c>
      <x:c r="Y413" s="12" t="str">
        <x:v>BADRI &amp; KAMRAN</x:v>
      </x:c>
      <x:c r="Z413" s="12" t="str"/>
      <x:c r="AA413" s="32" t="n">
        <x:f>IFERROR(VLOOKUP(G413,Master_Unit!$A$2:$N$78,7,FALSE),"")</x:f>
        <x:v>25</x:v>
      </x:c>
      <x:c r="AB413" s="32" t="n">
        <x:f>IF(OR(N413="",AA413=""),"",N413-AA413)</x:f>
        <x:v>20.531914893618783</x:v>
      </x:c>
      <x:c r="AC413" s="20" t="n">
        <x:f>IF(OR(N413="",AA413="",AA413=0),"",AB413/AA413)</x:f>
        <x:v>0.8212765957447513</x:v>
      </x:c>
      <x:c r="AD413" t="str">
        <x:f>IF(AA413="","NO STANDARD",IF(AC413&lt;=Config_Status!$B$2,"EFFICIENT",IF(AC413&lt;=Config_Status!$B$3,"NORMAL",IF(AC413&lt;=Config_Status!$B$4,"WARNING","OVER CONSUMPTION"))))</x:f>
        <x:v>OVER CONSUMPTION</x:v>
      </x:c>
      <x:c r="AE413" t="str">
        <x:f>IFERROR(VLOOKUP(G413,Master_Unit!$A$2:$N$78,13,FALSE),"UNIT NOT FOUND")</x:f>
        <x:v>Matched</x:v>
      </x:c>
    </x:row>
    <x:row r="414">
      <x:c r="A414" s="12" t="str">
        <x:v>FU-20260606-00413</x:v>
      </x:c>
      <x:c r="B414" s="12" t="n">
        <x:v>543</x:v>
      </x:c>
      <x:c r="C414" s="14" t="n">
        <x:v>46179</x:v>
      </x:c>
      <x:c r="D414" s="12" t="str">
        <x:v>Sabtu</x:v>
      </x:c>
      <x:c r="E414" s="12" t="str">
        <x:v>18:49:00</x:v>
      </x:c>
      <x:c r="F414" s="12" t="str">
        <x:v>All Shift Night</x:v>
      </x:c>
      <x:c r="G414" s="12" t="str">
        <x:v>EXVV21G040</x:v>
      </x:c>
      <x:c r="H414" s="12" t="str">
        <x:v>Excavator</x:v>
      </x:c>
      <x:c r="I414" s="12" t="str">
        <x:v>EXCAVATOR VOLVO EC210D</x:v>
      </x:c>
      <x:c r="J414" s="16" t="n">
        <x:v>150</x:v>
      </x:c>
      <x:c r="K414" s="16" t="n">
        <x:v>6539.4</x:v>
      </x:c>
      <x:c r="L414" s="16" t="n">
        <x:v>6544</x:v>
      </x:c>
      <x:c r="M414" s="16" t="n">
        <x:v>4.600000000000364</x:v>
      </x:c>
      <x:c r="N414" s="16" t="n">
        <x:v>32.608695652171335</x:v>
      </x:c>
      <x:c r="O414" s="12" t="str">
        <x:v>FTRL44G004</x:v>
      </x:c>
      <x:c r="P414" s="12" t="str">
        <x:v>EXVV21G040</x:v>
      </x:c>
      <x:c r="Q414" s="12" t="str"/>
      <x:c r="R414" s="12" t="str"/>
      <x:c r="S414" s="12" t="str"/>
      <x:c r="T414" s="12" t="str">
        <x:v>ABM</x:v>
      </x:c>
      <x:c r="U414" s="12" t="str"/>
      <x:c r="V414" s="12" t="str"/>
      <x:c r="W414" s="12" t="str"/>
      <x:c r="X414" s="12" t="str">
        <x:v>EXVV21</x:v>
      </x:c>
      <x:c r="Y414" s="12" t="str">
        <x:v>BADRI &amp; KAMRAN</x:v>
      </x:c>
      <x:c r="Z414" s="12" t="str"/>
      <x:c r="AA414" s="32" t="n">
        <x:f>IFERROR(VLOOKUP(G414,Master_Unit!$A$2:$N$78,7,FALSE),"")</x:f>
        <x:v>20</x:v>
      </x:c>
      <x:c r="AB414" s="32" t="n">
        <x:f>IF(OR(N414="",AA414=""),"",N414-AA414)</x:f>
        <x:v>12.608695652171335</x:v>
      </x:c>
      <x:c r="AC414" s="20" t="n">
        <x:f>IF(OR(N414="",AA414="",AA414=0),"",AB414/AA414)</x:f>
        <x:v>0.6304347826085668</x:v>
      </x:c>
      <x:c r="AD414" t="str">
        <x:f>IF(AA414="","NO STANDARD",IF(AC414&lt;=Config_Status!$B$2,"EFFICIENT",IF(AC414&lt;=Config_Status!$B$3,"NORMAL",IF(AC414&lt;=Config_Status!$B$4,"WARNING","OVER CONSUMPTION"))))</x:f>
        <x:v>OVER CONSUMPTION</x:v>
      </x:c>
      <x:c r="AE414" t="str">
        <x:f>IFERROR(VLOOKUP(G414,Master_Unit!$A$2:$N$78,13,FALSE),"UNIT NOT FOUND")</x:f>
        <x:v>Matched</x:v>
      </x:c>
    </x:row>
    <x:row r="415">
      <x:c r="A415" s="12" t="str">
        <x:v>FU-20260606-00414</x:v>
      </x:c>
      <x:c r="B415" s="12" t="n">
        <x:v>544</x:v>
      </x:c>
      <x:c r="C415" s="14" t="n">
        <x:v>46179</x:v>
      </x:c>
      <x:c r="D415" s="12" t="str">
        <x:v>Sabtu</x:v>
      </x:c>
      <x:c r="E415" s="12" t="str">
        <x:v>18:53:00</x:v>
      </x:c>
      <x:c r="F415" s="12" t="str">
        <x:v>All Shift Night</x:v>
      </x:c>
      <x:c r="G415" s="12" t="str">
        <x:v>BDKM85G040</x:v>
      </x:c>
      <x:c r="H415" s="12" t="str">
        <x:v>Dozer</x:v>
      </x:c>
      <x:c r="I415" s="12" t="str">
        <x:v>BULDOZER KOMATSU D85ESS-2</x:v>
      </x:c>
      <x:c r="J415" s="16" t="n">
        <x:v>165</x:v>
      </x:c>
      <x:c r="K415" s="16" t="n">
        <x:v>6220.2</x:v>
      </x:c>
      <x:c r="L415" s="16" t="n">
        <x:v>6228.8</x:v>
      </x:c>
      <x:c r="M415" s="16" t="n">
        <x:v>8.600000000000364</x:v>
      </x:c>
      <x:c r="N415" s="16" t="n">
        <x:v>19.186046511627094</x:v>
      </x:c>
      <x:c r="O415" s="12" t="str">
        <x:v>FTRL44G004</x:v>
      </x:c>
      <x:c r="P415" s="12" t="str">
        <x:v>BDKM85G040</x:v>
      </x:c>
      <x:c r="Q415" s="12" t="str"/>
      <x:c r="R415" s="12" t="str"/>
      <x:c r="S415" s="12" t="str"/>
      <x:c r="T415" s="12" t="str">
        <x:v>ABM</x:v>
      </x:c>
      <x:c r="U415" s="12" t="str"/>
      <x:c r="V415" s="12" t="str"/>
      <x:c r="W415" s="12" t="str"/>
      <x:c r="X415" s="12" t="str">
        <x:v>BDKM85</x:v>
      </x:c>
      <x:c r="Y415" s="12" t="str">
        <x:v>BADRI &amp; KAMRAN</x:v>
      </x:c>
      <x:c r="Z415" s="12" t="str"/>
      <x:c r="AA415" s="32" t="n">
        <x:f>IFERROR(VLOOKUP(G415,Master_Unit!$A$2:$N$78,7,FALSE),"")</x:f>
        <x:v>30</x:v>
      </x:c>
      <x:c r="AB415" s="32" t="n">
        <x:f>IF(OR(N415="",AA415=""),"",N415-AA415)</x:f>
        <x:v>-10.813953488372906</x:v>
      </x:c>
      <x:c r="AC415" s="20" t="n">
        <x:f>IF(OR(N415="",AA415="",AA415=0),"",AB415/AA415)</x:f>
        <x:v>-0.3604651162790969</x:v>
      </x:c>
      <x:c r="AD415" t="str">
        <x:f>IF(AA415="","NO STANDARD",IF(AC415&lt;=Config_Status!$B$2,"EFFICIENT",IF(AC415&lt;=Config_Status!$B$3,"NORMAL",IF(AC415&lt;=Config_Status!$B$4,"WARNING","OVER CONSUMPTION"))))</x:f>
        <x:v>EFFICIENT</x:v>
      </x:c>
      <x:c r="AE415" t="str">
        <x:f>IFERROR(VLOOKUP(G415,Master_Unit!$A$2:$N$78,13,FALSE),"UNIT NOT FOUND")</x:f>
        <x:v>Matched</x:v>
      </x:c>
    </x:row>
    <x:row r="416">
      <x:c r="A416" s="12" t="str">
        <x:v>FU-20260606-00415</x:v>
      </x:c>
      <x:c r="B416" s="12" t="n">
        <x:v>545</x:v>
      </x:c>
      <x:c r="C416" s="14" t="n">
        <x:v>46179</x:v>
      </x:c>
      <x:c r="D416" s="12" t="str">
        <x:v>Sabtu</x:v>
      </x:c>
      <x:c r="E416" s="12" t="str">
        <x:v>19:02:00</x:v>
      </x:c>
      <x:c r="F416" s="12" t="str">
        <x:v>All Shift Night</x:v>
      </x:c>
      <x:c r="G416" s="12" t="str">
        <x:v>STRL44G140</x:v>
      </x:c>
      <x:c r="H416" s="12" t="str">
        <x:v>Dump Truck</x:v>
      </x:c>
      <x:c r="I416" s="12" t="str">
        <x:v>DUMP TRUCK RENAULT KRANGE440-P6X4 A/T</x:v>
      </x:c>
      <x:c r="J416" s="16" t="n">
        <x:v>185</x:v>
      </x:c>
      <x:c r="K416" s="16" t="n">
        <x:v>5071</x:v>
      </x:c>
      <x:c r="L416" s="16" t="n">
        <x:v>5079</x:v>
      </x:c>
      <x:c r="M416" s="16" t="n">
        <x:v>8</x:v>
      </x:c>
      <x:c r="N416" s="16" t="n">
        <x:v>23.125</x:v>
      </x:c>
      <x:c r="O416" s="12" t="str">
        <x:v>FTRL44G004</x:v>
      </x:c>
      <x:c r="P416" s="12" t="str">
        <x:v>STRL44G140</x:v>
      </x:c>
      <x:c r="Q416" s="12" t="str"/>
      <x:c r="R416" s="12" t="str"/>
      <x:c r="S416" s="12" t="str"/>
      <x:c r="T416" s="12" t="str">
        <x:v>ABM</x:v>
      </x:c>
      <x:c r="U416" s="12" t="str"/>
      <x:c r="V416" s="12" t="str"/>
      <x:c r="W416" s="12" t="str"/>
      <x:c r="X416" s="12" t="str">
        <x:v>STRL44</x:v>
      </x:c>
      <x:c r="Y416" s="12" t="str">
        <x:v>BADRI &amp; KAMRAN</x:v>
      </x:c>
      <x:c r="Z416" s="12" t="str"/>
      <x:c r="AA416" s="32" t="n">
        <x:f>IFERROR(VLOOKUP(G416,Master_Unit!$A$2:$N$78,7,FALSE),"")</x:f>
        <x:v>20</x:v>
      </x:c>
      <x:c r="AB416" s="32" t="n">
        <x:f>IF(OR(N416="",AA416=""),"",N416-AA416)</x:f>
        <x:v>3.125</x:v>
      </x:c>
      <x:c r="AC416" s="20" t="n">
        <x:f>IF(OR(N416="",AA416="",AA416=0),"",AB416/AA416)</x:f>
        <x:v>0.15625</x:v>
      </x:c>
      <x:c r="AD416" t="str">
        <x:f>IF(AA416="","NO STANDARD",IF(AC416&lt;=Config_Status!$B$2,"EFFICIENT",IF(AC416&lt;=Config_Status!$B$3,"NORMAL",IF(AC416&lt;=Config_Status!$B$4,"WARNING","OVER CONSUMPTION"))))</x:f>
        <x:v>WARNING</x:v>
      </x:c>
      <x:c r="AE416" t="str">
        <x:f>IFERROR(VLOOKUP(G416,Master_Unit!$A$2:$N$78,13,FALSE),"UNIT NOT FOUND")</x:f>
        <x:v>Matched</x:v>
      </x:c>
    </x:row>
    <x:row r="417">
      <x:c r="A417" s="12" t="str">
        <x:v>FU-20260606-00416</x:v>
      </x:c>
      <x:c r="B417" s="12" t="n">
        <x:v>546</x:v>
      </x:c>
      <x:c r="C417" s="14" t="n">
        <x:v>46179</x:v>
      </x:c>
      <x:c r="D417" s="12" t="str">
        <x:v>Sabtu</x:v>
      </x:c>
      <x:c r="E417" s="12" t="str">
        <x:v>19:06:00</x:v>
      </x:c>
      <x:c r="F417" s="12" t="str">
        <x:v>All Shift Night</x:v>
      </x:c>
      <x:c r="G417" s="12" t="str">
        <x:v>STRL44G141</x:v>
      </x:c>
      <x:c r="H417" s="12" t="str">
        <x:v>Dump Truck</x:v>
      </x:c>
      <x:c r="I417" s="12" t="str">
        <x:v>DUMP TRUCK RENAULT KRANGE440-P6X4 A/T</x:v>
      </x:c>
      <x:c r="J417" s="16" t="n">
        <x:v>106</x:v>
      </x:c>
      <x:c r="K417" s="16" t="n">
        <x:v>3149</x:v>
      </x:c>
      <x:c r="L417" s="16" t="n">
        <x:v>3157</x:v>
      </x:c>
      <x:c r="M417" s="16" t="n">
        <x:v>8</x:v>
      </x:c>
      <x:c r="N417" s="16" t="n">
        <x:v>13.25</x:v>
      </x:c>
      <x:c r="O417" s="12" t="str">
        <x:v>FTRL44G004</x:v>
      </x:c>
      <x:c r="P417" s="12" t="str">
        <x:v>STRL44G141</x:v>
      </x:c>
      <x:c r="Q417" s="12" t="str"/>
      <x:c r="R417" s="12" t="str"/>
      <x:c r="S417" s="12" t="str"/>
      <x:c r="T417" s="12" t="str">
        <x:v>ABM</x:v>
      </x:c>
      <x:c r="U417" s="12" t="str"/>
      <x:c r="V417" s="12" t="str"/>
      <x:c r="W417" s="12" t="str"/>
      <x:c r="X417" s="12" t="str">
        <x:v>STRL44</x:v>
      </x:c>
      <x:c r="Y417" s="12" t="str">
        <x:v>BADRI &amp; KAMRAN</x:v>
      </x:c>
      <x:c r="Z417" s="12" t="str"/>
      <x:c r="AA417" s="32" t="n">
        <x:f>IFERROR(VLOOKUP(G417,Master_Unit!$A$2:$N$78,7,FALSE),"")</x:f>
        <x:v>20</x:v>
      </x:c>
      <x:c r="AB417" s="32" t="n">
        <x:f>IF(OR(N417="",AA417=""),"",N417-AA417)</x:f>
        <x:v>-6.75</x:v>
      </x:c>
      <x:c r="AC417" s="20" t="n">
        <x:f>IF(OR(N417="",AA417="",AA417=0),"",AB417/AA417)</x:f>
        <x:v>-0.3375</x:v>
      </x:c>
      <x:c r="AD417" t="str">
        <x:f>IF(AA417="","NO STANDARD",IF(AC417&lt;=Config_Status!$B$2,"EFFICIENT",IF(AC417&lt;=Config_Status!$B$3,"NORMAL",IF(AC417&lt;=Config_Status!$B$4,"WARNING","OVER CONSUMPTION"))))</x:f>
        <x:v>EFFICIENT</x:v>
      </x:c>
      <x:c r="AE417" t="str">
        <x:f>IFERROR(VLOOKUP(G417,Master_Unit!$A$2:$N$78,13,FALSE),"UNIT NOT FOUND")</x:f>
        <x:v>Matched</x:v>
      </x:c>
    </x:row>
    <x:row r="418">
      <x:c r="A418" s="12" t="str">
        <x:v>FU-20260606-00417</x:v>
      </x:c>
      <x:c r="B418" s="12" t="n">
        <x:v>547</x:v>
      </x:c>
      <x:c r="C418" s="14" t="n">
        <x:v>46179</x:v>
      </x:c>
      <x:c r="D418" s="12" t="str">
        <x:v>Sabtu</x:v>
      </x:c>
      <x:c r="E418" s="12" t="str">
        <x:v>19:11:00</x:v>
      </x:c>
      <x:c r="F418" s="12" t="str">
        <x:v>All Shift Night</x:v>
      </x:c>
      <x:c r="G418" s="12" t="str">
        <x:v>STRL44G136</x:v>
      </x:c>
      <x:c r="H418" s="12" t="str">
        <x:v>Dump Truck</x:v>
      </x:c>
      <x:c r="I418" s="12" t="str">
        <x:v>DUMP TRUCK RENAULT KRANGE440-P6X4 A/T</x:v>
      </x:c>
      <x:c r="J418" s="16" t="n">
        <x:v>61</x:v>
      </x:c>
      <x:c r="K418" s="16" t="n">
        <x:v>5815</x:v>
      </x:c>
      <x:c r="L418" s="16" t="n">
        <x:v>5823</x:v>
      </x:c>
      <x:c r="M418" s="16" t="n">
        <x:v>8</x:v>
      </x:c>
      <x:c r="N418" s="16" t="n">
        <x:v>7.625</x:v>
      </x:c>
      <x:c r="O418" s="12" t="str">
        <x:v>FTRL44G005</x:v>
      </x:c>
      <x:c r="P418" s="12" t="str">
        <x:v>STRL44G136</x:v>
      </x:c>
      <x:c r="Q418" s="12" t="str"/>
      <x:c r="R418" s="12" t="str"/>
      <x:c r="S418" s="12" t="str"/>
      <x:c r="T418" s="12" t="str">
        <x:v>ABM</x:v>
      </x:c>
      <x:c r="U418" s="12" t="str"/>
      <x:c r="V418" s="12" t="str"/>
      <x:c r="W418" s="12" t="str"/>
      <x:c r="X418" s="12" t="str">
        <x:v>STRL44</x:v>
      </x:c>
      <x:c r="Y418" s="12" t="str">
        <x:v>RAFIF &amp; YOGI</x:v>
      </x:c>
      <x:c r="Z418" s="12" t="str"/>
      <x:c r="AA418" s="32" t="n">
        <x:f>IFERROR(VLOOKUP(G418,Master_Unit!$A$2:$N$78,7,FALSE),"")</x:f>
        <x:v>20</x:v>
      </x:c>
      <x:c r="AB418" s="32" t="n">
        <x:f>IF(OR(N418="",AA418=""),"",N418-AA418)</x:f>
        <x:v>-12.375</x:v>
      </x:c>
      <x:c r="AC418" s="20" t="n">
        <x:f>IF(OR(N418="",AA418="",AA418=0),"",AB418/AA418)</x:f>
        <x:v>-0.61875</x:v>
      </x:c>
      <x:c r="AD418" t="str">
        <x:f>IF(AA418="","NO STANDARD",IF(AC418&lt;=Config_Status!$B$2,"EFFICIENT",IF(AC418&lt;=Config_Status!$B$3,"NORMAL",IF(AC418&lt;=Config_Status!$B$4,"WARNING","OVER CONSUMPTION"))))</x:f>
        <x:v>EFFICIENT</x:v>
      </x:c>
      <x:c r="AE418" t="str">
        <x:f>IFERROR(VLOOKUP(G418,Master_Unit!$A$2:$N$78,13,FALSE),"UNIT NOT FOUND")</x:f>
        <x:v>Matched</x:v>
      </x:c>
    </x:row>
    <x:row r="419">
      <x:c r="A419" s="12" t="str">
        <x:v>FU-20260606-00418</x:v>
      </x:c>
      <x:c r="B419" s="12" t="n">
        <x:v>548</x:v>
      </x:c>
      <x:c r="C419" s="14" t="n">
        <x:v>46179</x:v>
      </x:c>
      <x:c r="D419" s="12" t="str">
        <x:v>Sabtu</x:v>
      </x:c>
      <x:c r="E419" s="12" t="str">
        <x:v>23:58:00</x:v>
      </x:c>
      <x:c r="F419" s="12" t="str">
        <x:v>All Shift Night</x:v>
      </x:c>
      <x:c r="G419" s="12" t="str">
        <x:v>EXVV21G032</x:v>
      </x:c>
      <x:c r="H419" s="12" t="str">
        <x:v>Excavator</x:v>
      </x:c>
      <x:c r="I419" s="12" t="str">
        <x:v>EXCAVATOR VOLVO EC210D</x:v>
      </x:c>
      <x:c r="J419" s="16" t="n">
        <x:v>153</x:v>
      </x:c>
      <x:c r="K419" s="16" t="n">
        <x:v>7460.8</x:v>
      </x:c>
      <x:c r="L419" s="16" t="n">
        <x:v>7470.3</x:v>
      </x:c>
      <x:c r="M419" s="16" t="n">
        <x:v>9.5</x:v>
      </x:c>
      <x:c r="N419" s="16" t="n">
        <x:v>16.105263157894736</x:v>
      </x:c>
      <x:c r="O419" s="12" t="str">
        <x:v>FTRL44G004</x:v>
      </x:c>
      <x:c r="P419" s="12" t="str">
        <x:v>EXVV21G032</x:v>
      </x:c>
      <x:c r="Q419" s="12" t="str"/>
      <x:c r="R419" s="12" t="str"/>
      <x:c r="S419" s="12" t="str"/>
      <x:c r="T419" s="12" t="str">
        <x:v>ABM</x:v>
      </x:c>
      <x:c r="U419" s="12" t="str"/>
      <x:c r="V419" s="12" t="str"/>
      <x:c r="W419" s="12" t="str"/>
      <x:c r="X419" s="12" t="str">
        <x:v>EXVV21</x:v>
      </x:c>
      <x:c r="Y419" s="12" t="str">
        <x:v>BADRI &amp; KAMRAN</x:v>
      </x:c>
      <x:c r="Z419" s="12" t="str"/>
      <x:c r="AA419" s="32" t="n">
        <x:f>IFERROR(VLOOKUP(G419,Master_Unit!$A$2:$N$78,7,FALSE),"")</x:f>
        <x:v>20</x:v>
      </x:c>
      <x:c r="AB419" s="32" t="n">
        <x:f>IF(OR(N419="",AA419=""),"",N419-AA419)</x:f>
        <x:v>-3.8947368421052637</x:v>
      </x:c>
      <x:c r="AC419" s="20" t="n">
        <x:f>IF(OR(N419="",AA419="",AA419=0),"",AB419/AA419)</x:f>
        <x:v>-0.19473684210526318</x:v>
      </x:c>
      <x:c r="AD419" t="str">
        <x:f>IF(AA419="","NO STANDARD",IF(AC419&lt;=Config_Status!$B$2,"EFFICIENT",IF(AC419&lt;=Config_Status!$B$3,"NORMAL",IF(AC419&lt;=Config_Status!$B$4,"WARNING","OVER CONSUMPTION"))))</x:f>
        <x:v>EFFICIENT</x:v>
      </x:c>
      <x:c r="AE419" t="str">
        <x:f>IFERROR(VLOOKUP(G419,Master_Unit!$A$2:$N$78,13,FALSE),"UNIT NOT FOUND")</x:f>
        <x:v>Matched</x:v>
      </x:c>
    </x:row>
    <x:row r="420">
      <x:c r="A420" s="12" t="str">
        <x:v>FU-20260606-00419</x:v>
      </x:c>
      <x:c r="B420" s="12" t="n">
        <x:v>549</x:v>
      </x:c>
      <x:c r="C420" s="14" t="n">
        <x:v>46179</x:v>
      </x:c>
      <x:c r="D420" s="12" t="str">
        <x:v>Sabtu</x:v>
      </x:c>
      <x:c r="E420" s="12" t="str">
        <x:v>00:06:00</x:v>
      </x:c>
      <x:c r="F420" s="12" t="str">
        <x:v>All Shift Night</x:v>
      </x:c>
      <x:c r="G420" s="12" t="str">
        <x:v>EXVV21G037</x:v>
      </x:c>
      <x:c r="H420" s="12" t="str">
        <x:v>Excavator</x:v>
      </x:c>
      <x:c r="I420" s="12" t="str">
        <x:v>EXCAVATOR VOLVO EC210D</x:v>
      </x:c>
      <x:c r="J420" s="16" t="n">
        <x:v>131</x:v>
      </x:c>
      <x:c r="K420" s="16" t="n">
        <x:v>6812.5</x:v>
      </x:c>
      <x:c r="L420" s="16" t="n">
        <x:v>6821.7</x:v>
      </x:c>
      <x:c r="M420" s="16" t="n">
        <x:v>9.199999999999818</x:v>
      </x:c>
      <x:c r="N420" s="16" t="n">
        <x:v>14.23913043478289</x:v>
      </x:c>
      <x:c r="O420" s="12" t="str">
        <x:v>FTRL44G004</x:v>
      </x:c>
      <x:c r="P420" s="12" t="str">
        <x:v>EXVV21G037</x:v>
      </x:c>
      <x:c r="Q420" s="12" t="str"/>
      <x:c r="R420" s="12" t="str"/>
      <x:c r="S420" s="12" t="str"/>
      <x:c r="T420" s="12" t="str">
        <x:v>ABM</x:v>
      </x:c>
      <x:c r="U420" s="12" t="str"/>
      <x:c r="V420" s="12" t="str"/>
      <x:c r="W420" s="12" t="str"/>
      <x:c r="X420" s="12" t="str">
        <x:v>EXVV21</x:v>
      </x:c>
      <x:c r="Y420" s="12" t="str">
        <x:v>BADRI &amp; KAMRAN</x:v>
      </x:c>
      <x:c r="Z420" s="12" t="str"/>
      <x:c r="AA420" s="32" t="n">
        <x:f>IFERROR(VLOOKUP(G420,Master_Unit!$A$2:$N$78,7,FALSE),"")</x:f>
        <x:v>20</x:v>
      </x:c>
      <x:c r="AB420" s="32" t="n">
        <x:f>IF(OR(N420="",AA420=""),"",N420-AA420)</x:f>
        <x:v>-5.76086956521711</x:v>
      </x:c>
      <x:c r="AC420" s="20" t="n">
        <x:f>IF(OR(N420="",AA420="",AA420=0),"",AB420/AA420)</x:f>
        <x:v>-0.2880434782608555</x:v>
      </x:c>
      <x:c r="AD420" t="str">
        <x:f>IF(AA420="","NO STANDARD",IF(AC420&lt;=Config_Status!$B$2,"EFFICIENT",IF(AC420&lt;=Config_Status!$B$3,"NORMAL",IF(AC420&lt;=Config_Status!$B$4,"WARNING","OVER CONSUMPTION"))))</x:f>
        <x:v>EFFICIENT</x:v>
      </x:c>
      <x:c r="AE420" t="str">
        <x:f>IFERROR(VLOOKUP(G420,Master_Unit!$A$2:$N$78,13,FALSE),"UNIT NOT FOUND")</x:f>
        <x:v>Matched</x:v>
      </x:c>
    </x:row>
    <x:row r="421">
      <x:c r="A421" s="12" t="str">
        <x:v>FU-20260606-00420</x:v>
      </x:c>
      <x:c r="B421" s="12" t="n">
        <x:v>550</x:v>
      </x:c>
      <x:c r="C421" s="14" t="n">
        <x:v>46179</x:v>
      </x:c>
      <x:c r="D421" s="12" t="str">
        <x:v>Sabtu</x:v>
      </x:c>
      <x:c r="E421" s="12" t="str">
        <x:v>18:18:00</x:v>
      </x:c>
      <x:c r="F421" s="12" t="str">
        <x:v>All Shift Night</x:v>
      </x:c>
      <x:c r="G421" s="12" t="str">
        <x:v>VRVV11G013</x:v>
      </x:c>
      <x:c r="H421" s="12" t="str">
        <x:v>Compactor</x:v>
      </x:c>
      <x:c r="I421" s="12" t="str">
        <x:v>VIBRO COMPACTOR VOLVO SD110NE</x:v>
      </x:c>
      <x:c r="J421" s="16" t="n">
        <x:v>74</x:v>
      </x:c>
      <x:c r="K421" s="16" t="n">
        <x:v>3182.1</x:v>
      </x:c>
      <x:c r="L421" s="16" t="n">
        <x:v>3184.1</x:v>
      </x:c>
      <x:c r="M421" s="16" t="n">
        <x:v>2</x:v>
      </x:c>
      <x:c r="N421" s="16" t="n">
        <x:v>37</x:v>
      </x:c>
      <x:c r="O421" s="12" t="str">
        <x:v>FTRL44G004</x:v>
      </x:c>
      <x:c r="P421" s="12" t="str">
        <x:v>VRVV11G013</x:v>
      </x:c>
      <x:c r="Q421" s="12" t="str"/>
      <x:c r="R421" s="12" t="str"/>
      <x:c r="S421" s="12" t="str"/>
      <x:c r="T421" s="12" t="str">
        <x:v>ABM</x:v>
      </x:c>
      <x:c r="U421" s="12" t="str"/>
      <x:c r="V421" s="12" t="str"/>
      <x:c r="W421" s="12" t="str"/>
      <x:c r="X421" s="12" t="str">
        <x:v>VRVV11</x:v>
      </x:c>
      <x:c r="Y421" s="12" t="str">
        <x:v>BADRI &amp; KAMRAN</x:v>
      </x:c>
      <x:c r="Z421" s="12" t="str"/>
      <x:c r="AA421" s="32" t="n">
        <x:f>IFERROR(VLOOKUP(G421,Master_Unit!$A$2:$N$78,7,FALSE),"")</x:f>
        <x:v>15</x:v>
      </x:c>
      <x:c r="AB421" s="32" t="n">
        <x:f>IF(OR(N421="",AA421=""),"",N421-AA421)</x:f>
        <x:v>22</x:v>
      </x:c>
      <x:c r="AC421" s="20" t="n">
        <x:f>IF(OR(N421="",AA421="",AA421=0),"",AB421/AA421)</x:f>
        <x:v>1.4666666666666666</x:v>
      </x:c>
      <x:c r="AD421" t="str">
        <x:f>IF(AA421="","NO STANDARD",IF(AC421&lt;=Config_Status!$B$2,"EFFICIENT",IF(AC421&lt;=Config_Status!$B$3,"NORMAL",IF(AC421&lt;=Config_Status!$B$4,"WARNING","OVER CONSUMPTION"))))</x:f>
        <x:v>OVER CONSUMPTION</x:v>
      </x:c>
      <x:c r="AE421" t="str">
        <x:f>IFERROR(VLOOKUP(G421,Master_Unit!$A$2:$N$78,13,FALSE),"UNIT NOT FOUND")</x:f>
        <x:v>Matched</x:v>
      </x:c>
    </x:row>
    <x:row r="422">
      <x:c r="A422" s="12" t="str">
        <x:v>FU-20260606-00421</x:v>
      </x:c>
      <x:c r="B422" s="12" t="n">
        <x:v>551</x:v>
      </x:c>
      <x:c r="C422" s="14" t="n">
        <x:v>46179</x:v>
      </x:c>
      <x:c r="D422" s="12" t="str">
        <x:v>Sabtu</x:v>
      </x:c>
      <x:c r="E422" s="12" t="str">
        <x:v>18:28:00</x:v>
      </x:c>
      <x:c r="F422" s="12" t="str">
        <x:v>All Shift Night</x:v>
      </x:c>
      <x:c r="G422" s="12" t="str">
        <x:v>EXVV21G036</x:v>
      </x:c>
      <x:c r="H422" s="12" t="str">
        <x:v>Excavator</x:v>
      </x:c>
      <x:c r="I422" s="12" t="str">
        <x:v>EXCAVATOR VOLVO EC210D</x:v>
      </x:c>
      <x:c r="J422" s="16" t="n">
        <x:v>182</x:v>
      </x:c>
      <x:c r="K422" s="16" t="n">
        <x:v>7517.5</x:v>
      </x:c>
      <x:c r="L422" s="16" t="n">
        <x:v>7522</x:v>
      </x:c>
      <x:c r="M422" s="16" t="n">
        <x:v>4.5</x:v>
      </x:c>
      <x:c r="N422" s="16" t="n">
        <x:v>40.44444444444444</x:v>
      </x:c>
      <x:c r="O422" s="12" t="str">
        <x:v>FTRL44G004</x:v>
      </x:c>
      <x:c r="P422" s="12" t="str">
        <x:v>EXVV21G036</x:v>
      </x:c>
      <x:c r="Q422" s="12" t="str"/>
      <x:c r="R422" s="12" t="str"/>
      <x:c r="S422" s="12" t="str"/>
      <x:c r="T422" s="12" t="str">
        <x:v>ABM</x:v>
      </x:c>
      <x:c r="U422" s="12" t="str"/>
      <x:c r="V422" s="12" t="str"/>
      <x:c r="W422" s="12" t="str"/>
      <x:c r="X422" s="12" t="str">
        <x:v>EXVV21</x:v>
      </x:c>
      <x:c r="Y422" s="12" t="str">
        <x:v>BADRI &amp; KAMRAN</x:v>
      </x:c>
      <x:c r="Z422" s="12" t="str"/>
      <x:c r="AA422" s="32" t="n">
        <x:f>IFERROR(VLOOKUP(G422,Master_Unit!$A$2:$N$78,7,FALSE),"")</x:f>
        <x:v>20</x:v>
      </x:c>
      <x:c r="AB422" s="32" t="n">
        <x:f>IF(OR(N422="",AA422=""),"",N422-AA422)</x:f>
        <x:v>20.444444444444443</x:v>
      </x:c>
      <x:c r="AC422" s="20" t="n">
        <x:f>IF(OR(N422="",AA422="",AA422=0),"",AB422/AA422)</x:f>
        <x:v>1.0222222222222221</x:v>
      </x:c>
      <x:c r="AD422" t="str">
        <x:f>IF(AA422="","NO STANDARD",IF(AC422&lt;=Config_Status!$B$2,"EFFICIENT",IF(AC422&lt;=Config_Status!$B$3,"NORMAL",IF(AC422&lt;=Config_Status!$B$4,"WARNING","OVER CONSUMPTION"))))</x:f>
        <x:v>OVER CONSUMPTION</x:v>
      </x:c>
      <x:c r="AE422" t="str">
        <x:f>IFERROR(VLOOKUP(G422,Master_Unit!$A$2:$N$78,13,FALSE),"UNIT NOT FOUND")</x:f>
        <x:v>Matched</x:v>
      </x:c>
    </x:row>
    <x:row r="423">
      <x:c r="A423" s="12" t="str">
        <x:v>FU-20260606-00422</x:v>
      </x:c>
      <x:c r="B423" s="12" t="n">
        <x:v>552</x:v>
      </x:c>
      <x:c r="C423" s="14" t="n">
        <x:v>46179</x:v>
      </x:c>
      <x:c r="D423" s="12" t="str">
        <x:v>Sabtu</x:v>
      </x:c>
      <x:c r="E423" s="12" t="str">
        <x:v>18:42:00</x:v>
      </x:c>
      <x:c r="F423" s="12" t="str">
        <x:v>All Shift Night</x:v>
      </x:c>
      <x:c r="G423" s="12" t="str">
        <x:v>EXVV35G004</x:v>
      </x:c>
      <x:c r="H423" s="12" t="str">
        <x:v>Excavator</x:v>
      </x:c>
      <x:c r="I423" s="12" t="str">
        <x:v>EXCAVATOR VOLVO EC350D</x:v>
      </x:c>
      <x:c r="J423" s="16" t="n">
        <x:v>213</x:v>
      </x:c>
      <x:c r="K423" s="16" t="n">
        <x:v>2510.4</x:v>
      </x:c>
      <x:c r="L423" s="16" t="n">
        <x:v>2515.7</x:v>
      </x:c>
      <x:c r="M423" s="16" t="n">
        <x:v>5.299999999999727</x:v>
      </x:c>
      <x:c r="N423" s="16" t="n">
        <x:v>40.18867924528509</x:v>
      </x:c>
      <x:c r="O423" s="12" t="str">
        <x:v>FTRL44G004</x:v>
      </x:c>
      <x:c r="P423" s="12" t="str">
        <x:v>EXVV35G004</x:v>
      </x:c>
      <x:c r="Q423" s="12" t="str"/>
      <x:c r="R423" s="12" t="str"/>
      <x:c r="S423" s="12" t="str"/>
      <x:c r="T423" s="12" t="str">
        <x:v>ABM</x:v>
      </x:c>
      <x:c r="U423" s="12" t="str"/>
      <x:c r="V423" s="12" t="str"/>
      <x:c r="W423" s="12" t="str"/>
      <x:c r="X423" s="12" t="str">
        <x:v>EXVV35</x:v>
      </x:c>
      <x:c r="Y423" s="12" t="str">
        <x:v>BADRI &amp; KAMRAN</x:v>
      </x:c>
      <x:c r="Z423" s="12" t="str"/>
      <x:c r="AA423" s="32" t="n">
        <x:f>IFERROR(VLOOKUP(G423,Master_Unit!$A$2:$N$78,7,FALSE),"")</x:f>
        <x:v>25</x:v>
      </x:c>
      <x:c r="AB423" s="32" t="n">
        <x:f>IF(OR(N423="",AA423=""),"",N423-AA423)</x:f>
        <x:v>15.188679245285087</x:v>
      </x:c>
      <x:c r="AC423" s="20" t="n">
        <x:f>IF(OR(N423="",AA423="",AA423=0),"",AB423/AA423)</x:f>
        <x:v>0.6075471698114034</x:v>
      </x:c>
      <x:c r="AD423" t="str">
        <x:f>IF(AA423="","NO STANDARD",IF(AC423&lt;=Config_Status!$B$2,"EFFICIENT",IF(AC423&lt;=Config_Status!$B$3,"NORMAL",IF(AC423&lt;=Config_Status!$B$4,"WARNING","OVER CONSUMPTION"))))</x:f>
        <x:v>OVER CONSUMPTION</x:v>
      </x:c>
      <x:c r="AE423" t="str">
        <x:f>IFERROR(VLOOKUP(G423,Master_Unit!$A$2:$N$78,13,FALSE),"UNIT NOT FOUND")</x:f>
        <x:v>Matched</x:v>
      </x:c>
    </x:row>
    <x:row r="424">
      <x:c r="A424" s="12" t="str">
        <x:v>FU-20260606-00423</x:v>
      </x:c>
      <x:c r="B424" s="12" t="n">
        <x:v>553</x:v>
      </x:c>
      <x:c r="C424" s="14" t="n">
        <x:v>46179</x:v>
      </x:c>
      <x:c r="D424" s="12" t="str">
        <x:v>Sabtu</x:v>
      </x:c>
      <x:c r="E424" s="12" t="str">
        <x:v>19:28:00</x:v>
      </x:c>
      <x:c r="F424" s="12" t="str">
        <x:v>All Shift Night</x:v>
      </x:c>
      <x:c r="G424" s="12" t="str">
        <x:v>EXVV21G038</x:v>
      </x:c>
      <x:c r="H424" s="12" t="str">
        <x:v>Excavator</x:v>
      </x:c>
      <x:c r="I424" s="12" t="str">
        <x:v>EXCAVATOR VOLVO EC210D</x:v>
      </x:c>
      <x:c r="J424" s="16" t="n">
        <x:v>187</x:v>
      </x:c>
      <x:c r="K424" s="16" t="n">
        <x:v>4158.8</x:v>
      </x:c>
      <x:c r="L424" s="16" t="n">
        <x:v>4167.5</x:v>
      </x:c>
      <x:c r="M424" s="16" t="n">
        <x:v>8.699999999999818</x:v>
      </x:c>
      <x:c r="N424" s="16" t="n">
        <x:v>21.494252873563667</x:v>
      </x:c>
      <x:c r="O424" s="12" t="str">
        <x:v>FTRL44G004</x:v>
      </x:c>
      <x:c r="P424" s="12" t="str">
        <x:v>EXVV21G038</x:v>
      </x:c>
      <x:c r="Q424" s="12" t="str"/>
      <x:c r="R424" s="12" t="str"/>
      <x:c r="S424" s="12" t="str"/>
      <x:c r="T424" s="12" t="str">
        <x:v>ABM</x:v>
      </x:c>
      <x:c r="U424" s="12" t="str"/>
      <x:c r="V424" s="12" t="str"/>
      <x:c r="W424" s="12" t="str"/>
      <x:c r="X424" s="12" t="str">
        <x:v>EXVV21</x:v>
      </x:c>
      <x:c r="Y424" s="12" t="str">
        <x:v>BADRI &amp; KAMRAN</x:v>
      </x:c>
      <x:c r="Z424" s="12" t="str"/>
      <x:c r="AA424" s="32" t="n">
        <x:f>IFERROR(VLOOKUP(G424,Master_Unit!$A$2:$N$78,7,FALSE),"")</x:f>
        <x:v>20</x:v>
      </x:c>
      <x:c r="AB424" s="32" t="n">
        <x:f>IF(OR(N424="",AA424=""),"",N424-AA424)</x:f>
        <x:v>1.494252873563667</x:v>
      </x:c>
      <x:c r="AC424" s="20" t="n">
        <x:f>IF(OR(N424="",AA424="",AA424=0),"",AB424/AA424)</x:f>
        <x:v>0.07471264367818335</x:v>
      </x:c>
      <x:c r="AD424" t="str">
        <x:f>IF(AA424="","NO STANDARD",IF(AC424&lt;=Config_Status!$B$2,"EFFICIENT",IF(AC424&lt;=Config_Status!$B$3,"NORMAL",IF(AC424&lt;=Config_Status!$B$4,"WARNING","OVER CONSUMPTION"))))</x:f>
        <x:v>NORMAL</x:v>
      </x:c>
      <x:c r="AE424" t="str">
        <x:f>IFERROR(VLOOKUP(G424,Master_Unit!$A$2:$N$78,13,FALSE),"UNIT NOT FOUND")</x:f>
        <x:v>Matched</x:v>
      </x:c>
    </x:row>
    <x:row r="425">
      <x:c r="A425" s="12" t="str">
        <x:v>FU-20260606-00424</x:v>
      </x:c>
      <x:c r="B425" s="12" t="n">
        <x:v>554</x:v>
      </x:c>
      <x:c r="C425" s="14" t="n">
        <x:v>46179</x:v>
      </x:c>
      <x:c r="D425" s="12" t="str">
        <x:v>Sabtu</x:v>
      </x:c>
      <x:c r="E425" s="12" t="str">
        <x:v>19:45:00</x:v>
      </x:c>
      <x:c r="F425" s="12" t="str">
        <x:v>All Shift Night</x:v>
      </x:c>
      <x:c r="G425" s="12" t="str">
        <x:v>EXVV21G041</x:v>
      </x:c>
      <x:c r="H425" s="12" t="str">
        <x:v>Excavator</x:v>
      </x:c>
      <x:c r="I425" s="12" t="str">
        <x:v>EXCAVATOR VOLVO EC210D</x:v>
      </x:c>
      <x:c r="J425" s="16" t="n">
        <x:v>178</x:v>
      </x:c>
      <x:c r="K425" s="16" t="n">
        <x:v>4474</x:v>
      </x:c>
      <x:c r="L425" s="16" t="n">
        <x:v>4481.6</x:v>
      </x:c>
      <x:c r="M425" s="16" t="n">
        <x:v>7.600000000000364</x:v>
      </x:c>
      <x:c r="N425" s="16" t="n">
        <x:v>23.421052631577826</x:v>
      </x:c>
      <x:c r="O425" s="12" t="str">
        <x:v>FTRL44G004</x:v>
      </x:c>
      <x:c r="P425" s="12" t="str">
        <x:v>EXVV21G041</x:v>
      </x:c>
      <x:c r="Q425" s="12" t="str"/>
      <x:c r="R425" s="12" t="str"/>
      <x:c r="S425" s="12" t="str"/>
      <x:c r="T425" s="12" t="str">
        <x:v>ABM</x:v>
      </x:c>
      <x:c r="U425" s="12" t="str"/>
      <x:c r="V425" s="12" t="str"/>
      <x:c r="W425" s="12" t="str"/>
      <x:c r="X425" s="12" t="str">
        <x:v>EXVV21</x:v>
      </x:c>
      <x:c r="Y425" s="12" t="str">
        <x:v>BADRI &amp; KAMRAN</x:v>
      </x:c>
      <x:c r="Z425" s="12" t="str"/>
      <x:c r="AA425" s="32" t="n">
        <x:f>IFERROR(VLOOKUP(G425,Master_Unit!$A$2:$N$78,7,FALSE),"")</x:f>
        <x:v>20</x:v>
      </x:c>
      <x:c r="AB425" s="32" t="n">
        <x:f>IF(OR(N425="",AA425=""),"",N425-AA425)</x:f>
        <x:v>3.421052631577826</x:v>
      </x:c>
      <x:c r="AC425" s="20" t="n">
        <x:f>IF(OR(N425="",AA425="",AA425=0),"",AB425/AA425)</x:f>
        <x:v>0.1710526315788913</x:v>
      </x:c>
      <x:c r="AD425" t="str">
        <x:f>IF(AA425="","NO STANDARD",IF(AC425&lt;=Config_Status!$B$2,"EFFICIENT",IF(AC425&lt;=Config_Status!$B$3,"NORMAL",IF(AC425&lt;=Config_Status!$B$4,"WARNING","OVER CONSUMPTION"))))</x:f>
        <x:v>WARNING</x:v>
      </x:c>
      <x:c r="AE425" t="str">
        <x:f>IFERROR(VLOOKUP(G425,Master_Unit!$A$2:$N$78,13,FALSE),"UNIT NOT FOUND")</x:f>
        <x:v>Matched</x:v>
      </x:c>
    </x:row>
    <x:row r="426">
      <x:c r="A426" s="12" t="str">
        <x:v>FU-20260606-00425</x:v>
      </x:c>
      <x:c r="B426" s="12" t="n">
        <x:v>555</x:v>
      </x:c>
      <x:c r="C426" s="14" t="n">
        <x:v>46179</x:v>
      </x:c>
      <x:c r="D426" s="12" t="str">
        <x:v>Sabtu</x:v>
      </x:c>
      <x:c r="E426" s="12" t="str">
        <x:v>20:04:00</x:v>
      </x:c>
      <x:c r="F426" s="12" t="str">
        <x:v>All Shift Night</x:v>
      </x:c>
      <x:c r="G426" s="12" t="str">
        <x:v>STRL44G142</x:v>
      </x:c>
      <x:c r="H426" s="12" t="str">
        <x:v>Dump Truck</x:v>
      </x:c>
      <x:c r="I426" s="12" t="str">
        <x:v>DUMP TRUCK RENAULT KRANGE440-P6X4 A/T</x:v>
      </x:c>
      <x:c r="J426" s="16" t="n">
        <x:v>174</x:v>
      </x:c>
      <x:c r="K426" s="16" t="n">
        <x:v>3305</x:v>
      </x:c>
      <x:c r="L426" s="16" t="n">
        <x:v>3315</x:v>
      </x:c>
      <x:c r="M426" s="16" t="n">
        <x:v>10</x:v>
      </x:c>
      <x:c r="N426" s="16" t="n">
        <x:v>17.4</x:v>
      </x:c>
      <x:c r="O426" s="12" t="str">
        <x:v>FTRL44G004</x:v>
      </x:c>
      <x:c r="P426" s="12" t="str">
        <x:v>STRL44G142</x:v>
      </x:c>
      <x:c r="Q426" s="12" t="str"/>
      <x:c r="R426" s="12" t="str"/>
      <x:c r="S426" s="12" t="str"/>
      <x:c r="T426" s="12" t="str">
        <x:v>ABM</x:v>
      </x:c>
      <x:c r="U426" s="12" t="str"/>
      <x:c r="V426" s="12" t="str"/>
      <x:c r="W426" s="12" t="str"/>
      <x:c r="X426" s="12" t="str">
        <x:v>STRL44</x:v>
      </x:c>
      <x:c r="Y426" s="12" t="str">
        <x:v>BADRI &amp; KAMRAN</x:v>
      </x:c>
      <x:c r="Z426" s="12" t="str"/>
      <x:c r="AA426" s="32" t="n">
        <x:f>IFERROR(VLOOKUP(G426,Master_Unit!$A$2:$N$78,7,FALSE),"")</x:f>
        <x:v>20</x:v>
      </x:c>
      <x:c r="AB426" s="32" t="n">
        <x:f>IF(OR(N426="",AA426=""),"",N426-AA426)</x:f>
        <x:v>-2.6000000000000014</x:v>
      </x:c>
      <x:c r="AC426" s="20" t="n">
        <x:f>IF(OR(N426="",AA426="",AA426=0),"",AB426/AA426)</x:f>
        <x:v>-0.13000000000000006</x:v>
      </x:c>
      <x:c r="AD426" t="str">
        <x:f>IF(AA426="","NO STANDARD",IF(AC426&lt;=Config_Status!$B$2,"EFFICIENT",IF(AC426&lt;=Config_Status!$B$3,"NORMAL",IF(AC426&lt;=Config_Status!$B$4,"WARNING","OVER CONSUMPTION"))))</x:f>
        <x:v>EFFICIENT</x:v>
      </x:c>
      <x:c r="AE426" t="str">
        <x:f>IFERROR(VLOOKUP(G426,Master_Unit!$A$2:$N$78,13,FALSE),"UNIT NOT FOUND")</x:f>
        <x:v>Matched</x:v>
      </x:c>
    </x:row>
    <x:row r="427">
      <x:c r="A427" s="12" t="str">
        <x:v>FU-20260606-00426</x:v>
      </x:c>
      <x:c r="B427" s="12" t="n">
        <x:v>556</x:v>
      </x:c>
      <x:c r="C427" s="14" t="n">
        <x:v>46179</x:v>
      </x:c>
      <x:c r="D427" s="12" t="str">
        <x:v>Sabtu</x:v>
      </x:c>
      <x:c r="E427" s="12" t="str">
        <x:v>20:11:00</x:v>
      </x:c>
      <x:c r="F427" s="12" t="str">
        <x:v>All Shift Night</x:v>
      </x:c>
      <x:c r="G427" s="12" t="str">
        <x:v>STRL44G156</x:v>
      </x:c>
      <x:c r="H427" s="12" t="str">
        <x:v>Dump Truck</x:v>
      </x:c>
      <x:c r="I427" s="12" t="str">
        <x:v>DUMP TRUCK RENAULT KRANGE440-P6X4 A/T</x:v>
      </x:c>
      <x:c r="J427" s="16" t="n">
        <x:v>163</x:v>
      </x:c>
      <x:c r="K427" s="16" t="n">
        <x:v>3737</x:v>
      </x:c>
      <x:c r="L427" s="16" t="n">
        <x:v>3745</x:v>
      </x:c>
      <x:c r="M427" s="16" t="n">
        <x:v>8</x:v>
      </x:c>
      <x:c r="N427" s="16" t="n">
        <x:v>20.375</x:v>
      </x:c>
      <x:c r="O427" s="12" t="str">
        <x:v>FTRL44G004</x:v>
      </x:c>
      <x:c r="P427" s="12" t="str">
        <x:v>STRL44G156</x:v>
      </x:c>
      <x:c r="Q427" s="12" t="str"/>
      <x:c r="R427" s="12" t="str"/>
      <x:c r="S427" s="12" t="str"/>
      <x:c r="T427" s="12" t="str">
        <x:v>ABM</x:v>
      </x:c>
      <x:c r="U427" s="12" t="str"/>
      <x:c r="V427" s="12" t="str"/>
      <x:c r="W427" s="12" t="str"/>
      <x:c r="X427" s="12" t="str">
        <x:v>STRL44</x:v>
      </x:c>
      <x:c r="Y427" s="12" t="str">
        <x:v>BADRI &amp; KAMRAN</x:v>
      </x:c>
      <x:c r="Z427" s="12" t="str"/>
      <x:c r="AA427" s="32" t="n">
        <x:f>IFERROR(VLOOKUP(G427,Master_Unit!$A$2:$N$78,7,FALSE),"")</x:f>
        <x:v>20</x:v>
      </x:c>
      <x:c r="AB427" s="32" t="n">
        <x:f>IF(OR(N427="",AA427=""),"",N427-AA427)</x:f>
        <x:v>0.375</x:v>
      </x:c>
      <x:c r="AC427" s="20" t="n">
        <x:f>IF(OR(N427="",AA427="",AA427=0),"",AB427/AA427)</x:f>
        <x:v>0.01875</x:v>
      </x:c>
      <x:c r="AD427" t="str">
        <x:f>IF(AA427="","NO STANDARD",IF(AC427&lt;=Config_Status!$B$2,"EFFICIENT",IF(AC427&lt;=Config_Status!$B$3,"NORMAL",IF(AC427&lt;=Config_Status!$B$4,"WARNING","OVER CONSUMPTION"))))</x:f>
        <x:v>NORMAL</x:v>
      </x:c>
      <x:c r="AE427" t="str">
        <x:f>IFERROR(VLOOKUP(G427,Master_Unit!$A$2:$N$78,13,FALSE),"UNIT NOT FOUND")</x:f>
        <x:v>Matched</x:v>
      </x:c>
    </x:row>
    <x:row r="428">
      <x:c r="A428" s="12" t="str">
        <x:v>FU-20260606-00427</x:v>
      </x:c>
      <x:c r="B428" s="12" t="n">
        <x:v>557</x:v>
      </x:c>
      <x:c r="C428" s="14" t="n">
        <x:v>46179</x:v>
      </x:c>
      <x:c r="D428" s="12" t="str">
        <x:v>Sabtu</x:v>
      </x:c>
      <x:c r="E428" s="12" t="str">
        <x:v>20:16:00</x:v>
      </x:c>
      <x:c r="F428" s="12" t="str">
        <x:v>All Shift Night</x:v>
      </x:c>
      <x:c r="G428" s="12" t="str">
        <x:v>STRL44G147</x:v>
      </x:c>
      <x:c r="H428" s="12" t="str">
        <x:v>Dump Truck</x:v>
      </x:c>
      <x:c r="I428" s="12" t="str">
        <x:v>DUMP TRUCK RENAULT KRANGE440-P6X4 A/T</x:v>
      </x:c>
      <x:c r="J428" s="16" t="n">
        <x:v>206</x:v>
      </x:c>
      <x:c r="K428" s="16" t="n">
        <x:v>4981</x:v>
      </x:c>
      <x:c r="L428" s="16" t="n">
        <x:v>4988</x:v>
      </x:c>
      <x:c r="M428" s="16" t="n">
        <x:v>7</x:v>
      </x:c>
      <x:c r="N428" s="16" t="n">
        <x:v>29.428571428571427</x:v>
      </x:c>
      <x:c r="O428" s="12" t="str">
        <x:v>FTRL44G004</x:v>
      </x:c>
      <x:c r="P428" s="12" t="str">
        <x:v>STRL44G147</x:v>
      </x:c>
      <x:c r="Q428" s="12" t="str"/>
      <x:c r="R428" s="12" t="str"/>
      <x:c r="S428" s="12" t="str"/>
      <x:c r="T428" s="12" t="str">
        <x:v>ABM</x:v>
      </x:c>
      <x:c r="U428" s="12" t="str"/>
      <x:c r="V428" s="12" t="str"/>
      <x:c r="W428" s="12" t="str"/>
      <x:c r="X428" s="12" t="str">
        <x:v>STRL44</x:v>
      </x:c>
      <x:c r="Y428" s="12" t="str">
        <x:v>BADRI &amp; KAMRAN</x:v>
      </x:c>
      <x:c r="Z428" s="12" t="str"/>
      <x:c r="AA428" s="32" t="n">
        <x:f>IFERROR(VLOOKUP(G428,Master_Unit!$A$2:$N$78,7,FALSE),"")</x:f>
        <x:v>20</x:v>
      </x:c>
      <x:c r="AB428" s="32" t="n">
        <x:f>IF(OR(N428="",AA428=""),"",N428-AA428)</x:f>
        <x:v>9.428571428571427</x:v>
      </x:c>
      <x:c r="AC428" s="20" t="n">
        <x:f>IF(OR(N428="",AA428="",AA428=0),"",AB428/AA428)</x:f>
        <x:v>0.47142857142857136</x:v>
      </x:c>
      <x:c r="AD428" t="str">
        <x:f>IF(AA428="","NO STANDARD",IF(AC428&lt;=Config_Status!$B$2,"EFFICIENT",IF(AC428&lt;=Config_Status!$B$3,"NORMAL",IF(AC428&lt;=Config_Status!$B$4,"WARNING","OVER CONSUMPTION"))))</x:f>
        <x:v>OVER CONSUMPTION</x:v>
      </x:c>
      <x:c r="AE428" t="str">
        <x:f>IFERROR(VLOOKUP(G428,Master_Unit!$A$2:$N$78,13,FALSE),"UNIT NOT FOUND")</x:f>
        <x:v>Matched</x:v>
      </x:c>
    </x:row>
    <x:row r="429">
      <x:c r="A429" s="12" t="str">
        <x:v>FU-20260606-00428</x:v>
      </x:c>
      <x:c r="B429" s="12" t="n">
        <x:v>558</x:v>
      </x:c>
      <x:c r="C429" s="14" t="n">
        <x:v>46179</x:v>
      </x:c>
      <x:c r="D429" s="12" t="str">
        <x:v>Sabtu</x:v>
      </x:c>
      <x:c r="E429" s="12" t="str">
        <x:v>20:19:00</x:v>
      </x:c>
      <x:c r="F429" s="12" t="str">
        <x:v>All Shift Night</x:v>
      </x:c>
      <x:c r="G429" s="12" t="str">
        <x:v>STRL44G139</x:v>
      </x:c>
      <x:c r="H429" s="12" t="str">
        <x:v>Dump Truck</x:v>
      </x:c>
      <x:c r="I429" s="12" t="str">
        <x:v>DUMP TRUCK RENAULT KRANGE440-P6X4 A/T</x:v>
      </x:c>
      <x:c r="J429" s="16" t="n">
        <x:v>111</x:v>
      </x:c>
      <x:c r="K429" s="16" t="n">
        <x:v>4933</x:v>
      </x:c>
      <x:c r="L429" s="16" t="n">
        <x:v>4941</x:v>
      </x:c>
      <x:c r="M429" s="16" t="n">
        <x:v>8</x:v>
      </x:c>
      <x:c r="N429" s="16" t="n">
        <x:v>13.875</x:v>
      </x:c>
      <x:c r="O429" s="12" t="str">
        <x:v>FTRL44G004</x:v>
      </x:c>
      <x:c r="P429" s="12" t="str">
        <x:v>STRL44G139</x:v>
      </x:c>
      <x:c r="Q429" s="12" t="str"/>
      <x:c r="R429" s="12" t="str"/>
      <x:c r="S429" s="12" t="str"/>
      <x:c r="T429" s="12" t="str">
        <x:v>ABM</x:v>
      </x:c>
      <x:c r="U429" s="12" t="str"/>
      <x:c r="V429" s="12" t="str"/>
      <x:c r="W429" s="12" t="str"/>
      <x:c r="X429" s="12" t="str">
        <x:v>STRL44</x:v>
      </x:c>
      <x:c r="Y429" s="12" t="str">
        <x:v>BADRI &amp; KAMRAN</x:v>
      </x:c>
      <x:c r="Z429" s="12" t="str"/>
      <x:c r="AA429" s="32" t="n">
        <x:f>IFERROR(VLOOKUP(G429,Master_Unit!$A$2:$N$78,7,FALSE),"")</x:f>
        <x:v>20</x:v>
      </x:c>
      <x:c r="AB429" s="32" t="n">
        <x:f>IF(OR(N429="",AA429=""),"",N429-AA429)</x:f>
        <x:v>-6.125</x:v>
      </x:c>
      <x:c r="AC429" s="20" t="n">
        <x:f>IF(OR(N429="",AA429="",AA429=0),"",AB429/AA429)</x:f>
        <x:v>-0.30625</x:v>
      </x:c>
      <x:c r="AD429" t="str">
        <x:f>IF(AA429="","NO STANDARD",IF(AC429&lt;=Config_Status!$B$2,"EFFICIENT",IF(AC429&lt;=Config_Status!$B$3,"NORMAL",IF(AC429&lt;=Config_Status!$B$4,"WARNING","OVER CONSUMPTION"))))</x:f>
        <x:v>EFFICIENT</x:v>
      </x:c>
      <x:c r="AE429" t="str">
        <x:f>IFERROR(VLOOKUP(G429,Master_Unit!$A$2:$N$78,13,FALSE),"UNIT NOT FOUND")</x:f>
        <x:v>Matched</x:v>
      </x:c>
    </x:row>
    <x:row r="430">
      <x:c r="A430" s="12" t="str">
        <x:v>FU-20260606-00429</x:v>
      </x:c>
      <x:c r="B430" s="12" t="n">
        <x:v>559</x:v>
      </x:c>
      <x:c r="C430" s="14" t="n">
        <x:v>46179</x:v>
      </x:c>
      <x:c r="D430" s="12" t="str">
        <x:v>Sabtu</x:v>
      </x:c>
      <x:c r="E430" s="12" t="str">
        <x:v>20:23:00</x:v>
      </x:c>
      <x:c r="F430" s="12" t="str">
        <x:v>All Shift Night</x:v>
      </x:c>
      <x:c r="G430" s="12" t="str">
        <x:v>STRL44G154</x:v>
      </x:c>
      <x:c r="H430" s="12" t="str">
        <x:v>Dump Truck</x:v>
      </x:c>
      <x:c r="I430" s="12" t="str">
        <x:v>DUMP TRUCK RENAULT KRANGE440-P6X4 A/T</x:v>
      </x:c>
      <x:c r="J430" s="16" t="n">
        <x:v>163</x:v>
      </x:c>
      <x:c r="K430" s="16" t="n">
        <x:v>4054</x:v>
      </x:c>
      <x:c r="L430" s="16" t="n">
        <x:v>4062</x:v>
      </x:c>
      <x:c r="M430" s="16" t="n">
        <x:v>8</x:v>
      </x:c>
      <x:c r="N430" s="16" t="n">
        <x:v>20.375</x:v>
      </x:c>
      <x:c r="O430" s="12" t="str">
        <x:v>FTRL44G004</x:v>
      </x:c>
      <x:c r="P430" s="12" t="str">
        <x:v>STRL44G154</x:v>
      </x:c>
      <x:c r="Q430" s="12" t="str"/>
      <x:c r="R430" s="12" t="str"/>
      <x:c r="S430" s="12" t="str"/>
      <x:c r="T430" s="12" t="str">
        <x:v>ABM</x:v>
      </x:c>
      <x:c r="U430" s="12" t="str"/>
      <x:c r="V430" s="12" t="str"/>
      <x:c r="W430" s="12" t="str"/>
      <x:c r="X430" s="12" t="str">
        <x:v>STRL44</x:v>
      </x:c>
      <x:c r="Y430" s="12" t="str">
        <x:v>BADRI &amp; KAMRAN</x:v>
      </x:c>
      <x:c r="Z430" s="12" t="str"/>
      <x:c r="AA430" s="32" t="n">
        <x:f>IFERROR(VLOOKUP(G430,Master_Unit!$A$2:$N$78,7,FALSE),"")</x:f>
        <x:v>20</x:v>
      </x:c>
      <x:c r="AB430" s="32" t="n">
        <x:f>IF(OR(N430="",AA430=""),"",N430-AA430)</x:f>
        <x:v>0.375</x:v>
      </x:c>
      <x:c r="AC430" s="20" t="n">
        <x:f>IF(OR(N430="",AA430="",AA430=0),"",AB430/AA430)</x:f>
        <x:v>0.01875</x:v>
      </x:c>
      <x:c r="AD430" t="str">
        <x:f>IF(AA430="","NO STANDARD",IF(AC430&lt;=Config_Status!$B$2,"EFFICIENT",IF(AC430&lt;=Config_Status!$B$3,"NORMAL",IF(AC430&lt;=Config_Status!$B$4,"WARNING","OVER CONSUMPTION"))))</x:f>
        <x:v>NORMAL</x:v>
      </x:c>
      <x:c r="AE430" t="str">
        <x:f>IFERROR(VLOOKUP(G430,Master_Unit!$A$2:$N$78,13,FALSE),"UNIT NOT FOUND")</x:f>
        <x:v>Matched</x:v>
      </x:c>
    </x:row>
    <x:row r="431">
      <x:c r="A431" s="12" t="str">
        <x:v>FU-20260606-00430</x:v>
      </x:c>
      <x:c r="B431" s="12" t="n">
        <x:v>560</x:v>
      </x:c>
      <x:c r="C431" s="14" t="n">
        <x:v>46179</x:v>
      </x:c>
      <x:c r="D431" s="12" t="str">
        <x:v>Sabtu</x:v>
      </x:c>
      <x:c r="E431" s="12" t="str">
        <x:v>20:25:00</x:v>
      </x:c>
      <x:c r="F431" s="12" t="str">
        <x:v>All Shift Night</x:v>
      </x:c>
      <x:c r="G431" s="12" t="str">
        <x:v>LVTH24R034</x:v>
      </x:c>
      <x:c r="H431" s="12" t="str">
        <x:v>Light Vehicle</x:v>
      </x:c>
      <x:c r="I431" s="12" t="str">
        <x:v>LIGHT VEHICLE TOYOTA HILUX</x:v>
      </x:c>
      <x:c r="J431" s="16" t="n">
        <x:v>30</x:v>
      </x:c>
      <x:c r="K431" s="16" t="n">
        <x:v>47876</x:v>
      </x:c>
      <x:c r="L431" s="16" t="n">
        <x:v>47998</x:v>
      </x:c>
      <x:c r="M431" s="16" t="n">
        <x:v>122</x:v>
      </x:c>
      <x:c r="N431" s="16" t="n">
        <x:v>0.2459016393442623</x:v>
      </x:c>
      <x:c r="O431" s="12" t="str">
        <x:v>FTRL44G004</x:v>
      </x:c>
      <x:c r="P431" s="12" t="str">
        <x:v>LVTH24R034</x:v>
      </x:c>
      <x:c r="Q431" s="12" t="str"/>
      <x:c r="R431" s="12" t="str"/>
      <x:c r="S431" s="12" t="str"/>
      <x:c r="T431" s="12" t="str">
        <x:v>ABM</x:v>
      </x:c>
      <x:c r="U431" s="12" t="str"/>
      <x:c r="V431" s="12" t="str"/>
      <x:c r="W431" s="12" t="str"/>
      <x:c r="X431" s="12" t="str">
        <x:v>LVTH24</x:v>
      </x:c>
      <x:c r="Y431" s="12" t="str">
        <x:v>BADRI &amp; KAMRAN</x:v>
      </x:c>
      <x:c r="Z431" s="12" t="str"/>
      <x:c r="AA431" s="32" t="n">
        <x:f>IFERROR(VLOOKUP(G431,Master_Unit!$A$2:$N$78,7,FALSE),"")</x:f>
        <x:v>0.2</x:v>
      </x:c>
      <x:c r="AB431" s="32" t="n">
        <x:f>IF(OR(N431="",AA431=""),"",N431-AA431)</x:f>
        <x:v>0.04590163934426228</x:v>
      </x:c>
      <x:c r="AC431" s="20" t="n">
        <x:f>IF(OR(N431="",AA431="",AA431=0),"",AB431/AA431)</x:f>
        <x:v>0.2295081967213114</x:v>
      </x:c>
      <x:c r="AD431" t="str">
        <x:f>IF(AA431="","NO STANDARD",IF(AC431&lt;=Config_Status!$B$2,"EFFICIENT",IF(AC431&lt;=Config_Status!$B$3,"NORMAL",IF(AC431&lt;=Config_Status!$B$4,"WARNING","OVER CONSUMPTION"))))</x:f>
        <x:v>OVER CONSUMPTION</x:v>
      </x:c>
      <x:c r="AE431" t="str">
        <x:f>IFERROR(VLOOKUP(G431,Master_Unit!$A$2:$N$78,13,FALSE),"UNIT NOT FOUND")</x:f>
        <x:v>Matched</x:v>
      </x:c>
    </x:row>
    <x:row r="432">
      <x:c r="A432" s="12" t="str">
        <x:v>FU-20260606-00431</x:v>
      </x:c>
      <x:c r="B432" s="12" t="n">
        <x:v>561</x:v>
      </x:c>
      <x:c r="C432" s="14" t="n">
        <x:v>46179</x:v>
      </x:c>
      <x:c r="D432" s="12" t="str">
        <x:v>Sabtu</x:v>
      </x:c>
      <x:c r="E432" s="12" t="str">
        <x:v>20:26:00</x:v>
      </x:c>
      <x:c r="F432" s="12" t="str">
        <x:v>All Shift Night</x:v>
      </x:c>
      <x:c r="G432" s="12" t="str">
        <x:v>STRL44G152</x:v>
      </x:c>
      <x:c r="H432" s="12" t="str">
        <x:v>Dump Truck</x:v>
      </x:c>
      <x:c r="I432" s="12" t="str">
        <x:v>DUMP TRUCK RENAULT KRANGE440-P6X4 A/T</x:v>
      </x:c>
      <x:c r="J432" s="16" t="n">
        <x:v>179</x:v>
      </x:c>
      <x:c r="K432" s="16" t="n">
        <x:v>3664</x:v>
      </x:c>
      <x:c r="L432" s="16" t="n">
        <x:v>3671</x:v>
      </x:c>
      <x:c r="M432" s="16" t="n">
        <x:v>7</x:v>
      </x:c>
      <x:c r="N432" s="16" t="n">
        <x:v>25.571428571428573</x:v>
      </x:c>
      <x:c r="O432" s="12" t="str">
        <x:v>FTRL44G004</x:v>
      </x:c>
      <x:c r="P432" s="12" t="str">
        <x:v>STRL44G152</x:v>
      </x:c>
      <x:c r="Q432" s="12" t="str"/>
      <x:c r="R432" s="12" t="str"/>
      <x:c r="S432" s="12" t="str"/>
      <x:c r="T432" s="12" t="str">
        <x:v>ABM</x:v>
      </x:c>
      <x:c r="U432" s="12" t="str"/>
      <x:c r="V432" s="12" t="str"/>
      <x:c r="W432" s="12" t="str"/>
      <x:c r="X432" s="12" t="str">
        <x:v>STRL44</x:v>
      </x:c>
      <x:c r="Y432" s="12" t="str">
        <x:v>BADRI &amp; KAMRAN</x:v>
      </x:c>
      <x:c r="Z432" s="12" t="str"/>
      <x:c r="AA432" s="32" t="n">
        <x:f>IFERROR(VLOOKUP(G432,Master_Unit!$A$2:$N$78,7,FALSE),"")</x:f>
        <x:v>20</x:v>
      </x:c>
      <x:c r="AB432" s="32" t="n">
        <x:f>IF(OR(N432="",AA432=""),"",N432-AA432)</x:f>
        <x:v>5.571428571428573</x:v>
      </x:c>
      <x:c r="AC432" s="20" t="n">
        <x:f>IF(OR(N432="",AA432="",AA432=0),"",AB432/AA432)</x:f>
        <x:v>0.27857142857142864</x:v>
      </x:c>
      <x:c r="AD432" t="str">
        <x:f>IF(AA432="","NO STANDARD",IF(AC432&lt;=Config_Status!$B$2,"EFFICIENT",IF(AC432&lt;=Config_Status!$B$3,"NORMAL",IF(AC432&lt;=Config_Status!$B$4,"WARNING","OVER CONSUMPTION"))))</x:f>
        <x:v>OVER CONSUMPTION</x:v>
      </x:c>
      <x:c r="AE432" t="str">
        <x:f>IFERROR(VLOOKUP(G432,Master_Unit!$A$2:$N$78,13,FALSE),"UNIT NOT FOUND")</x:f>
        <x:v>Matched</x:v>
      </x:c>
    </x:row>
    <x:row r="433">
      <x:c r="A433" s="12" t="str">
        <x:v>FU-20260606-00432</x:v>
      </x:c>
      <x:c r="B433" s="12" t="n">
        <x:v>562</x:v>
      </x:c>
      <x:c r="C433" s="14" t="n">
        <x:v>46179</x:v>
      </x:c>
      <x:c r="D433" s="12" t="str">
        <x:v>Sabtu</x:v>
      </x:c>
      <x:c r="E433" s="12" t="str">
        <x:v>20:29:00</x:v>
      </x:c>
      <x:c r="F433" s="12" t="str">
        <x:v>All Shift Night</x:v>
      </x:c>
      <x:c r="G433" s="12" t="str">
        <x:v>STRL44G144</x:v>
      </x:c>
      <x:c r="H433" s="12" t="str">
        <x:v>Dump Truck</x:v>
      </x:c>
      <x:c r="I433" s="12" t="str">
        <x:v>DUMP TRUCK RENAULT KRANGE440-P6X4 A/T</x:v>
      </x:c>
      <x:c r="J433" s="16" t="n">
        <x:v>163</x:v>
      </x:c>
      <x:c r="K433" s="16" t="n">
        <x:v>1493</x:v>
      </x:c>
      <x:c r="L433" s="16" t="n">
        <x:v>1501</x:v>
      </x:c>
      <x:c r="M433" s="16" t="n">
        <x:v>8</x:v>
      </x:c>
      <x:c r="N433" s="16" t="n">
        <x:v>20.375</x:v>
      </x:c>
      <x:c r="O433" s="12" t="str">
        <x:v>FTRL44G004</x:v>
      </x:c>
      <x:c r="P433" s="12" t="str">
        <x:v>STRL44G144</x:v>
      </x:c>
      <x:c r="Q433" s="12" t="str"/>
      <x:c r="R433" s="12" t="str"/>
      <x:c r="S433" s="12" t="str"/>
      <x:c r="T433" s="12" t="str">
        <x:v>ABM</x:v>
      </x:c>
      <x:c r="U433" s="12" t="str"/>
      <x:c r="V433" s="12" t="str"/>
      <x:c r="W433" s="12" t="str"/>
      <x:c r="X433" s="12" t="str">
        <x:v>STRL44</x:v>
      </x:c>
      <x:c r="Y433" s="12" t="str">
        <x:v>BADRI &amp; KAMRAN</x:v>
      </x:c>
      <x:c r="Z433" s="12" t="str"/>
      <x:c r="AA433" s="32" t="n">
        <x:f>IFERROR(VLOOKUP(G433,Master_Unit!$A$2:$N$78,7,FALSE),"")</x:f>
        <x:v>20</x:v>
      </x:c>
      <x:c r="AB433" s="32" t="n">
        <x:f>IF(OR(N433="",AA433=""),"",N433-AA433)</x:f>
        <x:v>0.375</x:v>
      </x:c>
      <x:c r="AC433" s="20" t="n">
        <x:f>IF(OR(N433="",AA433="",AA433=0),"",AB433/AA433)</x:f>
        <x:v>0.01875</x:v>
      </x:c>
      <x:c r="AD433" t="str">
        <x:f>IF(AA433="","NO STANDARD",IF(AC433&lt;=Config_Status!$B$2,"EFFICIENT",IF(AC433&lt;=Config_Status!$B$3,"NORMAL",IF(AC433&lt;=Config_Status!$B$4,"WARNING","OVER CONSUMPTION"))))</x:f>
        <x:v>NORMAL</x:v>
      </x:c>
      <x:c r="AE433" t="str">
        <x:f>IFERROR(VLOOKUP(G433,Master_Unit!$A$2:$N$78,13,FALSE),"UNIT NOT FOUND")</x:f>
        <x:v>Matched</x:v>
      </x:c>
    </x:row>
    <x:row r="434">
      <x:c r="A434" s="12" t="str">
        <x:v>FU-20260606-00433</x:v>
      </x:c>
      <x:c r="B434" s="12" t="n">
        <x:v>563</x:v>
      </x:c>
      <x:c r="C434" s="14" t="n">
        <x:v>46179</x:v>
      </x:c>
      <x:c r="D434" s="12" t="str">
        <x:v>Sabtu</x:v>
      </x:c>
      <x:c r="E434" s="12" t="str">
        <x:v>20:33:00</x:v>
      </x:c>
      <x:c r="F434" s="12" t="str">
        <x:v>All Shift Night</x:v>
      </x:c>
      <x:c r="G434" s="12" t="str">
        <x:v>STRL44G143</x:v>
      </x:c>
      <x:c r="H434" s="12" t="str">
        <x:v>Dump Truck</x:v>
      </x:c>
      <x:c r="I434" s="12" t="str">
        <x:v>DUMP TRUCK RENAULT KRANGE440-P6X4 A/T</x:v>
      </x:c>
      <x:c r="J434" s="16" t="n">
        <x:v>203</x:v>
      </x:c>
      <x:c r="K434" s="16" t="n">
        <x:v>5201</x:v>
      </x:c>
      <x:c r="L434" s="16" t="n">
        <x:v>5207</x:v>
      </x:c>
      <x:c r="M434" s="16" t="n">
        <x:v>6</x:v>
      </x:c>
      <x:c r="N434" s="16" t="n">
        <x:v>33.833333333333336</x:v>
      </x:c>
      <x:c r="O434" s="12" t="str">
        <x:v>FTRL44G004</x:v>
      </x:c>
      <x:c r="P434" s="12" t="str">
        <x:v>STRL44G143</x:v>
      </x:c>
      <x:c r="Q434" s="12" t="str"/>
      <x:c r="R434" s="12" t="str"/>
      <x:c r="S434" s="12" t="str"/>
      <x:c r="T434" s="12" t="str">
        <x:v>ABM</x:v>
      </x:c>
      <x:c r="U434" s="12" t="str"/>
      <x:c r="V434" s="12" t="str"/>
      <x:c r="W434" s="12" t="str"/>
      <x:c r="X434" s="12" t="str">
        <x:v>STRL44</x:v>
      </x:c>
      <x:c r="Y434" s="12" t="str">
        <x:v>BADRI &amp; KAMRAN</x:v>
      </x:c>
      <x:c r="Z434" s="12" t="str"/>
      <x:c r="AA434" s="32" t="n">
        <x:f>IFERROR(VLOOKUP(G434,Master_Unit!$A$2:$N$78,7,FALSE),"")</x:f>
        <x:v>20</x:v>
      </x:c>
      <x:c r="AB434" s="32" t="n">
        <x:f>IF(OR(N434="",AA434=""),"",N434-AA434)</x:f>
        <x:v>13.833333333333336</x:v>
      </x:c>
      <x:c r="AC434" s="20" t="n">
        <x:f>IF(OR(N434="",AA434="",AA434=0),"",AB434/AA434)</x:f>
        <x:v>0.6916666666666668</x:v>
      </x:c>
      <x:c r="AD434" t="str">
        <x:f>IF(AA434="","NO STANDARD",IF(AC434&lt;=Config_Status!$B$2,"EFFICIENT",IF(AC434&lt;=Config_Status!$B$3,"NORMAL",IF(AC434&lt;=Config_Status!$B$4,"WARNING","OVER CONSUMPTION"))))</x:f>
        <x:v>OVER CONSUMPTION</x:v>
      </x:c>
      <x:c r="AE434" t="str">
        <x:f>IFERROR(VLOOKUP(G434,Master_Unit!$A$2:$N$78,13,FALSE),"UNIT NOT FOUND")</x:f>
        <x:v>Matched</x:v>
      </x:c>
    </x:row>
    <x:row r="435">
      <x:c r="A435" s="12" t="str">
        <x:v>FU-20260606-00434</x:v>
      </x:c>
      <x:c r="B435" s="12" t="n">
        <x:v>564</x:v>
      </x:c>
      <x:c r="C435" s="14" t="n">
        <x:v>46179</x:v>
      </x:c>
      <x:c r="D435" s="12" t="str">
        <x:v>Sabtu</x:v>
      </x:c>
      <x:c r="E435" s="12" t="str">
        <x:v>20:43:00</x:v>
      </x:c>
      <x:c r="F435" s="12" t="str">
        <x:v>All Shift Night</x:v>
      </x:c>
      <x:c r="G435" s="12" t="str">
        <x:v>STRL44G153</x:v>
      </x:c>
      <x:c r="H435" s="12" t="str">
        <x:v>Dump Truck</x:v>
      </x:c>
      <x:c r="I435" s="12" t="str">
        <x:v>DUMP TRUCK RENAULT KRANGE440-P6X4 A/T</x:v>
      </x:c>
      <x:c r="J435" s="16" t="n">
        <x:v>204</x:v>
      </x:c>
      <x:c r="K435" s="16" t="n">
        <x:v>3958</x:v>
      </x:c>
      <x:c r="L435" s="16" t="n">
        <x:v>3966</x:v>
      </x:c>
      <x:c r="M435" s="16" t="n">
        <x:v>8</x:v>
      </x:c>
      <x:c r="N435" s="16" t="n">
        <x:v>25.5</x:v>
      </x:c>
      <x:c r="O435" s="12" t="str">
        <x:v>FTRL44G004</x:v>
      </x:c>
      <x:c r="P435" s="12" t="str">
        <x:v>STRL44G153</x:v>
      </x:c>
      <x:c r="Q435" s="12" t="str"/>
      <x:c r="R435" s="12" t="str"/>
      <x:c r="S435" s="12" t="str"/>
      <x:c r="T435" s="12" t="str">
        <x:v>ABM</x:v>
      </x:c>
      <x:c r="U435" s="12" t="str"/>
      <x:c r="V435" s="12" t="str"/>
      <x:c r="W435" s="12" t="str"/>
      <x:c r="X435" s="12" t="str">
        <x:v>STRL44</x:v>
      </x:c>
      <x:c r="Y435" s="12" t="str">
        <x:v>BADRI &amp; KAMRAN</x:v>
      </x:c>
      <x:c r="Z435" s="12" t="str"/>
      <x:c r="AA435" s="32" t="n">
        <x:f>IFERROR(VLOOKUP(G435,Master_Unit!$A$2:$N$78,7,FALSE),"")</x:f>
        <x:v>20</x:v>
      </x:c>
      <x:c r="AB435" s="32" t="n">
        <x:f>IF(OR(N435="",AA435=""),"",N435-AA435)</x:f>
        <x:v>5.5</x:v>
      </x:c>
      <x:c r="AC435" s="20" t="n">
        <x:f>IF(OR(N435="",AA435="",AA435=0),"",AB435/AA435)</x:f>
        <x:v>0.275</x:v>
      </x:c>
      <x:c r="AD435" t="str">
        <x:f>IF(AA435="","NO STANDARD",IF(AC435&lt;=Config_Status!$B$2,"EFFICIENT",IF(AC435&lt;=Config_Status!$B$3,"NORMAL",IF(AC435&lt;=Config_Status!$B$4,"WARNING","OVER CONSUMPTION"))))</x:f>
        <x:v>OVER CONSUMPTION</x:v>
      </x:c>
      <x:c r="AE435" t="str">
        <x:f>IFERROR(VLOOKUP(G435,Master_Unit!$A$2:$N$78,13,FALSE),"UNIT NOT FOUND")</x:f>
        <x:v>Matched</x:v>
      </x:c>
    </x:row>
    <x:row r="436">
      <x:c r="A436" s="12" t="str">
        <x:v>FU-20260606-00435</x:v>
      </x:c>
      <x:c r="B436" s="12" t="n">
        <x:v>565</x:v>
      </x:c>
      <x:c r="C436" s="14" t="n">
        <x:v>46179</x:v>
      </x:c>
      <x:c r="D436" s="12" t="str">
        <x:v>Sabtu</x:v>
      </x:c>
      <x:c r="E436" s="12" t="str">
        <x:v>20:47:00</x:v>
      </x:c>
      <x:c r="F436" s="12" t="str">
        <x:v>All Shift Night</x:v>
      </x:c>
      <x:c r="G436" s="12" t="str">
        <x:v>STRL44G145</x:v>
      </x:c>
      <x:c r="H436" s="12" t="str">
        <x:v>Dump Truck</x:v>
      </x:c>
      <x:c r="I436" s="12" t="str">
        <x:v>DUMP TRUCK RENAULT KRANGE440-P6X4 A/T</x:v>
      </x:c>
      <x:c r="J436" s="16" t="n">
        <x:v>163</x:v>
      </x:c>
      <x:c r="K436" s="16" t="n">
        <x:v>4908</x:v>
      </x:c>
      <x:c r="L436" s="16" t="n">
        <x:v>4917</x:v>
      </x:c>
      <x:c r="M436" s="16" t="n">
        <x:v>9</x:v>
      </x:c>
      <x:c r="N436" s="16" t="n">
        <x:v>18.11111111111111</x:v>
      </x:c>
      <x:c r="O436" s="12" t="str">
        <x:v>FTRL44G004</x:v>
      </x:c>
      <x:c r="P436" s="12" t="str">
        <x:v>STRL44G145</x:v>
      </x:c>
      <x:c r="Q436" s="12" t="str"/>
      <x:c r="R436" s="12" t="str"/>
      <x:c r="S436" s="12" t="str"/>
      <x:c r="T436" s="12" t="str">
        <x:v>ABM</x:v>
      </x:c>
      <x:c r="U436" s="12" t="str"/>
      <x:c r="V436" s="12" t="str"/>
      <x:c r="W436" s="12" t="str"/>
      <x:c r="X436" s="12" t="str">
        <x:v>STRL44</x:v>
      </x:c>
      <x:c r="Y436" s="12" t="str">
        <x:v>BADRI &amp; KAMRAN</x:v>
      </x:c>
      <x:c r="Z436" s="12" t="str"/>
      <x:c r="AA436" s="32" t="n">
        <x:f>IFERROR(VLOOKUP(G436,Master_Unit!$A$2:$N$78,7,FALSE),"")</x:f>
        <x:v>20</x:v>
      </x:c>
      <x:c r="AB436" s="32" t="n">
        <x:f>IF(OR(N436="",AA436=""),"",N436-AA436)</x:f>
        <x:v>-1.8888888888888893</x:v>
      </x:c>
      <x:c r="AC436" s="20" t="n">
        <x:f>IF(OR(N436="",AA436="",AA436=0),"",AB436/AA436)</x:f>
        <x:v>-0.09444444444444447</x:v>
      </x:c>
      <x:c r="AD436" t="str">
        <x:f>IF(AA436="","NO STANDARD",IF(AC436&lt;=Config_Status!$B$2,"EFFICIENT",IF(AC436&lt;=Config_Status!$B$3,"NORMAL",IF(AC436&lt;=Config_Status!$B$4,"WARNING","OVER CONSUMPTION"))))</x:f>
        <x:v>NORMAL</x:v>
      </x:c>
      <x:c r="AE436" t="str">
        <x:f>IFERROR(VLOOKUP(G436,Master_Unit!$A$2:$N$78,13,FALSE),"UNIT NOT FOUND")</x:f>
        <x:v>Matched</x:v>
      </x:c>
    </x:row>
    <x:row r="437">
      <x:c r="A437" s="12" t="str">
        <x:v>FU-20260606-00436</x:v>
      </x:c>
      <x:c r="B437" s="12" t="n">
        <x:v>566</x:v>
      </x:c>
      <x:c r="C437" s="14" t="n">
        <x:v>46179</x:v>
      </x:c>
      <x:c r="D437" s="12" t="str">
        <x:v>Sabtu</x:v>
      </x:c>
      <x:c r="E437" s="12" t="str">
        <x:v>20:50:00</x:v>
      </x:c>
      <x:c r="F437" s="12" t="str">
        <x:v>All Shift Night</x:v>
      </x:c>
      <x:c r="G437" s="12" t="str">
        <x:v>STRL44G157</x:v>
      </x:c>
      <x:c r="H437" s="12" t="str">
        <x:v>Dump Truck</x:v>
      </x:c>
      <x:c r="I437" s="12" t="str">
        <x:v>DUMP TRUCK RENAULT KRANGE440-P6X4 A/T</x:v>
      </x:c>
      <x:c r="J437" s="16" t="n">
        <x:v>163</x:v>
      </x:c>
      <x:c r="K437" s="16" t="n">
        <x:v>4028</x:v>
      </x:c>
      <x:c r="L437" s="16" t="n">
        <x:v>4036</x:v>
      </x:c>
      <x:c r="M437" s="16" t="n">
        <x:v>8</x:v>
      </x:c>
      <x:c r="N437" s="16" t="n">
        <x:v>20.375</x:v>
      </x:c>
      <x:c r="O437" s="12" t="str">
        <x:v>FTRL44G004</x:v>
      </x:c>
      <x:c r="P437" s="12" t="str">
        <x:v>STRL44G157</x:v>
      </x:c>
      <x:c r="Q437" s="12" t="str"/>
      <x:c r="R437" s="12" t="str"/>
      <x:c r="S437" s="12" t="str"/>
      <x:c r="T437" s="12" t="str">
        <x:v>ABM</x:v>
      </x:c>
      <x:c r="U437" s="12" t="str"/>
      <x:c r="V437" s="12" t="str"/>
      <x:c r="W437" s="12" t="str"/>
      <x:c r="X437" s="12" t="str">
        <x:v>STRL44</x:v>
      </x:c>
      <x:c r="Y437" s="12" t="str">
        <x:v>BADRI &amp; KAMRAN</x:v>
      </x:c>
      <x:c r="Z437" s="12" t="str"/>
      <x:c r="AA437" s="32" t="n">
        <x:f>IFERROR(VLOOKUP(G437,Master_Unit!$A$2:$N$78,7,FALSE),"")</x:f>
        <x:v>20</x:v>
      </x:c>
      <x:c r="AB437" s="32" t="n">
        <x:f>IF(OR(N437="",AA437=""),"",N437-AA437)</x:f>
        <x:v>0.375</x:v>
      </x:c>
      <x:c r="AC437" s="20" t="n">
        <x:f>IF(OR(N437="",AA437="",AA437=0),"",AB437/AA437)</x:f>
        <x:v>0.01875</x:v>
      </x:c>
      <x:c r="AD437" t="str">
        <x:f>IF(AA437="","NO STANDARD",IF(AC437&lt;=Config_Status!$B$2,"EFFICIENT",IF(AC437&lt;=Config_Status!$B$3,"NORMAL",IF(AC437&lt;=Config_Status!$B$4,"WARNING","OVER CONSUMPTION"))))</x:f>
        <x:v>NORMAL</x:v>
      </x:c>
      <x:c r="AE437" t="str">
        <x:f>IFERROR(VLOOKUP(G437,Master_Unit!$A$2:$N$78,13,FALSE),"UNIT NOT FOUND")</x:f>
        <x:v>Matched</x:v>
      </x:c>
    </x:row>
    <x:row r="438">
      <x:c r="A438" s="12" t="str">
        <x:v>FU-20260606-00437</x:v>
      </x:c>
      <x:c r="B438" s="12" t="n">
        <x:v>567</x:v>
      </x:c>
      <x:c r="C438" s="14" t="n">
        <x:v>46179</x:v>
      </x:c>
      <x:c r="D438" s="12" t="str">
        <x:v>Sabtu</x:v>
      </x:c>
      <x:c r="E438" s="12" t="str">
        <x:v>20:54:00</x:v>
      </x:c>
      <x:c r="F438" s="12" t="str">
        <x:v>All Shift Night</x:v>
      </x:c>
      <x:c r="G438" s="12" t="str">
        <x:v>STRL44G149</x:v>
      </x:c>
      <x:c r="H438" s="12" t="str">
        <x:v>Dump Truck</x:v>
      </x:c>
      <x:c r="I438" s="12" t="str">
        <x:v>DUMP TRUCK RENAULT KRANGE440-P6X4 A/T</x:v>
      </x:c>
      <x:c r="J438" s="16" t="n">
        <x:v>203</x:v>
      </x:c>
      <x:c r="K438" s="16" t="n">
        <x:v>4258</x:v>
      </x:c>
      <x:c r="L438" s="16" t="n">
        <x:v>4267</x:v>
      </x:c>
      <x:c r="M438" s="16" t="n">
        <x:v>9</x:v>
      </x:c>
      <x:c r="N438" s="16" t="n">
        <x:v>22.555555555555557</x:v>
      </x:c>
      <x:c r="O438" s="12" t="str">
        <x:v>FTRL44G004</x:v>
      </x:c>
      <x:c r="P438" s="12" t="str">
        <x:v>STRL44G149</x:v>
      </x:c>
      <x:c r="Q438" s="12" t="str"/>
      <x:c r="R438" s="12" t="str"/>
      <x:c r="S438" s="12" t="str"/>
      <x:c r="T438" s="12" t="str">
        <x:v>ABM</x:v>
      </x:c>
      <x:c r="U438" s="12" t="str"/>
      <x:c r="V438" s="12" t="str"/>
      <x:c r="W438" s="12" t="str"/>
      <x:c r="X438" s="12" t="str">
        <x:v>STRL44</x:v>
      </x:c>
      <x:c r="Y438" s="12" t="str">
        <x:v>BADRI &amp; KAMRAN</x:v>
      </x:c>
      <x:c r="Z438" s="12" t="str"/>
      <x:c r="AA438" s="32" t="n">
        <x:f>IFERROR(VLOOKUP(G438,Master_Unit!$A$2:$N$78,7,FALSE),"")</x:f>
        <x:v>20</x:v>
      </x:c>
      <x:c r="AB438" s="32" t="n">
        <x:f>IF(OR(N438="",AA438=""),"",N438-AA438)</x:f>
        <x:v>2.555555555555557</x:v>
      </x:c>
      <x:c r="AC438" s="20" t="n">
        <x:f>IF(OR(N438="",AA438="",AA438=0),"",AB438/AA438)</x:f>
        <x:v>0.12777777777777785</x:v>
      </x:c>
      <x:c r="AD438" t="str">
        <x:f>IF(AA438="","NO STANDARD",IF(AC438&lt;=Config_Status!$B$2,"EFFICIENT",IF(AC438&lt;=Config_Status!$B$3,"NORMAL",IF(AC438&lt;=Config_Status!$B$4,"WARNING","OVER CONSUMPTION"))))</x:f>
        <x:v>WARNING</x:v>
      </x:c>
      <x:c r="AE438" t="str">
        <x:f>IFERROR(VLOOKUP(G438,Master_Unit!$A$2:$N$78,13,FALSE),"UNIT NOT FOUND")</x:f>
        <x:v>Matched</x:v>
      </x:c>
    </x:row>
    <x:row r="439">
      <x:c r="A439" s="12" t="str">
        <x:v>FU-20260606-00438</x:v>
      </x:c>
      <x:c r="B439" s="12" t="n">
        <x:v>568</x:v>
      </x:c>
      <x:c r="C439" s="14" t="n">
        <x:v>46179</x:v>
      </x:c>
      <x:c r="D439" s="12" t="str">
        <x:v>Sabtu</x:v>
      </x:c>
      <x:c r="E439" s="12" t="str">
        <x:v>20:57:00</x:v>
      </x:c>
      <x:c r="F439" s="12" t="str">
        <x:v>All Shift Night</x:v>
      </x:c>
      <x:c r="G439" s="12" t="str">
        <x:v>STRL44G155</x:v>
      </x:c>
      <x:c r="H439" s="12" t="str">
        <x:v>Dump Truck</x:v>
      </x:c>
      <x:c r="I439" s="12" t="str">
        <x:v>DUMP TRUCK RENAULT KRANGE440-P6X4 A/T</x:v>
      </x:c>
      <x:c r="J439" s="16" t="n">
        <x:v>206</x:v>
      </x:c>
      <x:c r="K439" s="16" t="n">
        <x:v>3926</x:v>
      </x:c>
      <x:c r="L439" s="16" t="n">
        <x:v>3934</x:v>
      </x:c>
      <x:c r="M439" s="16" t="n">
        <x:v>8</x:v>
      </x:c>
      <x:c r="N439" s="16" t="n">
        <x:v>25.75</x:v>
      </x:c>
      <x:c r="O439" s="12" t="str">
        <x:v>FTRL44G004</x:v>
      </x:c>
      <x:c r="P439" s="12" t="str">
        <x:v>STRL44G155</x:v>
      </x:c>
      <x:c r="Q439" s="12" t="str"/>
      <x:c r="R439" s="12" t="str"/>
      <x:c r="S439" s="12" t="str"/>
      <x:c r="T439" s="12" t="str">
        <x:v>ABM</x:v>
      </x:c>
      <x:c r="U439" s="12" t="str"/>
      <x:c r="V439" s="12" t="str"/>
      <x:c r="W439" s="12" t="str"/>
      <x:c r="X439" s="12" t="str">
        <x:v>STRL44</x:v>
      </x:c>
      <x:c r="Y439" s="12" t="str">
        <x:v>BADRI &amp; KAMRAN</x:v>
      </x:c>
      <x:c r="Z439" s="12" t="str"/>
      <x:c r="AA439" s="32" t="n">
        <x:f>IFERROR(VLOOKUP(G439,Master_Unit!$A$2:$N$78,7,FALSE),"")</x:f>
        <x:v>20</x:v>
      </x:c>
      <x:c r="AB439" s="32" t="n">
        <x:f>IF(OR(N439="",AA439=""),"",N439-AA439)</x:f>
        <x:v>5.75</x:v>
      </x:c>
      <x:c r="AC439" s="20" t="n">
        <x:f>IF(OR(N439="",AA439="",AA439=0),"",AB439/AA439)</x:f>
        <x:v>0.2875</x:v>
      </x:c>
      <x:c r="AD439" t="str">
        <x:f>IF(AA439="","NO STANDARD",IF(AC439&lt;=Config_Status!$B$2,"EFFICIENT",IF(AC439&lt;=Config_Status!$B$3,"NORMAL",IF(AC439&lt;=Config_Status!$B$4,"WARNING","OVER CONSUMPTION"))))</x:f>
        <x:v>OVER CONSUMPTION</x:v>
      </x:c>
      <x:c r="AE439" t="str">
        <x:f>IFERROR(VLOOKUP(G439,Master_Unit!$A$2:$N$78,13,FALSE),"UNIT NOT FOUND")</x:f>
        <x:v>Matched</x:v>
      </x:c>
    </x:row>
    <x:row r="440">
      <x:c r="A440" s="12" t="str">
        <x:v>FU-20260606-00439</x:v>
      </x:c>
      <x:c r="B440" s="12" t="n">
        <x:v>569</x:v>
      </x:c>
      <x:c r="C440" s="14" t="n">
        <x:v>46179</x:v>
      </x:c>
      <x:c r="D440" s="12" t="str">
        <x:v>Sabtu</x:v>
      </x:c>
      <x:c r="E440" s="12" t="str">
        <x:v>21:00:00</x:v>
      </x:c>
      <x:c r="F440" s="12" t="str">
        <x:v>All Shift Night</x:v>
      </x:c>
      <x:c r="G440" s="12" t="str">
        <x:v>STRL44G146</x:v>
      </x:c>
      <x:c r="H440" s="12" t="str">
        <x:v>Dump Truck</x:v>
      </x:c>
      <x:c r="I440" s="12" t="str">
        <x:v>DUMP TRUCK RENAULT KRANGE440-P6X4 A/T</x:v>
      </x:c>
      <x:c r="J440" s="16" t="n">
        <x:v>162</x:v>
      </x:c>
      <x:c r="K440" s="16" t="n">
        <x:v>4911</x:v>
      </x:c>
      <x:c r="L440" s="16" t="n">
        <x:v>4920</x:v>
      </x:c>
      <x:c r="M440" s="16" t="n">
        <x:v>9</x:v>
      </x:c>
      <x:c r="N440" s="16" t="n">
        <x:v>18</x:v>
      </x:c>
      <x:c r="O440" s="12" t="str">
        <x:v>FTRL44G004</x:v>
      </x:c>
      <x:c r="P440" s="12" t="str">
        <x:v>STRL44G146</x:v>
      </x:c>
      <x:c r="Q440" s="12" t="str"/>
      <x:c r="R440" s="12" t="str"/>
      <x:c r="S440" s="12" t="str"/>
      <x:c r="T440" s="12" t="str">
        <x:v>ABM</x:v>
      </x:c>
      <x:c r="U440" s="12" t="str"/>
      <x:c r="V440" s="12" t="str"/>
      <x:c r="W440" s="12" t="str"/>
      <x:c r="X440" s="12" t="str">
        <x:v>STRL44</x:v>
      </x:c>
      <x:c r="Y440" s="12" t="str">
        <x:v>BADRI &amp; KAMRAN</x:v>
      </x:c>
      <x:c r="Z440" s="12" t="str"/>
      <x:c r="AA440" s="32" t="n">
        <x:f>IFERROR(VLOOKUP(G440,Master_Unit!$A$2:$N$78,7,FALSE),"")</x:f>
        <x:v>20</x:v>
      </x:c>
      <x:c r="AB440" s="32" t="n">
        <x:f>IF(OR(N440="",AA440=""),"",N440-AA440)</x:f>
        <x:v>-2</x:v>
      </x:c>
      <x:c r="AC440" s="20" t="n">
        <x:f>IF(OR(N440="",AA440="",AA440=0),"",AB440/AA440)</x:f>
        <x:v>-0.1</x:v>
      </x:c>
      <x:c r="AD440" t="str">
        <x:f>IF(AA440="","NO STANDARD",IF(AC440&lt;=Config_Status!$B$2,"EFFICIENT",IF(AC440&lt;=Config_Status!$B$3,"NORMAL",IF(AC440&lt;=Config_Status!$B$4,"WARNING","OVER CONSUMPTION"))))</x:f>
        <x:v>EFFICIENT</x:v>
      </x:c>
      <x:c r="AE440" t="str">
        <x:f>IFERROR(VLOOKUP(G440,Master_Unit!$A$2:$N$78,13,FALSE),"UNIT NOT FOUND")</x:f>
        <x:v>Matched</x:v>
      </x:c>
    </x:row>
    <x:row r="441">
      <x:c r="A441" s="12" t="str">
        <x:v>FU-20260606-00440</x:v>
      </x:c>
      <x:c r="B441" s="12" t="n">
        <x:v>570</x:v>
      </x:c>
      <x:c r="C441" s="14" t="n">
        <x:v>46179</x:v>
      </x:c>
      <x:c r="D441" s="12" t="str">
        <x:v>Sabtu</x:v>
      </x:c>
      <x:c r="E441" s="12" t="str">
        <x:v>21:03:00</x:v>
      </x:c>
      <x:c r="F441" s="12" t="str">
        <x:v>All Shift Night</x:v>
      </x:c>
      <x:c r="G441" s="12" t="str">
        <x:v>STRL44G151</x:v>
      </x:c>
      <x:c r="H441" s="12" t="str">
        <x:v>Dump Truck</x:v>
      </x:c>
      <x:c r="I441" s="12" t="str">
        <x:v>DUMP TRUCK RENAULT KRANGE440-P6X4 A/T</x:v>
      </x:c>
      <x:c r="J441" s="16" t="n">
        <x:v>163</x:v>
      </x:c>
      <x:c r="K441" s="16" t="n">
        <x:v>4363</x:v>
      </x:c>
      <x:c r="L441" s="16" t="n">
        <x:v>4369</x:v>
      </x:c>
      <x:c r="M441" s="16" t="n">
        <x:v>6</x:v>
      </x:c>
      <x:c r="N441" s="16" t="n">
        <x:v>27.166666666666668</x:v>
      </x:c>
      <x:c r="O441" s="12" t="str">
        <x:v>FTRL44G004</x:v>
      </x:c>
      <x:c r="P441" s="12" t="str">
        <x:v>STRL44G151</x:v>
      </x:c>
      <x:c r="Q441" s="12" t="str"/>
      <x:c r="R441" s="12" t="str"/>
      <x:c r="S441" s="12" t="str"/>
      <x:c r="T441" s="12" t="str">
        <x:v>ABM</x:v>
      </x:c>
      <x:c r="U441" s="12" t="str"/>
      <x:c r="V441" s="12" t="str"/>
      <x:c r="W441" s="12" t="str"/>
      <x:c r="X441" s="12" t="str">
        <x:v>STRL44</x:v>
      </x:c>
      <x:c r="Y441" s="12" t="str">
        <x:v>BADRI &amp; KAMRAN</x:v>
      </x:c>
      <x:c r="Z441" s="12" t="str"/>
      <x:c r="AA441" s="32" t="n">
        <x:f>IFERROR(VLOOKUP(G441,Master_Unit!$A$2:$N$78,7,FALSE),"")</x:f>
        <x:v>20</x:v>
      </x:c>
      <x:c r="AB441" s="32" t="n">
        <x:f>IF(OR(N441="",AA441=""),"",N441-AA441)</x:f>
        <x:v>7.166666666666668</x:v>
      </x:c>
      <x:c r="AC441" s="20" t="n">
        <x:f>IF(OR(N441="",AA441="",AA441=0),"",AB441/AA441)</x:f>
        <x:v>0.3583333333333334</x:v>
      </x:c>
      <x:c r="AD441" t="str">
        <x:f>IF(AA441="","NO STANDARD",IF(AC441&lt;=Config_Status!$B$2,"EFFICIENT",IF(AC441&lt;=Config_Status!$B$3,"NORMAL",IF(AC441&lt;=Config_Status!$B$4,"WARNING","OVER CONSUMPTION"))))</x:f>
        <x:v>OVER CONSUMPTION</x:v>
      </x:c>
      <x:c r="AE441" t="str">
        <x:f>IFERROR(VLOOKUP(G441,Master_Unit!$A$2:$N$78,13,FALSE),"UNIT NOT FOUND")</x:f>
        <x:v>Matched</x:v>
      </x:c>
    </x:row>
    <x:row r="442">
      <x:c r="A442" s="12" t="str">
        <x:v>FU-20260606-00441</x:v>
      </x:c>
      <x:c r="B442" s="12" t="n">
        <x:v>571</x:v>
      </x:c>
      <x:c r="C442" s="14" t="n">
        <x:v>46179</x:v>
      </x:c>
      <x:c r="D442" s="12" t="str">
        <x:v>Sabtu</x:v>
      </x:c>
      <x:c r="E442" s="12" t="str">
        <x:v>23:40:00</x:v>
      </x:c>
      <x:c r="F442" s="12" t="str">
        <x:v>All Shift Night</x:v>
      </x:c>
      <x:c r="G442" s="12" t="str">
        <x:v>EXVV35G006</x:v>
      </x:c>
      <x:c r="H442" s="12" t="str">
        <x:v>Excavator</x:v>
      </x:c>
      <x:c r="I442" s="12" t="str">
        <x:v>EXCAVATOR VOLVO EC350D</x:v>
      </x:c>
      <x:c r="J442" s="16" t="n">
        <x:v>213</x:v>
      </x:c>
      <x:c r="K442" s="16" t="n">
        <x:v>3124.5</x:v>
      </x:c>
      <x:c r="L442" s="16" t="n">
        <x:v>3133.4</x:v>
      </x:c>
      <x:c r="M442" s="16" t="n">
        <x:v>8.900000000000091</x:v>
      </x:c>
      <x:c r="N442" s="16" t="n">
        <x:v>23.932584269662676</x:v>
      </x:c>
      <x:c r="O442" s="12" t="str">
        <x:v>FTRL44G004</x:v>
      </x:c>
      <x:c r="P442" s="12" t="str">
        <x:v>EXVV35G006</x:v>
      </x:c>
      <x:c r="Q442" s="12" t="str"/>
      <x:c r="R442" s="12" t="str"/>
      <x:c r="S442" s="12" t="str"/>
      <x:c r="T442" s="12" t="str">
        <x:v>ABM</x:v>
      </x:c>
      <x:c r="U442" s="12" t="str"/>
      <x:c r="V442" s="12" t="str"/>
      <x:c r="W442" s="12" t="str"/>
      <x:c r="X442" s="12" t="str">
        <x:v>EXVV35</x:v>
      </x:c>
      <x:c r="Y442" s="12" t="str">
        <x:v>BADRI &amp; KAMRAN</x:v>
      </x:c>
      <x:c r="Z442" s="12" t="str"/>
      <x:c r="AA442" s="32" t="n">
        <x:f>IFERROR(VLOOKUP(G442,Master_Unit!$A$2:$N$78,7,FALSE),"")</x:f>
        <x:v>25</x:v>
      </x:c>
      <x:c r="AB442" s="32" t="n">
        <x:f>IF(OR(N442="",AA442=""),"",N442-AA442)</x:f>
        <x:v>-1.0674157303373235</x:v>
      </x:c>
      <x:c r="AC442" s="20" t="n">
        <x:f>IF(OR(N442="",AA442="",AA442=0),"",AB442/AA442)</x:f>
        <x:v>-0.04269662921349294</x:v>
      </x:c>
      <x:c r="AD442" t="str">
        <x:f>IF(AA442="","NO STANDARD",IF(AC442&lt;=Config_Status!$B$2,"EFFICIENT",IF(AC442&lt;=Config_Status!$B$3,"NORMAL",IF(AC442&lt;=Config_Status!$B$4,"WARNING","OVER CONSUMPTION"))))</x:f>
        <x:v>NORMAL</x:v>
      </x:c>
      <x:c r="AE442" t="str">
        <x:f>IFERROR(VLOOKUP(G442,Master_Unit!$A$2:$N$78,13,FALSE),"UNIT NOT FOUND")</x:f>
        <x:v>Matched</x:v>
      </x:c>
    </x:row>
    <x:row r="443">
      <x:c r="A443" s="12" t="str">
        <x:v>FU-20260607-00442</x:v>
      </x:c>
      <x:c r="B443" s="12" t="n">
        <x:v>572</x:v>
      </x:c>
      <x:c r="C443" s="14" t="n">
        <x:v>46180</x:v>
      </x:c>
      <x:c r="D443" s="12" t="str">
        <x:v>Minggu</x:v>
      </x:c>
      <x:c r="E443" s="12" t="str">
        <x:v>06:26:00</x:v>
      </x:c>
      <x:c r="F443" s="12" t="str">
        <x:v>All Shift Day</x:v>
      </x:c>
      <x:c r="G443" s="12" t="str">
        <x:v>STRL44G142</x:v>
      </x:c>
      <x:c r="H443" s="12" t="str">
        <x:v>Dump Truck</x:v>
      </x:c>
      <x:c r="I443" s="12" t="str">
        <x:v>DUMP TRUCK RENAULT KRANGE440-P6X4 A/T</x:v>
      </x:c>
      <x:c r="J443" s="16" t="n">
        <x:v>111</x:v>
      </x:c>
      <x:c r="K443" s="16" t="n">
        <x:v>3315</x:v>
      </x:c>
      <x:c r="L443" s="16" t="n">
        <x:v>3322</x:v>
      </x:c>
      <x:c r="M443" s="16" t="n">
        <x:v>7</x:v>
      </x:c>
      <x:c r="N443" s="16" t="n">
        <x:v>15.857142857142858</x:v>
      </x:c>
      <x:c r="O443" s="12" t="str">
        <x:v>FTRL44G004</x:v>
      </x:c>
      <x:c r="P443" s="12" t="str">
        <x:v>STRL44G142</x:v>
      </x:c>
      <x:c r="Q443" s="12" t="str"/>
      <x:c r="R443" s="12" t="str"/>
      <x:c r="S443" s="12" t="str"/>
      <x:c r="T443" s="12" t="str">
        <x:v>ABM</x:v>
      </x:c>
      <x:c r="U443" s="12" t="str"/>
      <x:c r="V443" s="12" t="str"/>
      <x:c r="W443" s="12" t="str"/>
      <x:c r="X443" s="12" t="str">
        <x:v>STRL44</x:v>
      </x:c>
      <x:c r="Y443" s="12" t="str">
        <x:v>FANGKI &amp; ACUNG</x:v>
      </x:c>
      <x:c r="Z443" s="12" t="str"/>
      <x:c r="AA443" s="32" t="n">
        <x:f>IFERROR(VLOOKUP(G443,Master_Unit!$A$2:$N$78,7,FALSE),"")</x:f>
        <x:v>20</x:v>
      </x:c>
      <x:c r="AB443" s="32" t="n">
        <x:f>IF(OR(N443="",AA443=""),"",N443-AA443)</x:f>
        <x:v>-4.142857142857142</x:v>
      </x:c>
      <x:c r="AC443" s="20" t="n">
        <x:f>IF(OR(N443="",AA443="",AA443=0),"",AB443/AA443)</x:f>
        <x:v>-0.20714285714285713</x:v>
      </x:c>
      <x:c r="AD443" t="str">
        <x:f>IF(AA443="","NO STANDARD",IF(AC443&lt;=Config_Status!$B$2,"EFFICIENT",IF(AC443&lt;=Config_Status!$B$3,"NORMAL",IF(AC443&lt;=Config_Status!$B$4,"WARNING","OVER CONSUMPTION"))))</x:f>
        <x:v>EFFICIENT</x:v>
      </x:c>
      <x:c r="AE443" t="str">
        <x:f>IFERROR(VLOOKUP(G443,Master_Unit!$A$2:$N$78,13,FALSE),"UNIT NOT FOUND")</x:f>
        <x:v>Matched</x:v>
      </x:c>
    </x:row>
    <x:row r="444">
      <x:c r="A444" s="12" t="str">
        <x:v>FU-20260607-00443</x:v>
      </x:c>
      <x:c r="B444" s="12" t="n">
        <x:v>573</x:v>
      </x:c>
      <x:c r="C444" s="14" t="n">
        <x:v>46180</x:v>
      </x:c>
      <x:c r="D444" s="12" t="str">
        <x:v>Minggu</x:v>
      </x:c>
      <x:c r="E444" s="12" t="str">
        <x:v>06:31:00</x:v>
      </x:c>
      <x:c r="F444" s="12" t="str">
        <x:v>All Shift Day</x:v>
      </x:c>
      <x:c r="G444" s="12" t="str">
        <x:v>LVMP25R005</x:v>
      </x:c>
      <x:c r="H444" s="12" t="str">
        <x:v>Light Vehicle</x:v>
      </x:c>
      <x:c r="I444" s="12" t="str">
        <x:v>LIGHT VEHICLE MITSUBISHI PAJERO</x:v>
      </x:c>
      <x:c r="J444" s="16" t="n">
        <x:v>44</x:v>
      </x:c>
      <x:c r="K444" s="16" t="n">
        <x:v>58985</x:v>
      </x:c>
      <x:c r="L444" s="16" t="n">
        <x:v>59237</x:v>
      </x:c>
      <x:c r="M444" s="16" t="n">
        <x:v>252</x:v>
      </x:c>
      <x:c r="N444" s="16" t="n">
        <x:v>0.1746031746031746</x:v>
      </x:c>
      <x:c r="O444" s="12" t="str">
        <x:v>FTRL44G004</x:v>
      </x:c>
      <x:c r="P444" s="12" t="str">
        <x:v>LVMP25R005</x:v>
      </x:c>
      <x:c r="Q444" s="12" t="str"/>
      <x:c r="R444" s="12" t="str"/>
      <x:c r="S444" s="12" t="str"/>
      <x:c r="T444" s="12" t="str">
        <x:v>ABM</x:v>
      </x:c>
      <x:c r="U444" s="12" t="str"/>
      <x:c r="V444" s="12" t="str"/>
      <x:c r="W444" s="12" t="str"/>
      <x:c r="X444" s="12" t="str">
        <x:v>LVMP25</x:v>
      </x:c>
      <x:c r="Y444" s="12" t="str">
        <x:v>FANGKI &amp; ACUNG</x:v>
      </x:c>
      <x:c r="Z444" s="12" t="str"/>
      <x:c r="AA444" s="32" t="str">
        <x:f>IFERROR(VLOOKUP(G444,Master_Unit!$A$2:$N$78,7,FALSE),"")</x:f>
      </x:c>
      <x:c r="AB444" s="32" t="str">
        <x:f>IF(OR(N444="",AA444=""),"",N444-AA444)</x:f>
      </x:c>
      <x:c r="AC444" s="20" t="str">
        <x:f>IF(OR(N444="",AA444="",AA444=0),"",AB444/AA444)</x:f>
      </x:c>
      <x:c r="AD444" t="str">
        <x:f>IF(AA444="","NO STANDARD",IF(AC444&lt;=Config_Status!$B$2,"EFFICIENT",IF(AC444&lt;=Config_Status!$B$3,"NORMAL",IF(AC444&lt;=Config_Status!$B$4,"WARNING","OVER CONSUMPTION"))))</x:f>
        <x:v>NO STANDARD</x:v>
      </x:c>
      <x:c r="AE444" t="str">
        <x:f>IFERROR(VLOOKUP(G444,Master_Unit!$A$2:$N$78,13,FALSE),"UNIT NOT FOUND")</x:f>
        <x:v>No Standard</x:v>
      </x:c>
    </x:row>
    <x:row r="445">
      <x:c r="A445" s="12" t="str">
        <x:v>FU-20260607-00444</x:v>
      </x:c>
      <x:c r="B445" s="12" t="n">
        <x:v>574</x:v>
      </x:c>
      <x:c r="C445" s="14" t="n">
        <x:v>46180</x:v>
      </x:c>
      <x:c r="D445" s="12" t="str">
        <x:v>Minggu</x:v>
      </x:c>
      <x:c r="E445" s="12" t="str">
        <x:v>06:38:00</x:v>
      </x:c>
      <x:c r="F445" s="12" t="str">
        <x:v>All Shift Day</x:v>
      </x:c>
      <x:c r="G445" s="12" t="str">
        <x:v>EXVV21G035</x:v>
      </x:c>
      <x:c r="H445" s="12" t="str">
        <x:v>Excavator</x:v>
      </x:c>
      <x:c r="I445" s="12" t="str">
        <x:v>EXCAVATOR VOLVO EC210D</x:v>
      </x:c>
      <x:c r="J445" s="16" t="n">
        <x:v>153</x:v>
      </x:c>
      <x:c r="K445" s="16" t="n">
        <x:v>8353.3</x:v>
      </x:c>
      <x:c r="L445" s="16" t="n">
        <x:v>8362</x:v>
      </x:c>
      <x:c r="M445" s="16" t="n">
        <x:v>8.700000000000728</x:v>
      </x:c>
      <x:c r="N445" s="16" t="n">
        <x:v>17.58620689655025</x:v>
      </x:c>
      <x:c r="O445" s="12" t="str">
        <x:v>FTRL44G004</x:v>
      </x:c>
      <x:c r="P445" s="12" t="str">
        <x:v>EXVV21G035</x:v>
      </x:c>
      <x:c r="Q445" s="12" t="str"/>
      <x:c r="R445" s="12" t="str"/>
      <x:c r="S445" s="12" t="str"/>
      <x:c r="T445" s="12" t="str">
        <x:v>ABM</x:v>
      </x:c>
      <x:c r="U445" s="12" t="str"/>
      <x:c r="V445" s="12" t="str"/>
      <x:c r="W445" s="12" t="str"/>
      <x:c r="X445" s="12" t="str">
        <x:v>EXVV21</x:v>
      </x:c>
      <x:c r="Y445" s="12" t="str">
        <x:v>FANGKI &amp; ACUNG</x:v>
      </x:c>
      <x:c r="Z445" s="12" t="str"/>
      <x:c r="AA445" s="32" t="n">
        <x:f>IFERROR(VLOOKUP(G445,Master_Unit!$A$2:$N$78,7,FALSE),"")</x:f>
        <x:v>20</x:v>
      </x:c>
      <x:c r="AB445" s="32" t="n">
        <x:f>IF(OR(N445="",AA445=""),"",N445-AA445)</x:f>
        <x:v>-2.4137931034497484</x:v>
      </x:c>
      <x:c r="AC445" s="20" t="n">
        <x:f>IF(OR(N445="",AA445="",AA445=0),"",AB445/AA445)</x:f>
        <x:v>-0.12068965517248742</x:v>
      </x:c>
      <x:c r="AD445" t="str">
        <x:f>IF(AA445="","NO STANDARD",IF(AC445&lt;=Config_Status!$B$2,"EFFICIENT",IF(AC445&lt;=Config_Status!$B$3,"NORMAL",IF(AC445&lt;=Config_Status!$B$4,"WARNING","OVER CONSUMPTION"))))</x:f>
        <x:v>EFFICIENT</x:v>
      </x:c>
      <x:c r="AE445" t="str">
        <x:f>IFERROR(VLOOKUP(G445,Master_Unit!$A$2:$N$78,13,FALSE),"UNIT NOT FOUND")</x:f>
        <x:v>Matched</x:v>
      </x:c>
    </x:row>
    <x:row r="446">
      <x:c r="A446" s="12" t="str">
        <x:v>FU-20260607-00445</x:v>
      </x:c>
      <x:c r="B446" s="12" t="n">
        <x:v>575</x:v>
      </x:c>
      <x:c r="C446" s="14" t="n">
        <x:v>46180</x:v>
      </x:c>
      <x:c r="D446" s="12" t="str">
        <x:v>Minggu</x:v>
      </x:c>
      <x:c r="E446" s="12" t="str">
        <x:v>06:50:00</x:v>
      </x:c>
      <x:c r="F446" s="12" t="str">
        <x:v>All Shift Day</x:v>
      </x:c>
      <x:c r="G446" s="12" t="str">
        <x:v>WTRL44G006</x:v>
      </x:c>
      <x:c r="H446" s="12" t="str">
        <x:v>Water Truck</x:v>
      </x:c>
      <x:c r="I446" s="12" t="str">
        <x:v>WATER TRUCK RENAULT KRANGE440-P6X4 A/T</x:v>
      </x:c>
      <x:c r="J446" s="16" t="n">
        <x:v>100</x:v>
      </x:c>
      <x:c r="K446" s="16" t="n">
        <x:v>2011</x:v>
      </x:c>
      <x:c r="L446" s="16" t="n">
        <x:v>2021</x:v>
      </x:c>
      <x:c r="M446" s="16" t="n">
        <x:v>10</x:v>
      </x:c>
      <x:c r="N446" s="16" t="n">
        <x:v>10</x:v>
      </x:c>
      <x:c r="O446" s="12" t="str">
        <x:v>FTRL44G004</x:v>
      </x:c>
      <x:c r="P446" s="12" t="str">
        <x:v>WTRL44G006</x:v>
      </x:c>
      <x:c r="Q446" s="12" t="str"/>
      <x:c r="R446" s="12" t="str"/>
      <x:c r="S446" s="12" t="str"/>
      <x:c r="T446" s="12" t="str">
        <x:v>ABM</x:v>
      </x:c>
      <x:c r="U446" s="12" t="str"/>
      <x:c r="V446" s="12" t="str"/>
      <x:c r="W446" s="12" t="str"/>
      <x:c r="X446" s="12" t="str">
        <x:v>WTRL44</x:v>
      </x:c>
      <x:c r="Y446" s="12" t="str">
        <x:v>FANGKI &amp; ACUNG</x:v>
      </x:c>
      <x:c r="Z446" s="12" t="str"/>
      <x:c r="AA446" s="32" t="n">
        <x:f>IFERROR(VLOOKUP(G446,Master_Unit!$A$2:$N$78,7,FALSE),"")</x:f>
        <x:v>20</x:v>
      </x:c>
      <x:c r="AB446" s="32" t="n">
        <x:f>IF(OR(N446="",AA446=""),"",N446-AA446)</x:f>
        <x:v>-10</x:v>
      </x:c>
      <x:c r="AC446" s="20" t="n">
        <x:f>IF(OR(N446="",AA446="",AA446=0),"",AB446/AA446)</x:f>
        <x:v>-0.5</x:v>
      </x:c>
      <x:c r="AD446" t="str">
        <x:f>IF(AA446="","NO STANDARD",IF(AC446&lt;=Config_Status!$B$2,"EFFICIENT",IF(AC446&lt;=Config_Status!$B$3,"NORMAL",IF(AC446&lt;=Config_Status!$B$4,"WARNING","OVER CONSUMPTION"))))</x:f>
        <x:v>EFFICIENT</x:v>
      </x:c>
      <x:c r="AE446" t="str">
        <x:f>IFERROR(VLOOKUP(G446,Master_Unit!$A$2:$N$78,13,FALSE),"UNIT NOT FOUND")</x:f>
        <x:v>Matched</x:v>
      </x:c>
    </x:row>
    <x:row r="447">
      <x:c r="A447" s="12" t="str">
        <x:v>FU-20260607-00446</x:v>
      </x:c>
      <x:c r="B447" s="12" t="n">
        <x:v>576</x:v>
      </x:c>
      <x:c r="C447" s="14" t="n">
        <x:v>46180</x:v>
      </x:c>
      <x:c r="D447" s="12" t="str">
        <x:v>Minggu</x:v>
      </x:c>
      <x:c r="E447" s="12" t="str">
        <x:v>07:04:00</x:v>
      </x:c>
      <x:c r="F447" s="12" t="str">
        <x:v>All Shift Day</x:v>
      </x:c>
      <x:c r="G447" s="12" t="str">
        <x:v>LVTH24R026</x:v>
      </x:c>
      <x:c r="H447" s="12" t="str">
        <x:v>Light Vehicle</x:v>
      </x:c>
      <x:c r="I447" s="12" t="str">
        <x:v>LIGHT VEHICLE TOYOTA HILUX</x:v>
      </x:c>
      <x:c r="J447" s="16" t="n">
        <x:v>21</x:v>
      </x:c>
      <x:c r="K447" s="16" t="n">
        <x:v>58870</x:v>
      </x:c>
      <x:c r="L447" s="16" t="n">
        <x:v>59035</x:v>
      </x:c>
      <x:c r="M447" s="16" t="n">
        <x:v>165</x:v>
      </x:c>
      <x:c r="N447" s="16" t="n">
        <x:v>0.12727272727272726</x:v>
      </x:c>
      <x:c r="O447" s="12" t="str">
        <x:v>FTRL44G004</x:v>
      </x:c>
      <x:c r="P447" s="12" t="str">
        <x:v>LVTH24R026</x:v>
      </x:c>
      <x:c r="Q447" s="12" t="str"/>
      <x:c r="R447" s="12" t="str"/>
      <x:c r="S447" s="12" t="str"/>
      <x:c r="T447" s="12" t="str">
        <x:v>ABM</x:v>
      </x:c>
      <x:c r="U447" s="12" t="str"/>
      <x:c r="V447" s="12" t="str"/>
      <x:c r="W447" s="12" t="str"/>
      <x:c r="X447" s="12" t="str">
        <x:v>LVTH24</x:v>
      </x:c>
      <x:c r="Y447" s="12" t="str">
        <x:v>FANGKI &amp; ACUNG</x:v>
      </x:c>
      <x:c r="Z447" s="12" t="str"/>
      <x:c r="AA447" s="32" t="n">
        <x:f>IFERROR(VLOOKUP(G447,Master_Unit!$A$2:$N$78,7,FALSE),"")</x:f>
        <x:v>0.2</x:v>
      </x:c>
      <x:c r="AB447" s="32" t="n">
        <x:f>IF(OR(N447="",AA447=""),"",N447-AA447)</x:f>
        <x:v>-0.07272727272727275</x:v>
      </x:c>
      <x:c r="AC447" s="20" t="n">
        <x:f>IF(OR(N447="",AA447="",AA447=0),"",AB447/AA447)</x:f>
        <x:v>-0.36363636363636376</x:v>
      </x:c>
      <x:c r="AD447" t="str">
        <x:f>IF(AA447="","NO STANDARD",IF(AC447&lt;=Config_Status!$B$2,"EFFICIENT",IF(AC447&lt;=Config_Status!$B$3,"NORMAL",IF(AC447&lt;=Config_Status!$B$4,"WARNING","OVER CONSUMPTION"))))</x:f>
        <x:v>EFFICIENT</x:v>
      </x:c>
      <x:c r="AE447" t="str">
        <x:f>IFERROR(VLOOKUP(G447,Master_Unit!$A$2:$N$78,13,FALSE),"UNIT NOT FOUND")</x:f>
        <x:v>Matched</x:v>
      </x:c>
    </x:row>
    <x:row r="448">
      <x:c r="A448" s="12" t="str">
        <x:v>FU-20260607-00447</x:v>
      </x:c>
      <x:c r="B448" s="12" t="n">
        <x:v>577</x:v>
      </x:c>
      <x:c r="C448" s="14" t="n">
        <x:v>46180</x:v>
      </x:c>
      <x:c r="D448" s="12" t="str">
        <x:v>Minggu</x:v>
      </x:c>
      <x:c r="E448" s="12" t="str">
        <x:v>07:15:00</x:v>
      </x:c>
      <x:c r="F448" s="12" t="str">
        <x:v>All Shift Day</x:v>
      </x:c>
      <x:c r="G448" s="12" t="str">
        <x:v>STRL44G134</x:v>
      </x:c>
      <x:c r="H448" s="12" t="str">
        <x:v>Dump Truck</x:v>
      </x:c>
      <x:c r="I448" s="12" t="str">
        <x:v>DUMP TRUCK RENAULT KRANGE440-P6X4 A/T</x:v>
      </x:c>
      <x:c r="J448" s="16" t="n">
        <x:v>57</x:v>
      </x:c>
      <x:c r="K448" s="16" t="n">
        <x:v>5631</x:v>
      </x:c>
      <x:c r="L448" s="16" t="n">
        <x:v>5642</x:v>
      </x:c>
      <x:c r="M448" s="16" t="n">
        <x:v>11</x:v>
      </x:c>
      <x:c r="N448" s="16" t="n">
        <x:v>5.181818181818182</x:v>
      </x:c>
      <x:c r="O448" s="12" t="str">
        <x:v>FTRL44G004</x:v>
      </x:c>
      <x:c r="P448" s="12" t="str">
        <x:v>STRL44G134</x:v>
      </x:c>
      <x:c r="Q448" s="12" t="str"/>
      <x:c r="R448" s="12" t="str"/>
      <x:c r="S448" s="12" t="str"/>
      <x:c r="T448" s="12" t="str">
        <x:v>ABM</x:v>
      </x:c>
      <x:c r="U448" s="12" t="str"/>
      <x:c r="V448" s="12" t="str"/>
      <x:c r="W448" s="12" t="str"/>
      <x:c r="X448" s="12" t="str">
        <x:v>STRL44</x:v>
      </x:c>
      <x:c r="Y448" s="12" t="str">
        <x:v>FANGKI &amp; ACUNG</x:v>
      </x:c>
      <x:c r="Z448" s="12" t="str"/>
      <x:c r="AA448" s="32" t="n">
        <x:f>IFERROR(VLOOKUP(G448,Master_Unit!$A$2:$N$78,7,FALSE),"")</x:f>
        <x:v>20</x:v>
      </x:c>
      <x:c r="AB448" s="32" t="n">
        <x:f>IF(OR(N448="",AA448=""),"",N448-AA448)</x:f>
        <x:v>-14.818181818181818</x:v>
      </x:c>
      <x:c r="AC448" s="20" t="n">
        <x:f>IF(OR(N448="",AA448="",AA448=0),"",AB448/AA448)</x:f>
        <x:v>-0.740909090909091</x:v>
      </x:c>
      <x:c r="AD448" t="str">
        <x:f>IF(AA448="","NO STANDARD",IF(AC448&lt;=Config_Status!$B$2,"EFFICIENT",IF(AC448&lt;=Config_Status!$B$3,"NORMAL",IF(AC448&lt;=Config_Status!$B$4,"WARNING","OVER CONSUMPTION"))))</x:f>
        <x:v>EFFICIENT</x:v>
      </x:c>
      <x:c r="AE448" t="str">
        <x:f>IFERROR(VLOOKUP(G448,Master_Unit!$A$2:$N$78,13,FALSE),"UNIT NOT FOUND")</x:f>
        <x:v>Matched</x:v>
      </x:c>
    </x:row>
    <x:row r="449">
      <x:c r="A449" s="12" t="str">
        <x:v>FU-20260607-00448</x:v>
      </x:c>
      <x:c r="B449" s="12" t="n">
        <x:v>578</x:v>
      </x:c>
      <x:c r="C449" s="14" t="n">
        <x:v>46180</x:v>
      </x:c>
      <x:c r="D449" s="12" t="str">
        <x:v>Minggu</x:v>
      </x:c>
      <x:c r="E449" s="12" t="str">
        <x:v>07:20:00</x:v>
      </x:c>
      <x:c r="F449" s="12" t="str">
        <x:v>All Shift Day</x:v>
      </x:c>
      <x:c r="G449" s="12" t="str">
        <x:v>MGSD20G007</x:v>
      </x:c>
      <x:c r="H449" s="12" t="str">
        <x:v>Other</x:v>
      </x:c>
      <x:c r="I449" s="12" t="str">
        <x:v>MOTOR GRADER SDLG GD9220F</x:v>
      </x:c>
      <x:c r="J449" s="16" t="n">
        <x:v>56</x:v>
      </x:c>
      <x:c r="K449" s="16" t="n">
        <x:v>3713.1</x:v>
      </x:c>
      <x:c r="L449" s="16" t="n">
        <x:v>3718.3</x:v>
      </x:c>
      <x:c r="M449" s="16" t="n">
        <x:v>5.200000000000273</x:v>
      </x:c>
      <x:c r="N449" s="16" t="n">
        <x:v>10.769230769230203</x:v>
      </x:c>
      <x:c r="O449" s="12" t="str">
        <x:v>FTRL44G004</x:v>
      </x:c>
      <x:c r="P449" s="12" t="str">
        <x:v>MGSD20G007</x:v>
      </x:c>
      <x:c r="Q449" s="12" t="str"/>
      <x:c r="R449" s="12" t="str"/>
      <x:c r="S449" s="12" t="str"/>
      <x:c r="T449" s="12" t="str">
        <x:v>ABM</x:v>
      </x:c>
      <x:c r="U449" s="12" t="str"/>
      <x:c r="V449" s="12" t="str"/>
      <x:c r="W449" s="12" t="str"/>
      <x:c r="X449" s="12" t="str">
        <x:v>MGSD20</x:v>
      </x:c>
      <x:c r="Y449" s="12" t="str">
        <x:v>FANGKI &amp; ACUNG</x:v>
      </x:c>
      <x:c r="Z449" s="12" t="str"/>
      <x:c r="AA449" s="32" t="n">
        <x:f>IFERROR(VLOOKUP(G449,Master_Unit!$A$2:$N$78,7,FALSE),"")</x:f>
        <x:v>20</x:v>
      </x:c>
      <x:c r="AB449" s="32" t="n">
        <x:f>IF(OR(N449="",AA449=""),"",N449-AA449)</x:f>
        <x:v>-9.230769230769797</x:v>
      </x:c>
      <x:c r="AC449" s="20" t="n">
        <x:f>IF(OR(N449="",AA449="",AA449=0),"",AB449/AA449)</x:f>
        <x:v>-0.4615384615384898</x:v>
      </x:c>
      <x:c r="AD449" t="str">
        <x:f>IF(AA449="","NO STANDARD",IF(AC449&lt;=Config_Status!$B$2,"EFFICIENT",IF(AC449&lt;=Config_Status!$B$3,"NORMAL",IF(AC449&lt;=Config_Status!$B$4,"WARNING","OVER CONSUMPTION"))))</x:f>
        <x:v>EFFICIENT</x:v>
      </x:c>
      <x:c r="AE449" t="str">
        <x:f>IFERROR(VLOOKUP(G449,Master_Unit!$A$2:$N$78,13,FALSE),"UNIT NOT FOUND")</x:f>
        <x:v>Matched</x:v>
      </x:c>
    </x:row>
    <x:row r="450">
      <x:c r="A450" s="12" t="str">
        <x:v>FU-20260607-00449</x:v>
      </x:c>
      <x:c r="B450" s="12" t="n">
        <x:v>579</x:v>
      </x:c>
      <x:c r="C450" s="14" t="n">
        <x:v>46180</x:v>
      </x:c>
      <x:c r="D450" s="12" t="str">
        <x:v>Minggu</x:v>
      </x:c>
      <x:c r="E450" s="12" t="str">
        <x:v>07:25:00</x:v>
      </x:c>
      <x:c r="F450" s="12" t="str">
        <x:v>All Shift Day</x:v>
      </x:c>
      <x:c r="G450" s="12" t="str">
        <x:v>STRL44G135</x:v>
      </x:c>
      <x:c r="H450" s="12" t="str">
        <x:v>Dump Truck</x:v>
      </x:c>
      <x:c r="I450" s="12" t="str">
        <x:v>DUMP TRUCK RENAULT KRANGE440-P6X4 A/T</x:v>
      </x:c>
      <x:c r="J450" s="16" t="n">
        <x:v>64</x:v>
      </x:c>
      <x:c r="K450" s="16" t="n">
        <x:v>5801</x:v>
      </x:c>
      <x:c r="L450" s="16" t="n">
        <x:v>5817</x:v>
      </x:c>
      <x:c r="M450" s="16" t="n">
        <x:v>16</x:v>
      </x:c>
      <x:c r="N450" s="16" t="n">
        <x:v>4</x:v>
      </x:c>
      <x:c r="O450" s="12" t="str">
        <x:v>FTRL44G004</x:v>
      </x:c>
      <x:c r="P450" s="12" t="str">
        <x:v>STRL44G135</x:v>
      </x:c>
      <x:c r="Q450" s="12" t="str"/>
      <x:c r="R450" s="12" t="str"/>
      <x:c r="S450" s="12" t="str"/>
      <x:c r="T450" s="12" t="str">
        <x:v>ABM</x:v>
      </x:c>
      <x:c r="U450" s="12" t="str"/>
      <x:c r="V450" s="12" t="str"/>
      <x:c r="W450" s="12" t="str"/>
      <x:c r="X450" s="12" t="str">
        <x:v>STRL44</x:v>
      </x:c>
      <x:c r="Y450" s="12" t="str">
        <x:v>FANGKI &amp; ACUNG</x:v>
      </x:c>
      <x:c r="Z450" s="12" t="str"/>
      <x:c r="AA450" s="32" t="n">
        <x:f>IFERROR(VLOOKUP(G450,Master_Unit!$A$2:$N$78,7,FALSE),"")</x:f>
        <x:v>20</x:v>
      </x:c>
      <x:c r="AB450" s="32" t="n">
        <x:f>IF(OR(N450="",AA450=""),"",N450-AA450)</x:f>
        <x:v>-16</x:v>
      </x:c>
      <x:c r="AC450" s="20" t="n">
        <x:f>IF(OR(N450="",AA450="",AA450=0),"",AB450/AA450)</x:f>
        <x:v>-0.8</x:v>
      </x:c>
      <x:c r="AD450" t="str">
        <x:f>IF(AA450="","NO STANDARD",IF(AC450&lt;=Config_Status!$B$2,"EFFICIENT",IF(AC450&lt;=Config_Status!$B$3,"NORMAL",IF(AC450&lt;=Config_Status!$B$4,"WARNING","OVER CONSUMPTION"))))</x:f>
        <x:v>EFFICIENT</x:v>
      </x:c>
      <x:c r="AE450" t="str">
        <x:f>IFERROR(VLOOKUP(G450,Master_Unit!$A$2:$N$78,13,FALSE),"UNIT NOT FOUND")</x:f>
        <x:v>Matched</x:v>
      </x:c>
    </x:row>
    <x:row r="451">
      <x:c r="A451" s="12" t="str">
        <x:v>FU-20260607-00450</x:v>
      </x:c>
      <x:c r="B451" s="12" t="n">
        <x:v>580</x:v>
      </x:c>
      <x:c r="C451" s="14" t="n">
        <x:v>46180</x:v>
      </x:c>
      <x:c r="D451" s="12" t="str">
        <x:v>Minggu</x:v>
      </x:c>
      <x:c r="E451" s="12" t="str">
        <x:v>07:42:00</x:v>
      </x:c>
      <x:c r="F451" s="12" t="str">
        <x:v>All Shift Day</x:v>
      </x:c>
      <x:c r="G451" s="12" t="str">
        <x:v>LVTH24R024</x:v>
      </x:c>
      <x:c r="H451" s="12" t="str">
        <x:v>Light Vehicle</x:v>
      </x:c>
      <x:c r="I451" s="12" t="str">
        <x:v>LIGHT VEHICLE TOYOTA HILUX</x:v>
      </x:c>
      <x:c r="J451" s="16" t="n">
        <x:v>20</x:v>
      </x:c>
      <x:c r="K451" s="16" t="n">
        <x:v>46122</x:v>
      </x:c>
      <x:c r="L451" s="16" t="n">
        <x:v>46244</x:v>
      </x:c>
      <x:c r="M451" s="16" t="n">
        <x:v>122</x:v>
      </x:c>
      <x:c r="N451" s="16" t="n">
        <x:v>0.16393442622950818</x:v>
      </x:c>
      <x:c r="O451" s="12" t="str">
        <x:v>FTRL44G004</x:v>
      </x:c>
      <x:c r="P451" s="12" t="str">
        <x:v>LVTH24R024</x:v>
      </x:c>
      <x:c r="Q451" s="12" t="str"/>
      <x:c r="R451" s="12" t="str"/>
      <x:c r="S451" s="12" t="str"/>
      <x:c r="T451" s="12" t="str">
        <x:v>ABM</x:v>
      </x:c>
      <x:c r="U451" s="12" t="str"/>
      <x:c r="V451" s="12" t="str"/>
      <x:c r="W451" s="12" t="str"/>
      <x:c r="X451" s="12" t="str">
        <x:v>LVTH24</x:v>
      </x:c>
      <x:c r="Y451" s="12" t="str">
        <x:v>FANGKI &amp; ACUNG</x:v>
      </x:c>
      <x:c r="Z451" s="12" t="str"/>
      <x:c r="AA451" s="32" t="n">
        <x:f>IFERROR(VLOOKUP(G451,Master_Unit!$A$2:$N$78,7,FALSE),"")</x:f>
        <x:v>0.2</x:v>
      </x:c>
      <x:c r="AB451" s="32" t="n">
        <x:f>IF(OR(N451="",AA451=""),"",N451-AA451)</x:f>
        <x:v>-0.03606557377049183</x:v>
      </x:c>
      <x:c r="AC451" s="20" t="n">
        <x:f>IF(OR(N451="",AA451="",AA451=0),"",AB451/AA451)</x:f>
        <x:v>-0.18032786885245913</x:v>
      </x:c>
      <x:c r="AD451" t="str">
        <x:f>IF(AA451="","NO STANDARD",IF(AC451&lt;=Config_Status!$B$2,"EFFICIENT",IF(AC451&lt;=Config_Status!$B$3,"NORMAL",IF(AC451&lt;=Config_Status!$B$4,"WARNING","OVER CONSUMPTION"))))</x:f>
        <x:v>EFFICIENT</x:v>
      </x:c>
      <x:c r="AE451" t="str">
        <x:f>IFERROR(VLOOKUP(G451,Master_Unit!$A$2:$N$78,13,FALSE),"UNIT NOT FOUND")</x:f>
        <x:v>Matched</x:v>
      </x:c>
    </x:row>
    <x:row r="452">
      <x:c r="A452" s="12" t="str">
        <x:v>FU-20260607-00451</x:v>
      </x:c>
      <x:c r="B452" s="12" t="n">
        <x:v>581</x:v>
      </x:c>
      <x:c r="C452" s="14" t="n">
        <x:v>46180</x:v>
      </x:c>
      <x:c r="D452" s="12" t="str">
        <x:v>Minggu</x:v>
      </x:c>
      <x:c r="E452" s="12" t="str">
        <x:v>07:48:00</x:v>
      </x:c>
      <x:c r="F452" s="12" t="str">
        <x:v>All Shift Day</x:v>
      </x:c>
      <x:c r="G452" s="12" t="str">
        <x:v>STRL44G153</x:v>
      </x:c>
      <x:c r="H452" s="12" t="str">
        <x:v>Dump Truck</x:v>
      </x:c>
      <x:c r="I452" s="12" t="str">
        <x:v>DUMP TRUCK RENAULT KRANGE440-P6X4 A/T</x:v>
      </x:c>
      <x:c r="J452" s="16" t="n">
        <x:v>86</x:v>
      </x:c>
      <x:c r="K452" s="16" t="n">
        <x:v>3966</x:v>
      </x:c>
      <x:c r="L452" s="16" t="n">
        <x:v>3973</x:v>
      </x:c>
      <x:c r="M452" s="16" t="n">
        <x:v>7</x:v>
      </x:c>
      <x:c r="N452" s="16" t="n">
        <x:v>12.285714285714286</x:v>
      </x:c>
      <x:c r="O452" s="12" t="str">
        <x:v>FTRL44G004</x:v>
      </x:c>
      <x:c r="P452" s="12" t="str">
        <x:v>STRL44G153</x:v>
      </x:c>
      <x:c r="Q452" s="12" t="str"/>
      <x:c r="R452" s="12" t="str"/>
      <x:c r="S452" s="12" t="str"/>
      <x:c r="T452" s="12" t="str">
        <x:v>ABM</x:v>
      </x:c>
      <x:c r="U452" s="12" t="str"/>
      <x:c r="V452" s="12" t="str"/>
      <x:c r="W452" s="12" t="str"/>
      <x:c r="X452" s="12" t="str">
        <x:v>STRL44</x:v>
      </x:c>
      <x:c r="Y452" s="12" t="str">
        <x:v>FANGKI &amp; ACUNG</x:v>
      </x:c>
      <x:c r="Z452" s="12" t="str"/>
      <x:c r="AA452" s="32" t="n">
        <x:f>IFERROR(VLOOKUP(G452,Master_Unit!$A$2:$N$78,7,FALSE),"")</x:f>
        <x:v>20</x:v>
      </x:c>
      <x:c r="AB452" s="32" t="n">
        <x:f>IF(OR(N452="",AA452=""),"",N452-AA452)</x:f>
        <x:v>-7.7142857142857135</x:v>
      </x:c>
      <x:c r="AC452" s="20" t="n">
        <x:f>IF(OR(N452="",AA452="",AA452=0),"",AB452/AA452)</x:f>
        <x:v>-0.3857142857142857</x:v>
      </x:c>
      <x:c r="AD452" t="str">
        <x:f>IF(AA452="","NO STANDARD",IF(AC452&lt;=Config_Status!$B$2,"EFFICIENT",IF(AC452&lt;=Config_Status!$B$3,"NORMAL",IF(AC452&lt;=Config_Status!$B$4,"WARNING","OVER CONSUMPTION"))))</x:f>
        <x:v>EFFICIENT</x:v>
      </x:c>
      <x:c r="AE452" t="str">
        <x:f>IFERROR(VLOOKUP(G452,Master_Unit!$A$2:$N$78,13,FALSE),"UNIT NOT FOUND")</x:f>
        <x:v>Matched</x:v>
      </x:c>
    </x:row>
    <x:row r="453">
      <x:c r="A453" s="12" t="str">
        <x:v>FU-20260607-00452</x:v>
      </x:c>
      <x:c r="B453" s="12" t="n">
        <x:v>582</x:v>
      </x:c>
      <x:c r="C453" s="14" t="n">
        <x:v>46180</x:v>
      </x:c>
      <x:c r="D453" s="12" t="str">
        <x:v>Minggu</x:v>
      </x:c>
      <x:c r="E453" s="12" t="str">
        <x:v>07:54:00</x:v>
      </x:c>
      <x:c r="F453" s="12" t="str">
        <x:v>All Shift Day</x:v>
      </x:c>
      <x:c r="G453" s="12" t="str">
        <x:v>LVTH24R033</x:v>
      </x:c>
      <x:c r="H453" s="12" t="str">
        <x:v>Light Vehicle</x:v>
      </x:c>
      <x:c r="I453" s="12" t="str">
        <x:v>LIGHT VEHICLE TOYOTA HILUX</x:v>
      </x:c>
      <x:c r="J453" s="16" t="n">
        <x:v>30</x:v>
      </x:c>
      <x:c r="K453" s="16" t="n">
        <x:v>138211</x:v>
      </x:c>
      <x:c r="L453" s="16" t="n">
        <x:v>138458</x:v>
      </x:c>
      <x:c r="M453" s="16" t="n">
        <x:v>247</x:v>
      </x:c>
      <x:c r="N453" s="16" t="n">
        <x:v>0.1214574898785425</x:v>
      </x:c>
      <x:c r="O453" s="12" t="str">
        <x:v>FTRL44G004</x:v>
      </x:c>
      <x:c r="P453" s="12" t="str">
        <x:v>LVTH24R033</x:v>
      </x:c>
      <x:c r="Q453" s="12" t="str"/>
      <x:c r="R453" s="12" t="str"/>
      <x:c r="S453" s="12" t="str"/>
      <x:c r="T453" s="12" t="str">
        <x:v>ABM</x:v>
      </x:c>
      <x:c r="U453" s="12" t="str"/>
      <x:c r="V453" s="12" t="str"/>
      <x:c r="W453" s="12" t="str"/>
      <x:c r="X453" s="12" t="str">
        <x:v>LVTH24</x:v>
      </x:c>
      <x:c r="Y453" s="12" t="str">
        <x:v>FANGKI &amp; ACUNG</x:v>
      </x:c>
      <x:c r="Z453" s="12" t="str"/>
      <x:c r="AA453" s="32" t="n">
        <x:f>IFERROR(VLOOKUP(G453,Master_Unit!$A$2:$N$78,7,FALSE),"")</x:f>
        <x:v>0.2</x:v>
      </x:c>
      <x:c r="AB453" s="32" t="n">
        <x:f>IF(OR(N453="",AA453=""),"",N453-AA453)</x:f>
        <x:v>-0.0785425101214575</x:v>
      </x:c>
      <x:c r="AC453" s="20" t="n">
        <x:f>IF(OR(N453="",AA453="",AA453=0),"",AB453/AA453)</x:f>
        <x:v>-0.3927125506072875</x:v>
      </x:c>
      <x:c r="AD453" t="str">
        <x:f>IF(AA453="","NO STANDARD",IF(AC453&lt;=Config_Status!$B$2,"EFFICIENT",IF(AC453&lt;=Config_Status!$B$3,"NORMAL",IF(AC453&lt;=Config_Status!$B$4,"WARNING","OVER CONSUMPTION"))))</x:f>
        <x:v>EFFICIENT</x:v>
      </x:c>
      <x:c r="AE453" t="str">
        <x:f>IFERROR(VLOOKUP(G453,Master_Unit!$A$2:$N$78,13,FALSE),"UNIT NOT FOUND")</x:f>
        <x:v>Matched</x:v>
      </x:c>
    </x:row>
    <x:row r="454">
      <x:c r="A454" s="12" t="str">
        <x:v>FU-20260607-00453</x:v>
      </x:c>
      <x:c r="B454" s="12" t="n">
        <x:v>583</x:v>
      </x:c>
      <x:c r="C454" s="14" t="n">
        <x:v>46180</x:v>
      </x:c>
      <x:c r="D454" s="12" t="str">
        <x:v>Minggu</x:v>
      </x:c>
      <x:c r="E454" s="12" t="str">
        <x:v>08:00:00</x:v>
      </x:c>
      <x:c r="F454" s="12" t="str">
        <x:v>All Shift Day</x:v>
      </x:c>
      <x:c r="G454" s="12" t="str">
        <x:v>STRL44G146</x:v>
      </x:c>
      <x:c r="H454" s="12" t="str">
        <x:v>Dump Truck</x:v>
      </x:c>
      <x:c r="I454" s="12" t="str">
        <x:v>DUMP TRUCK RENAULT KRANGE440-P6X4 A/T</x:v>
      </x:c>
      <x:c r="J454" s="16" t="n">
        <x:v>128</x:v>
      </x:c>
      <x:c r="K454" s="16" t="n">
        <x:v>4920</x:v>
      </x:c>
      <x:c r="L454" s="16" t="n">
        <x:v>4926</x:v>
      </x:c>
      <x:c r="M454" s="16" t="n">
        <x:v>6</x:v>
      </x:c>
      <x:c r="N454" s="16" t="n">
        <x:v>21.333333333333332</x:v>
      </x:c>
      <x:c r="O454" s="12" t="str">
        <x:v>FTRL44G004</x:v>
      </x:c>
      <x:c r="P454" s="12" t="str">
        <x:v>STRL44G146</x:v>
      </x:c>
      <x:c r="Q454" s="12" t="str"/>
      <x:c r="R454" s="12" t="str"/>
      <x:c r="S454" s="12" t="str"/>
      <x:c r="T454" s="12" t="str">
        <x:v>ABM</x:v>
      </x:c>
      <x:c r="U454" s="12" t="str"/>
      <x:c r="V454" s="12" t="str"/>
      <x:c r="W454" s="12" t="str"/>
      <x:c r="X454" s="12" t="str">
        <x:v>STRL44</x:v>
      </x:c>
      <x:c r="Y454" s="12" t="str">
        <x:v>FANGKI &amp; ACUNG</x:v>
      </x:c>
      <x:c r="Z454" s="12" t="str"/>
      <x:c r="AA454" s="32" t="n">
        <x:f>IFERROR(VLOOKUP(G454,Master_Unit!$A$2:$N$78,7,FALSE),"")</x:f>
        <x:v>20</x:v>
      </x:c>
      <x:c r="AB454" s="32" t="n">
        <x:f>IF(OR(N454="",AA454=""),"",N454-AA454)</x:f>
        <x:v>1.3333333333333321</x:v>
      </x:c>
      <x:c r="AC454" s="20" t="n">
        <x:f>IF(OR(N454="",AA454="",AA454=0),"",AB454/AA454)</x:f>
        <x:v>0.06666666666666661</x:v>
      </x:c>
      <x:c r="AD454" t="str">
        <x:f>IF(AA454="","NO STANDARD",IF(AC454&lt;=Config_Status!$B$2,"EFFICIENT",IF(AC454&lt;=Config_Status!$B$3,"NORMAL",IF(AC454&lt;=Config_Status!$B$4,"WARNING","OVER CONSUMPTION"))))</x:f>
        <x:v>NORMAL</x:v>
      </x:c>
      <x:c r="AE454" t="str">
        <x:f>IFERROR(VLOOKUP(G454,Master_Unit!$A$2:$N$78,13,FALSE),"UNIT NOT FOUND")</x:f>
        <x:v>Matched</x:v>
      </x:c>
    </x:row>
    <x:row r="455">
      <x:c r="A455" s="12" t="str">
        <x:v>FU-20260607-00454</x:v>
      </x:c>
      <x:c r="B455" s="12" t="n">
        <x:v>584</x:v>
      </x:c>
      <x:c r="C455" s="14" t="n">
        <x:v>46180</x:v>
      </x:c>
      <x:c r="D455" s="12" t="str">
        <x:v>Minggu</x:v>
      </x:c>
      <x:c r="E455" s="12" t="str">
        <x:v>08:09:00</x:v>
      </x:c>
      <x:c r="F455" s="12" t="str">
        <x:v>All Shift Day</x:v>
      </x:c>
      <x:c r="G455" s="12" t="str">
        <x:v>STRL44G136</x:v>
      </x:c>
      <x:c r="H455" s="12" t="str">
        <x:v>Dump Truck</x:v>
      </x:c>
      <x:c r="I455" s="12" t="str">
        <x:v>DUMP TRUCK RENAULT KRANGE440-P6X4 A/T</x:v>
      </x:c>
      <x:c r="J455" s="16" t="n">
        <x:v>53</x:v>
      </x:c>
      <x:c r="K455" s="16" t="n">
        <x:v>5823</x:v>
      </x:c>
      <x:c r="L455" s="16" t="n">
        <x:v>5833</x:v>
      </x:c>
      <x:c r="M455" s="16" t="n">
        <x:v>10</x:v>
      </x:c>
      <x:c r="N455" s="16" t="n">
        <x:v>5.3</x:v>
      </x:c>
      <x:c r="O455" s="12" t="str">
        <x:v>FTRL44G004</x:v>
      </x:c>
      <x:c r="P455" s="12" t="str">
        <x:v>STRL44G136</x:v>
      </x:c>
      <x:c r="Q455" s="12" t="str"/>
      <x:c r="R455" s="12" t="str"/>
      <x:c r="S455" s="12" t="str"/>
      <x:c r="T455" s="12" t="str">
        <x:v>ABM</x:v>
      </x:c>
      <x:c r="U455" s="12" t="str"/>
      <x:c r="V455" s="12" t="str"/>
      <x:c r="W455" s="12" t="str"/>
      <x:c r="X455" s="12" t="str">
        <x:v>STRL44</x:v>
      </x:c>
      <x:c r="Y455" s="12" t="str">
        <x:v>FANGKI &amp; ACUNG</x:v>
      </x:c>
      <x:c r="Z455" s="12" t="str"/>
      <x:c r="AA455" s="32" t="n">
        <x:f>IFERROR(VLOOKUP(G455,Master_Unit!$A$2:$N$78,7,FALSE),"")</x:f>
        <x:v>20</x:v>
      </x:c>
      <x:c r="AB455" s="32" t="n">
        <x:f>IF(OR(N455="",AA455=""),"",N455-AA455)</x:f>
        <x:v>-14.7</x:v>
      </x:c>
      <x:c r="AC455" s="20" t="n">
        <x:f>IF(OR(N455="",AA455="",AA455=0),"",AB455/AA455)</x:f>
        <x:v>-0.735</x:v>
      </x:c>
      <x:c r="AD455" t="str">
        <x:f>IF(AA455="","NO STANDARD",IF(AC455&lt;=Config_Status!$B$2,"EFFICIENT",IF(AC455&lt;=Config_Status!$B$3,"NORMAL",IF(AC455&lt;=Config_Status!$B$4,"WARNING","OVER CONSUMPTION"))))</x:f>
        <x:v>EFFICIENT</x:v>
      </x:c>
      <x:c r="AE455" t="str">
        <x:f>IFERROR(VLOOKUP(G455,Master_Unit!$A$2:$N$78,13,FALSE),"UNIT NOT FOUND")</x:f>
        <x:v>Matched</x:v>
      </x:c>
    </x:row>
    <x:row r="456">
      <x:c r="A456" s="12" t="str">
        <x:v>FU-20260607-00455</x:v>
      </x:c>
      <x:c r="B456" s="12" t="n">
        <x:v>585</x:v>
      </x:c>
      <x:c r="C456" s="14" t="n">
        <x:v>46180</x:v>
      </x:c>
      <x:c r="D456" s="12" t="str">
        <x:v>Minggu</x:v>
      </x:c>
      <x:c r="E456" s="12" t="str">
        <x:v>08:19:00</x:v>
      </x:c>
      <x:c r="F456" s="12" t="str">
        <x:v>All Shift Day</x:v>
      </x:c>
      <x:c r="G456" s="12" t="str">
        <x:v>STRL44G143</x:v>
      </x:c>
      <x:c r="H456" s="12" t="str">
        <x:v>Dump Truck</x:v>
      </x:c>
      <x:c r="I456" s="12" t="str">
        <x:v>DUMP TRUCK RENAULT KRANGE440-P6X4 A/T</x:v>
      </x:c>
      <x:c r="J456" s="16" t="n">
        <x:v>189</x:v>
      </x:c>
      <x:c r="K456" s="16" t="n">
        <x:v>5207</x:v>
      </x:c>
      <x:c r="L456" s="16" t="n">
        <x:v>5215</x:v>
      </x:c>
      <x:c r="M456" s="16" t="n">
        <x:v>8</x:v>
      </x:c>
      <x:c r="N456" s="16" t="n">
        <x:v>23.625</x:v>
      </x:c>
      <x:c r="O456" s="12" t="str">
        <x:v>FTRL44G004</x:v>
      </x:c>
      <x:c r="P456" s="12" t="str">
        <x:v>STRL44G143</x:v>
      </x:c>
      <x:c r="Q456" s="12" t="str"/>
      <x:c r="R456" s="12" t="str"/>
      <x:c r="S456" s="12" t="str"/>
      <x:c r="T456" s="12" t="str">
        <x:v>ABM</x:v>
      </x:c>
      <x:c r="U456" s="12" t="str"/>
      <x:c r="V456" s="12" t="str"/>
      <x:c r="W456" s="12" t="str"/>
      <x:c r="X456" s="12" t="str">
        <x:v>STRL44</x:v>
      </x:c>
      <x:c r="Y456" s="12" t="str">
        <x:v>FANGKI &amp; ACUNG</x:v>
      </x:c>
      <x:c r="Z456" s="12" t="str"/>
      <x:c r="AA456" s="32" t="n">
        <x:f>IFERROR(VLOOKUP(G456,Master_Unit!$A$2:$N$78,7,FALSE),"")</x:f>
        <x:v>20</x:v>
      </x:c>
      <x:c r="AB456" s="32" t="n">
        <x:f>IF(OR(N456="",AA456=""),"",N456-AA456)</x:f>
        <x:v>3.625</x:v>
      </x:c>
      <x:c r="AC456" s="20" t="n">
        <x:f>IF(OR(N456="",AA456="",AA456=0),"",AB456/AA456)</x:f>
        <x:v>0.18125</x:v>
      </x:c>
      <x:c r="AD456" t="str">
        <x:f>IF(AA456="","NO STANDARD",IF(AC456&lt;=Config_Status!$B$2,"EFFICIENT",IF(AC456&lt;=Config_Status!$B$3,"NORMAL",IF(AC456&lt;=Config_Status!$B$4,"WARNING","OVER CONSUMPTION"))))</x:f>
        <x:v>WARNING</x:v>
      </x:c>
      <x:c r="AE456" t="str">
        <x:f>IFERROR(VLOOKUP(G456,Master_Unit!$A$2:$N$78,13,FALSE),"UNIT NOT FOUND")</x:f>
        <x:v>Matched</x:v>
      </x:c>
    </x:row>
    <x:row r="457">
      <x:c r="A457" s="12" t="str">
        <x:v>FU-20260607-00456</x:v>
      </x:c>
      <x:c r="B457" s="12" t="n">
        <x:v>586</x:v>
      </x:c>
      <x:c r="C457" s="14" t="n">
        <x:v>46180</x:v>
      </x:c>
      <x:c r="D457" s="12" t="str">
        <x:v>Minggu</x:v>
      </x:c>
      <x:c r="E457" s="12" t="str">
        <x:v>08:42:00</x:v>
      </x:c>
      <x:c r="F457" s="12" t="str">
        <x:v>All Shift Day</x:v>
      </x:c>
      <x:c r="G457" s="12" t="str">
        <x:v>STRL44G139</x:v>
      </x:c>
      <x:c r="H457" s="12" t="str">
        <x:v>Dump Truck</x:v>
      </x:c>
      <x:c r="I457" s="12" t="str">
        <x:v>DUMP TRUCK RENAULT KRANGE440-P6X4 A/T</x:v>
      </x:c>
      <x:c r="J457" s="16" t="n">
        <x:v>126</x:v>
      </x:c>
      <x:c r="K457" s="16" t="n">
        <x:v>4941</x:v>
      </x:c>
      <x:c r="L457" s="16" t="n">
        <x:v>4951</x:v>
      </x:c>
      <x:c r="M457" s="16" t="n">
        <x:v>10</x:v>
      </x:c>
      <x:c r="N457" s="16" t="n">
        <x:v>12.6</x:v>
      </x:c>
      <x:c r="O457" s="12" t="str">
        <x:v>FTRL44G004</x:v>
      </x:c>
      <x:c r="P457" s="12" t="str">
        <x:v>STRL44G139</x:v>
      </x:c>
      <x:c r="Q457" s="12" t="str"/>
      <x:c r="R457" s="12" t="str"/>
      <x:c r="S457" s="12" t="str"/>
      <x:c r="T457" s="12" t="str">
        <x:v>ABM</x:v>
      </x:c>
      <x:c r="U457" s="12" t="str"/>
      <x:c r="V457" s="12" t="str"/>
      <x:c r="W457" s="12" t="str"/>
      <x:c r="X457" s="12" t="str">
        <x:v>STRL44</x:v>
      </x:c>
      <x:c r="Y457" s="12" t="str">
        <x:v>FANGKI &amp; ACUNG</x:v>
      </x:c>
      <x:c r="Z457" s="12" t="str"/>
      <x:c r="AA457" s="32" t="n">
        <x:f>IFERROR(VLOOKUP(G457,Master_Unit!$A$2:$N$78,7,FALSE),"")</x:f>
        <x:v>20</x:v>
      </x:c>
      <x:c r="AB457" s="32" t="n">
        <x:f>IF(OR(N457="",AA457=""),"",N457-AA457)</x:f>
        <x:v>-7.4</x:v>
      </x:c>
      <x:c r="AC457" s="20" t="n">
        <x:f>IF(OR(N457="",AA457="",AA457=0),"",AB457/AA457)</x:f>
        <x:v>-0.37</x:v>
      </x:c>
      <x:c r="AD457" t="str">
        <x:f>IF(AA457="","NO STANDARD",IF(AC457&lt;=Config_Status!$B$2,"EFFICIENT",IF(AC457&lt;=Config_Status!$B$3,"NORMAL",IF(AC457&lt;=Config_Status!$B$4,"WARNING","OVER CONSUMPTION"))))</x:f>
        <x:v>EFFICIENT</x:v>
      </x:c>
      <x:c r="AE457" t="str">
        <x:f>IFERROR(VLOOKUP(G457,Master_Unit!$A$2:$N$78,13,FALSE),"UNIT NOT FOUND")</x:f>
        <x:v>Matched</x:v>
      </x:c>
    </x:row>
    <x:row r="458">
      <x:c r="A458" s="12" t="str">
        <x:v>FU-20260607-00457</x:v>
      </x:c>
      <x:c r="B458" s="12" t="n">
        <x:v>587</x:v>
      </x:c>
      <x:c r="C458" s="14" t="n">
        <x:v>46180</x:v>
      </x:c>
      <x:c r="D458" s="12" t="str">
        <x:v>Minggu</x:v>
      </x:c>
      <x:c r="E458" s="12" t="str">
        <x:v>09:14:00</x:v>
      </x:c>
      <x:c r="F458" s="12" t="str">
        <x:v>All Shift Day</x:v>
      </x:c>
      <x:c r="G458" s="12" t="str">
        <x:v>LVTH24R052</x:v>
      </x:c>
      <x:c r="H458" s="12" t="str">
        <x:v>Light Vehicle</x:v>
      </x:c>
      <x:c r="I458" s="12" t="str">
        <x:v>LIGHT VEHICLE TOYOTA HILUX</x:v>
      </x:c>
      <x:c r="J458" s="16" t="n">
        <x:v>20</x:v>
      </x:c>
      <x:c r="K458" s="16" t="n">
        <x:v>12980</x:v>
      </x:c>
      <x:c r="L458" s="16" t="n">
        <x:v>13276</x:v>
      </x:c>
      <x:c r="M458" s="16" t="n">
        <x:v>296</x:v>
      </x:c>
      <x:c r="N458" s="16" t="n">
        <x:v>0.06756756756756757</x:v>
      </x:c>
      <x:c r="O458" s="12" t="str">
        <x:v>FTRL44G004</x:v>
      </x:c>
      <x:c r="P458" s="12" t="str">
        <x:v>LVTH24R052</x:v>
      </x:c>
      <x:c r="Q458" s="12" t="str"/>
      <x:c r="R458" s="12" t="str"/>
      <x:c r="S458" s="12" t="str"/>
      <x:c r="T458" s="12" t="str">
        <x:v>ABM</x:v>
      </x:c>
      <x:c r="U458" s="12" t="str"/>
      <x:c r="V458" s="12" t="str"/>
      <x:c r="W458" s="12" t="str"/>
      <x:c r="X458" s="12" t="str">
        <x:v>LVTH24</x:v>
      </x:c>
      <x:c r="Y458" s="12" t="str">
        <x:v>FANGKI &amp; ACUNG</x:v>
      </x:c>
      <x:c r="Z458" s="12" t="str"/>
      <x:c r="AA458" s="32" t="n">
        <x:f>IFERROR(VLOOKUP(G458,Master_Unit!$A$2:$N$78,7,FALSE),"")</x:f>
        <x:v>0.2</x:v>
      </x:c>
      <x:c r="AB458" s="32" t="n">
        <x:f>IF(OR(N458="",AA458=""),"",N458-AA458)</x:f>
        <x:v>-0.13243243243243244</x:v>
      </x:c>
      <x:c r="AC458" s="20" t="n">
        <x:f>IF(OR(N458="",AA458="",AA458=0),"",AB458/AA458)</x:f>
        <x:v>-0.6621621621621622</x:v>
      </x:c>
      <x:c r="AD458" t="str">
        <x:f>IF(AA458="","NO STANDARD",IF(AC458&lt;=Config_Status!$B$2,"EFFICIENT",IF(AC458&lt;=Config_Status!$B$3,"NORMAL",IF(AC458&lt;=Config_Status!$B$4,"WARNING","OVER CONSUMPTION"))))</x:f>
        <x:v>EFFICIENT</x:v>
      </x:c>
      <x:c r="AE458" t="str">
        <x:f>IFERROR(VLOOKUP(G458,Master_Unit!$A$2:$N$78,13,FALSE),"UNIT NOT FOUND")</x:f>
        <x:v>Matched</x:v>
      </x:c>
    </x:row>
    <x:row r="459">
      <x:c r="A459" s="12" t="str">
        <x:v>FU-20260607-00458</x:v>
      </x:c>
      <x:c r="B459" s="12" t="n">
        <x:v>588</x:v>
      </x:c>
      <x:c r="C459" s="14" t="n">
        <x:v>46180</x:v>
      </x:c>
      <x:c r="D459" s="12" t="str">
        <x:v>Minggu</x:v>
      </x:c>
      <x:c r="E459" s="12" t="str">
        <x:v>09:20:00</x:v>
      </x:c>
      <x:c r="F459" s="12" t="str">
        <x:v>All Shift Day</x:v>
      </x:c>
      <x:c r="G459" s="12" t="str">
        <x:v>LVTH24R036</x:v>
      </x:c>
      <x:c r="H459" s="12" t="str">
        <x:v>Light Vehicle</x:v>
      </x:c>
      <x:c r="I459" s="12" t="str">
        <x:v>LIGHT VEHICLE TOYOTA HILUX</x:v>
      </x:c>
      <x:c r="J459" s="16" t="n">
        <x:v>31</x:v>
      </x:c>
      <x:c r="K459" s="16" t="n">
        <x:v>62952</x:v>
      </x:c>
      <x:c r="L459" s="16" t="n">
        <x:v>63013</x:v>
      </x:c>
      <x:c r="M459" s="16" t="n">
        <x:v>61</x:v>
      </x:c>
      <x:c r="N459" s="16" t="n">
        <x:v>0.5081967213114754</x:v>
      </x:c>
      <x:c r="O459" s="12" t="str">
        <x:v>FTRL44G004</x:v>
      </x:c>
      <x:c r="P459" s="12" t="str">
        <x:v>LVTH24R036</x:v>
      </x:c>
      <x:c r="Q459" s="12" t="str"/>
      <x:c r="R459" s="12" t="str"/>
      <x:c r="S459" s="12" t="str"/>
      <x:c r="T459" s="12" t="str">
        <x:v>ABM</x:v>
      </x:c>
      <x:c r="U459" s="12" t="str"/>
      <x:c r="V459" s="12" t="str"/>
      <x:c r="W459" s="12" t="str"/>
      <x:c r="X459" s="12" t="str">
        <x:v>LVTH24</x:v>
      </x:c>
      <x:c r="Y459" s="12" t="str">
        <x:v>FANGKI &amp; ACUNG</x:v>
      </x:c>
      <x:c r="Z459" s="12" t="str"/>
      <x:c r="AA459" s="32" t="n">
        <x:f>IFERROR(VLOOKUP(G459,Master_Unit!$A$2:$N$78,7,FALSE),"")</x:f>
        <x:v>0.2</x:v>
      </x:c>
      <x:c r="AB459" s="32" t="n">
        <x:f>IF(OR(N459="",AA459=""),"",N459-AA459)</x:f>
        <x:v>0.3081967213114754</x:v>
      </x:c>
      <x:c r="AC459" s="20" t="n">
        <x:f>IF(OR(N459="",AA459="",AA459=0),"",AB459/AA459)</x:f>
        <x:v>1.540983606557377</x:v>
      </x:c>
      <x:c r="AD459" t="str">
        <x:f>IF(AA459="","NO STANDARD",IF(AC459&lt;=Config_Status!$B$2,"EFFICIENT",IF(AC459&lt;=Config_Status!$B$3,"NORMAL",IF(AC459&lt;=Config_Status!$B$4,"WARNING","OVER CONSUMPTION"))))</x:f>
        <x:v>OVER CONSUMPTION</x:v>
      </x:c>
      <x:c r="AE459" t="str">
        <x:f>IFERROR(VLOOKUP(G459,Master_Unit!$A$2:$N$78,13,FALSE),"UNIT NOT FOUND")</x:f>
        <x:v>Matched</x:v>
      </x:c>
    </x:row>
    <x:row r="460">
      <x:c r="A460" s="12" t="str">
        <x:v>FU-20260607-00459</x:v>
      </x:c>
      <x:c r="B460" s="12" t="n">
        <x:v>589</x:v>
      </x:c>
      <x:c r="C460" s="14" t="n">
        <x:v>46180</x:v>
      </x:c>
      <x:c r="D460" s="12" t="str">
        <x:v>Minggu</x:v>
      </x:c>
      <x:c r="E460" s="12" t="str">
        <x:v>10:02:00</x:v>
      </x:c>
      <x:c r="F460" s="12" t="str">
        <x:v>All Shift Day</x:v>
      </x:c>
      <x:c r="G460" s="12" t="str">
        <x:v>GSHT10G002</x:v>
      </x:c>
      <x:c r="H460" s="12" t="str">
        <x:v>Genset</x:v>
      </x:c>
      <x:c r="I460" s="12" t="str">
        <x:v>GENSET HARTECH HT-10</x:v>
      </x:c>
      <x:c r="J460" s="16" t="n">
        <x:v>13</x:v>
      </x:c>
      <x:c r="K460" s="16" t="n">
        <x:v>8468.59</x:v>
      </x:c>
      <x:c r="L460" s="16" t="n">
        <x:v>8483.16</x:v>
      </x:c>
      <x:c r="M460" s="16" t="n">
        <x:v>14.569999999999709</x:v>
      </x:c>
      <x:c r="N460" s="16" t="n">
        <x:v>0.8922443376801825</x:v>
      </x:c>
      <x:c r="O460" s="12" t="str">
        <x:v>FTRL44G004</x:v>
      </x:c>
      <x:c r="P460" s="12" t="str">
        <x:v>GSHT10G002</x:v>
      </x:c>
      <x:c r="Q460" s="12" t="str"/>
      <x:c r="R460" s="12" t="str"/>
      <x:c r="S460" s="12" t="str"/>
      <x:c r="T460" s="12" t="str">
        <x:v>ABM</x:v>
      </x:c>
      <x:c r="U460" s="12" t="str"/>
      <x:c r="V460" s="12" t="str"/>
      <x:c r="W460" s="12" t="str"/>
      <x:c r="X460" s="12" t="str">
        <x:v>GSHT10</x:v>
      </x:c>
      <x:c r="Y460" s="12" t="str">
        <x:v>FANGKI &amp; ACUNG</x:v>
      </x:c>
      <x:c r="Z460" s="12" t="str"/>
      <x:c r="AA460" s="32" t="n">
        <x:f>IFERROR(VLOOKUP(G460,Master_Unit!$A$2:$N$78,7,FALSE),"")</x:f>
        <x:v>3</x:v>
      </x:c>
      <x:c r="AB460" s="32" t="n">
        <x:f>IF(OR(N460="",AA460=""),"",N460-AA460)</x:f>
        <x:v>-2.1077556623198177</x:v>
      </x:c>
      <x:c r="AC460" s="20" t="n">
        <x:f>IF(OR(N460="",AA460="",AA460=0),"",AB460/AA460)</x:f>
        <x:v>-0.7025852207732726</x:v>
      </x:c>
      <x:c r="AD460" t="str">
        <x:f>IF(AA460="","NO STANDARD",IF(AC460&lt;=Config_Status!$B$2,"EFFICIENT",IF(AC460&lt;=Config_Status!$B$3,"NORMAL",IF(AC460&lt;=Config_Status!$B$4,"WARNING","OVER CONSUMPTION"))))</x:f>
        <x:v>EFFICIENT</x:v>
      </x:c>
      <x:c r="AE460" t="str">
        <x:f>IFERROR(VLOOKUP(G460,Master_Unit!$A$2:$N$78,13,FALSE),"UNIT NOT FOUND")</x:f>
        <x:v>Matched</x:v>
      </x:c>
    </x:row>
    <x:row r="461">
      <x:c r="A461" s="12" t="str">
        <x:v>FU-20260607-00460</x:v>
      </x:c>
      <x:c r="B461" s="12" t="n">
        <x:v>590</x:v>
      </x:c>
      <x:c r="C461" s="14" t="n">
        <x:v>46180</x:v>
      </x:c>
      <x:c r="D461" s="12" t="str">
        <x:v>Minggu</x:v>
      </x:c>
      <x:c r="E461" s="12" t="str">
        <x:v>10:06:00</x:v>
      </x:c>
      <x:c r="F461" s="12" t="str">
        <x:v>All Shift Day</x:v>
      </x:c>
      <x:c r="G461" s="12" t="str">
        <x:v>EXVV21G043</x:v>
      </x:c>
      <x:c r="H461" s="12" t="str">
        <x:v>Excavator</x:v>
      </x:c>
      <x:c r="I461" s="12" t="str">
        <x:v>EXCAVATOR VOLVO EC210D</x:v>
      </x:c>
      <x:c r="J461" s="16" t="n">
        <x:v>132</x:v>
      </x:c>
      <x:c r="K461" s="16" t="n">
        <x:v>5309.4</x:v>
      </x:c>
      <x:c r="L461" s="16" t="n">
        <x:v>5316.7</x:v>
      </x:c>
      <x:c r="M461" s="16" t="n">
        <x:v>7.300000000000182</x:v>
      </x:c>
      <x:c r="N461" s="16" t="n">
        <x:v>18.082191780821468</x:v>
      </x:c>
      <x:c r="O461" s="12" t="str">
        <x:v>FTRL44G004</x:v>
      </x:c>
      <x:c r="P461" s="12" t="str">
        <x:v>EXVV21G043</x:v>
      </x:c>
      <x:c r="Q461" s="12" t="str"/>
      <x:c r="R461" s="12" t="str"/>
      <x:c r="S461" s="12" t="str"/>
      <x:c r="T461" s="12" t="str">
        <x:v>ABM</x:v>
      </x:c>
      <x:c r="U461" s="12" t="str"/>
      <x:c r="V461" s="12" t="str"/>
      <x:c r="W461" s="12" t="str"/>
      <x:c r="X461" s="12" t="str">
        <x:v>EXVV21</x:v>
      </x:c>
      <x:c r="Y461" s="12" t="str">
        <x:v>FANGKI &amp; ACUNG</x:v>
      </x:c>
      <x:c r="Z461" s="12" t="str"/>
      <x:c r="AA461" s="32" t="n">
        <x:f>IFERROR(VLOOKUP(G461,Master_Unit!$A$2:$N$78,7,FALSE),"")</x:f>
        <x:v>20</x:v>
      </x:c>
      <x:c r="AB461" s="32" t="n">
        <x:f>IF(OR(N461="",AA461=""),"",N461-AA461)</x:f>
        <x:v>-1.9178082191785322</x:v>
      </x:c>
      <x:c r="AC461" s="20" t="n">
        <x:f>IF(OR(N461="",AA461="",AA461=0),"",AB461/AA461)</x:f>
        <x:v>-0.09589041095892661</x:v>
      </x:c>
      <x:c r="AD461" t="str">
        <x:f>IF(AA461="","NO STANDARD",IF(AC461&lt;=Config_Status!$B$2,"EFFICIENT",IF(AC461&lt;=Config_Status!$B$3,"NORMAL",IF(AC461&lt;=Config_Status!$B$4,"WARNING","OVER CONSUMPTION"))))</x:f>
        <x:v>NORMAL</x:v>
      </x:c>
      <x:c r="AE461" t="str">
        <x:f>IFERROR(VLOOKUP(G461,Master_Unit!$A$2:$N$78,13,FALSE),"UNIT NOT FOUND")</x:f>
        <x:v>Matched</x:v>
      </x:c>
    </x:row>
    <x:row r="462">
      <x:c r="A462" s="12" t="str">
        <x:v>FU-20260607-00461</x:v>
      </x:c>
      <x:c r="B462" s="12" t="n">
        <x:v>591</x:v>
      </x:c>
      <x:c r="C462" s="14" t="n">
        <x:v>46180</x:v>
      </x:c>
      <x:c r="D462" s="12" t="str">
        <x:v>Minggu</x:v>
      </x:c>
      <x:c r="E462" s="12" t="str">
        <x:v>10:13:00</x:v>
      </x:c>
      <x:c r="F462" s="12" t="str">
        <x:v>All Shift Day</x:v>
      </x:c>
      <x:c r="G462" s="12" t="str">
        <x:v>EXVV21G042</x:v>
      </x:c>
      <x:c r="H462" s="12" t="str">
        <x:v>Excavator</x:v>
      </x:c>
      <x:c r="I462" s="12" t="str">
        <x:v>EXCAVATOR VOLVO EC210D</x:v>
      </x:c>
      <x:c r="J462" s="16" t="n">
        <x:v>153</x:v>
      </x:c>
      <x:c r="K462" s="16" t="n">
        <x:v>7682.2</x:v>
      </x:c>
      <x:c r="L462" s="16" t="n">
        <x:v>7695.7</x:v>
      </x:c>
      <x:c r="M462" s="16" t="n">
        <x:v>13.5</x:v>
      </x:c>
      <x:c r="N462" s="16" t="n">
        <x:v>11.333333333333334</x:v>
      </x:c>
      <x:c r="O462" s="12" t="str">
        <x:v>FTRL44G004</x:v>
      </x:c>
      <x:c r="P462" s="12" t="str">
        <x:v>EXVV21G042</x:v>
      </x:c>
      <x:c r="Q462" s="12" t="str"/>
      <x:c r="R462" s="12" t="str"/>
      <x:c r="S462" s="12" t="str"/>
      <x:c r="T462" s="12" t="str">
        <x:v>ABM</x:v>
      </x:c>
      <x:c r="U462" s="12" t="str"/>
      <x:c r="V462" s="12" t="str"/>
      <x:c r="W462" s="12" t="str"/>
      <x:c r="X462" s="12" t="str">
        <x:v>EXVV21</x:v>
      </x:c>
      <x:c r="Y462" s="12" t="str">
        <x:v>FANGKI &amp; ACUNG</x:v>
      </x:c>
      <x:c r="Z462" s="12" t="str"/>
      <x:c r="AA462" s="32" t="n">
        <x:f>IFERROR(VLOOKUP(G462,Master_Unit!$A$2:$N$78,7,FALSE),"")</x:f>
        <x:v>20</x:v>
      </x:c>
      <x:c r="AB462" s="32" t="n">
        <x:f>IF(OR(N462="",AA462=""),"",N462-AA462)</x:f>
        <x:v>-8.666666666666666</x:v>
      </x:c>
      <x:c r="AC462" s="20" t="n">
        <x:f>IF(OR(N462="",AA462="",AA462=0),"",AB462/AA462)</x:f>
        <x:v>-0.4333333333333333</x:v>
      </x:c>
      <x:c r="AD462" t="str">
        <x:f>IF(AA462="","NO STANDARD",IF(AC462&lt;=Config_Status!$B$2,"EFFICIENT",IF(AC462&lt;=Config_Status!$B$3,"NORMAL",IF(AC462&lt;=Config_Status!$B$4,"WARNING","OVER CONSUMPTION"))))</x:f>
        <x:v>EFFICIENT</x:v>
      </x:c>
      <x:c r="AE462" t="str">
        <x:f>IFERROR(VLOOKUP(G462,Master_Unit!$A$2:$N$78,13,FALSE),"UNIT NOT FOUND")</x:f>
        <x:v>Matched</x:v>
      </x:c>
    </x:row>
    <x:row r="463">
      <x:c r="A463" s="12" t="str">
        <x:v>FU-20260607-00462</x:v>
      </x:c>
      <x:c r="B463" s="12" t="n">
        <x:v>592</x:v>
      </x:c>
      <x:c r="C463" s="14" t="n">
        <x:v>46180</x:v>
      </x:c>
      <x:c r="D463" s="12" t="str">
        <x:v>Minggu</x:v>
      </x:c>
      <x:c r="E463" s="12" t="str">
        <x:v>10:18:00</x:v>
      </x:c>
      <x:c r="F463" s="12" t="str">
        <x:v>All Shift Day</x:v>
      </x:c>
      <x:c r="G463" s="12" t="str">
        <x:v>GSHT10G001</x:v>
      </x:c>
      <x:c r="H463" s="12" t="str">
        <x:v>Genset</x:v>
      </x:c>
      <x:c r="I463" s="12" t="str">
        <x:v>GENSET HARTECH HT-10</x:v>
      </x:c>
      <x:c r="J463" s="16" t="n">
        <x:v>10</x:v>
      </x:c>
      <x:c r="K463" s="16" t="n">
        <x:v>5916.46</x:v>
      </x:c>
      <x:c r="L463" s="16" t="n">
        <x:v>5927.3</x:v>
      </x:c>
      <x:c r="M463" s="16" t="n">
        <x:v>10.840000000000146</x:v>
      </x:c>
      <x:c r="N463" s="16" t="n">
        <x:v>0.9225092250922385</x:v>
      </x:c>
      <x:c r="O463" s="12" t="str">
        <x:v>FTRL44G004</x:v>
      </x:c>
      <x:c r="P463" s="12" t="str">
        <x:v>GSHT10G001</x:v>
      </x:c>
      <x:c r="Q463" s="12" t="str"/>
      <x:c r="R463" s="12" t="str"/>
      <x:c r="S463" s="12" t="str"/>
      <x:c r="T463" s="12" t="str">
        <x:v>ABM</x:v>
      </x:c>
      <x:c r="U463" s="12" t="str"/>
      <x:c r="V463" s="12" t="str"/>
      <x:c r="W463" s="12" t="str"/>
      <x:c r="X463" s="12" t="str">
        <x:v>GSHT10</x:v>
      </x:c>
      <x:c r="Y463" s="12" t="str">
        <x:v>FANGKI &amp; ACUNG</x:v>
      </x:c>
      <x:c r="Z463" s="12" t="str"/>
      <x:c r="AA463" s="32" t="n">
        <x:f>IFERROR(VLOOKUP(G463,Master_Unit!$A$2:$N$78,7,FALSE),"")</x:f>
        <x:v>3</x:v>
      </x:c>
      <x:c r="AB463" s="32" t="n">
        <x:f>IF(OR(N463="",AA463=""),"",N463-AA463)</x:f>
        <x:v>-2.0774907749077616</x:v>
      </x:c>
      <x:c r="AC463" s="20" t="n">
        <x:f>IF(OR(N463="",AA463="",AA463=0),"",AB463/AA463)</x:f>
        <x:v>-0.6924969249692539</x:v>
      </x:c>
      <x:c r="AD463" t="str">
        <x:f>IF(AA463="","NO STANDARD",IF(AC463&lt;=Config_Status!$B$2,"EFFICIENT",IF(AC463&lt;=Config_Status!$B$3,"NORMAL",IF(AC463&lt;=Config_Status!$B$4,"WARNING","OVER CONSUMPTION"))))</x:f>
        <x:v>EFFICIENT</x:v>
      </x:c>
      <x:c r="AE463" t="str">
        <x:f>IFERROR(VLOOKUP(G463,Master_Unit!$A$2:$N$78,13,FALSE),"UNIT NOT FOUND")</x:f>
        <x:v>Matched</x:v>
      </x:c>
    </x:row>
    <x:row r="464">
      <x:c r="A464" s="12" t="str">
        <x:v>FU-20260607-00463</x:v>
      </x:c>
      <x:c r="B464" s="12" t="n">
        <x:v>593</x:v>
      </x:c>
      <x:c r="C464" s="14" t="n">
        <x:v>46180</x:v>
      </x:c>
      <x:c r="D464" s="12" t="str">
        <x:v>Minggu</x:v>
      </x:c>
      <x:c r="E464" s="12" t="str">
        <x:v>10:24:00</x:v>
      </x:c>
      <x:c r="F464" s="12" t="str">
        <x:v>All Shift Day</x:v>
      </x:c>
      <x:c r="G464" s="12" t="str">
        <x:v>EXVV21G037</x:v>
      </x:c>
      <x:c r="H464" s="12" t="str">
        <x:v>Excavator</x:v>
      </x:c>
      <x:c r="I464" s="12" t="str">
        <x:v>EXCAVATOR VOLVO EC210D</x:v>
      </x:c>
      <x:c r="J464" s="16" t="n">
        <x:v>132</x:v>
      </x:c>
      <x:c r="K464" s="16" t="n">
        <x:v>6821.7</x:v>
      </x:c>
      <x:c r="L464" s="16" t="n">
        <x:v>6827.7</x:v>
      </x:c>
      <x:c r="M464" s="16" t="n">
        <x:v>6</x:v>
      </x:c>
      <x:c r="N464" s="16" t="n">
        <x:v>22</x:v>
      </x:c>
      <x:c r="O464" s="12" t="str">
        <x:v>FTRL44G004</x:v>
      </x:c>
      <x:c r="P464" s="12" t="str">
        <x:v>EXVV21G037</x:v>
      </x:c>
      <x:c r="Q464" s="12" t="str"/>
      <x:c r="R464" s="12" t="str"/>
      <x:c r="S464" s="12" t="str"/>
      <x:c r="T464" s="12" t="str">
        <x:v>ABM</x:v>
      </x:c>
      <x:c r="U464" s="12" t="str"/>
      <x:c r="V464" s="12" t="str"/>
      <x:c r="W464" s="12" t="str"/>
      <x:c r="X464" s="12" t="str">
        <x:v>EXVV21</x:v>
      </x:c>
      <x:c r="Y464" s="12" t="str">
        <x:v>FANGKI &amp; ACUNG</x:v>
      </x:c>
      <x:c r="Z464" s="12" t="str"/>
      <x:c r="AA464" s="32" t="n">
        <x:f>IFERROR(VLOOKUP(G464,Master_Unit!$A$2:$N$78,7,FALSE),"")</x:f>
        <x:v>20</x:v>
      </x:c>
      <x:c r="AB464" s="32" t="n">
        <x:f>IF(OR(N464="",AA464=""),"",N464-AA464)</x:f>
        <x:v>2</x:v>
      </x:c>
      <x:c r="AC464" s="20" t="n">
        <x:f>IF(OR(N464="",AA464="",AA464=0),"",AB464/AA464)</x:f>
        <x:v>0.1</x:v>
      </x:c>
      <x:c r="AD464" t="str">
        <x:f>IF(AA464="","NO STANDARD",IF(AC464&lt;=Config_Status!$B$2,"EFFICIENT",IF(AC464&lt;=Config_Status!$B$3,"NORMAL",IF(AC464&lt;=Config_Status!$B$4,"WARNING","OVER CONSUMPTION"))))</x:f>
        <x:v>NORMAL</x:v>
      </x:c>
      <x:c r="AE464" t="str">
        <x:f>IFERROR(VLOOKUP(G464,Master_Unit!$A$2:$N$78,13,FALSE),"UNIT NOT FOUND")</x:f>
        <x:v>Matched</x:v>
      </x:c>
    </x:row>
    <x:row r="465">
      <x:c r="A465" s="12" t="str">
        <x:v>FU-20260607-00464</x:v>
      </x:c>
      <x:c r="B465" s="12" t="n">
        <x:v>594</x:v>
      </x:c>
      <x:c r="C465" s="14" t="n">
        <x:v>46180</x:v>
      </x:c>
      <x:c r="D465" s="12" t="str">
        <x:v>Minggu</x:v>
      </x:c>
      <x:c r="E465" s="12" t="str">
        <x:v>10:26:00</x:v>
      </x:c>
      <x:c r="F465" s="12" t="str">
        <x:v>All Shift Day</x:v>
      </x:c>
      <x:c r="G465" s="12" t="str">
        <x:v>EXVV21G039</x:v>
      </x:c>
      <x:c r="H465" s="12" t="str">
        <x:v>Excavator</x:v>
      </x:c>
      <x:c r="I465" s="12" t="str">
        <x:v>EXCAVATOR VOLVO EC210D</x:v>
      </x:c>
      <x:c r="J465" s="16" t="n">
        <x:v>153</x:v>
      </x:c>
      <x:c r="K465" s="16" t="n">
        <x:v>6231.2</x:v>
      </x:c>
      <x:c r="L465" s="16" t="n">
        <x:v>6244.4</x:v>
      </x:c>
      <x:c r="M465" s="16" t="n">
        <x:v>13.199999999999818</x:v>
      </x:c>
      <x:c r="N465" s="16" t="n">
        <x:v>11.59090909090925</x:v>
      </x:c>
      <x:c r="O465" s="12" t="str">
        <x:v>FTRL44G004</x:v>
      </x:c>
      <x:c r="P465" s="12" t="str">
        <x:v>EXVV21G039</x:v>
      </x:c>
      <x:c r="Q465" s="12" t="str"/>
      <x:c r="R465" s="12" t="str"/>
      <x:c r="S465" s="12" t="str"/>
      <x:c r="T465" s="12" t="str">
        <x:v>ABM</x:v>
      </x:c>
      <x:c r="U465" s="12" t="str"/>
      <x:c r="V465" s="12" t="str"/>
      <x:c r="W465" s="12" t="str"/>
      <x:c r="X465" s="12" t="str">
        <x:v>EXVV21</x:v>
      </x:c>
      <x:c r="Y465" s="12" t="str">
        <x:v>FANGKI &amp; ACUNG</x:v>
      </x:c>
      <x:c r="Z465" s="12" t="str"/>
      <x:c r="AA465" s="32" t="n">
        <x:f>IFERROR(VLOOKUP(G465,Master_Unit!$A$2:$N$78,7,FALSE),"")</x:f>
        <x:v>20</x:v>
      </x:c>
      <x:c r="AB465" s="32" t="n">
        <x:f>IF(OR(N465="",AA465=""),"",N465-AA465)</x:f>
        <x:v>-8.40909090909075</x:v>
      </x:c>
      <x:c r="AC465" s="20" t="n">
        <x:f>IF(OR(N465="",AA465="",AA465=0),"",AB465/AA465)</x:f>
        <x:v>-0.42045454545453753</x:v>
      </x:c>
      <x:c r="AD465" t="str">
        <x:f>IF(AA465="","NO STANDARD",IF(AC465&lt;=Config_Status!$B$2,"EFFICIENT",IF(AC465&lt;=Config_Status!$B$3,"NORMAL",IF(AC465&lt;=Config_Status!$B$4,"WARNING","OVER CONSUMPTION"))))</x:f>
        <x:v>EFFICIENT</x:v>
      </x:c>
      <x:c r="AE465" t="str">
        <x:f>IFERROR(VLOOKUP(G465,Master_Unit!$A$2:$N$78,13,FALSE),"UNIT NOT FOUND")</x:f>
        <x:v>Matched</x:v>
      </x:c>
    </x:row>
    <x:row r="466">
      <x:c r="A466" s="12" t="str">
        <x:v>FU-20260607-00465</x:v>
      </x:c>
      <x:c r="B466" s="12" t="n">
        <x:v>595</x:v>
      </x:c>
      <x:c r="C466" s="14" t="n">
        <x:v>46180</x:v>
      </x:c>
      <x:c r="D466" s="12" t="str">
        <x:v>Minggu</x:v>
      </x:c>
      <x:c r="E466" s="12" t="str">
        <x:v>10:33:00</x:v>
      </x:c>
      <x:c r="F466" s="12" t="str">
        <x:v>All Shift Day</x:v>
      </x:c>
      <x:c r="G466" s="12" t="str">
        <x:v>EXVV35G005</x:v>
      </x:c>
      <x:c r="H466" s="12" t="str">
        <x:v>Excavator</x:v>
      </x:c>
      <x:c r="I466" s="12" t="str">
        <x:v>EXCAVATOR VOLVO EC350D</x:v>
      </x:c>
      <x:c r="J466" s="16" t="n">
        <x:v>213</x:v>
      </x:c>
      <x:c r="K466" s="16" t="n">
        <x:v>5151.9</x:v>
      </x:c>
      <x:c r="L466" s="16" t="n">
        <x:v>5163.9</x:v>
      </x:c>
      <x:c r="M466" s="16" t="n">
        <x:v>12</x:v>
      </x:c>
      <x:c r="N466" s="16" t="n">
        <x:v>17.75</x:v>
      </x:c>
      <x:c r="O466" s="12" t="str">
        <x:v>FTRL44G004</x:v>
      </x:c>
      <x:c r="P466" s="12" t="str">
        <x:v>EXVV35G005</x:v>
      </x:c>
      <x:c r="Q466" s="12" t="str"/>
      <x:c r="R466" s="12" t="str"/>
      <x:c r="S466" s="12" t="str"/>
      <x:c r="T466" s="12" t="str">
        <x:v>ABM</x:v>
      </x:c>
      <x:c r="U466" s="12" t="str"/>
      <x:c r="V466" s="12" t="str"/>
      <x:c r="W466" s="12" t="str"/>
      <x:c r="X466" s="12" t="str">
        <x:v>EXVV35</x:v>
      </x:c>
      <x:c r="Y466" s="12" t="str">
        <x:v>FANGKI &amp; ACUNG</x:v>
      </x:c>
      <x:c r="Z466" s="12" t="str"/>
      <x:c r="AA466" s="32" t="n">
        <x:f>IFERROR(VLOOKUP(G466,Master_Unit!$A$2:$N$78,7,FALSE),"")</x:f>
        <x:v>25</x:v>
      </x:c>
      <x:c r="AB466" s="32" t="n">
        <x:f>IF(OR(N466="",AA466=""),"",N466-AA466)</x:f>
        <x:v>-7.25</x:v>
      </x:c>
      <x:c r="AC466" s="20" t="n">
        <x:f>IF(OR(N466="",AA466="",AA466=0),"",AB466/AA466)</x:f>
        <x:v>-0.29</x:v>
      </x:c>
      <x:c r="AD466" t="str">
        <x:f>IF(AA466="","NO STANDARD",IF(AC466&lt;=Config_Status!$B$2,"EFFICIENT",IF(AC466&lt;=Config_Status!$B$3,"NORMAL",IF(AC466&lt;=Config_Status!$B$4,"WARNING","OVER CONSUMPTION"))))</x:f>
        <x:v>EFFICIENT</x:v>
      </x:c>
      <x:c r="AE466" t="str">
        <x:f>IFERROR(VLOOKUP(G466,Master_Unit!$A$2:$N$78,13,FALSE),"UNIT NOT FOUND")</x:f>
        <x:v>Matched</x:v>
      </x:c>
    </x:row>
    <x:row r="467">
      <x:c r="A467" s="12" t="str">
        <x:v>FU-20260607-00466</x:v>
      </x:c>
      <x:c r="B467" s="12" t="n">
        <x:v>596</x:v>
      </x:c>
      <x:c r="C467" s="14" t="n">
        <x:v>46180</x:v>
      </x:c>
      <x:c r="D467" s="12" t="str">
        <x:v>Minggu</x:v>
      </x:c>
      <x:c r="E467" s="12" t="str">
        <x:v>10:36:00</x:v>
      </x:c>
      <x:c r="F467" s="12" t="str">
        <x:v>All Shift Day</x:v>
      </x:c>
      <x:c r="G467" s="12" t="str">
        <x:v>TLPT14G003</x:v>
      </x:c>
      <x:c r="H467" s="12" t="str">
        <x:v>Other</x:v>
      </x:c>
      <x:c r="I467" s="12" t="str">
        <x:v>TOWERLAMP PATRIA LS4-1400</x:v>
      </x:c>
      <x:c r="J467" s="16" t="n">
        <x:v>15</x:v>
      </x:c>
      <x:c r="K467" s="16" t="n">
        <x:v>12952.7</x:v>
      </x:c>
      <x:c r="L467" s="16" t="n">
        <x:v>13034.4</x:v>
      </x:c>
      <x:c r="M467" s="16" t="n">
        <x:v>81.69999999999891</x:v>
      </x:c>
      <x:c r="N467" s="16" t="n">
        <x:v>0.18359853121175276</x:v>
      </x:c>
      <x:c r="O467" s="12" t="str">
        <x:v>FTRL44G004</x:v>
      </x:c>
      <x:c r="P467" s="12" t="str">
        <x:v>TLPT14G003</x:v>
      </x:c>
      <x:c r="Q467" s="12" t="str"/>
      <x:c r="R467" s="12" t="str"/>
      <x:c r="S467" s="12" t="str"/>
      <x:c r="T467" s="12" t="str">
        <x:v>ABM</x:v>
      </x:c>
      <x:c r="U467" s="12" t="str"/>
      <x:c r="V467" s="12" t="str"/>
      <x:c r="W467" s="12" t="str"/>
      <x:c r="X467" s="12" t="str">
        <x:v>TLPT14</x:v>
      </x:c>
      <x:c r="Y467" s="12" t="str">
        <x:v>FANGKI &amp; ACUNG</x:v>
      </x:c>
      <x:c r="Z467" s="12" t="str"/>
      <x:c r="AA467" s="32" t="str">
        <x:f>IFERROR(VLOOKUP(G467,Master_Unit!$A$2:$N$78,7,FALSE),"")</x:f>
      </x:c>
      <x:c r="AB467" s="32" t="str">
        <x:f>IF(OR(N467="",AA467=""),"",N467-AA467)</x:f>
      </x:c>
      <x:c r="AC467" s="20" t="str">
        <x:f>IF(OR(N467="",AA467="",AA467=0),"",AB467/AA467)</x:f>
      </x:c>
      <x:c r="AD467" t="str">
        <x:f>IF(AA467="","NO STANDARD",IF(AC467&lt;=Config_Status!$B$2,"EFFICIENT",IF(AC467&lt;=Config_Status!$B$3,"NORMAL",IF(AC467&lt;=Config_Status!$B$4,"WARNING","OVER CONSUMPTION"))))</x:f>
        <x:v>NO STANDARD</x:v>
      </x:c>
      <x:c r="AE467" t="str">
        <x:f>IFERROR(VLOOKUP(G467,Master_Unit!$A$2:$N$78,13,FALSE),"UNIT NOT FOUND")</x:f>
        <x:v>No Standard</x:v>
      </x:c>
    </x:row>
    <x:row r="468">
      <x:c r="A468" s="12" t="str">
        <x:v>FU-20260607-00467</x:v>
      </x:c>
      <x:c r="B468" s="12" t="n">
        <x:v>597</x:v>
      </x:c>
      <x:c r="C468" s="14" t="n">
        <x:v>46180</x:v>
      </x:c>
      <x:c r="D468" s="12" t="str">
        <x:v>Minggu</x:v>
      </x:c>
      <x:c r="E468" s="12" t="str">
        <x:v>10:50:00</x:v>
      </x:c>
      <x:c r="F468" s="12" t="str">
        <x:v>All Shift Day</x:v>
      </x:c>
      <x:c r="G468" s="12" t="str">
        <x:v>EXVV21G032</x:v>
      </x:c>
      <x:c r="H468" s="12" t="str">
        <x:v>Excavator</x:v>
      </x:c>
      <x:c r="I468" s="12" t="str">
        <x:v>EXCAVATOR VOLVO EC210D</x:v>
      </x:c>
      <x:c r="J468" s="16" t="n">
        <x:v>110</x:v>
      </x:c>
      <x:c r="K468" s="16" t="n">
        <x:v>7470.3</x:v>
      </x:c>
      <x:c r="L468" s="16" t="n">
        <x:v>7476.9</x:v>
      </x:c>
      <x:c r="M468" s="16" t="n">
        <x:v>6.599999999999454</x:v>
      </x:c>
      <x:c r="N468" s="16" t="n">
        <x:v>16.666666666668046</x:v>
      </x:c>
      <x:c r="O468" s="12" t="str">
        <x:v>FTRL44G004</x:v>
      </x:c>
      <x:c r="P468" s="12" t="str">
        <x:v>EXVV21G032</x:v>
      </x:c>
      <x:c r="Q468" s="12" t="str"/>
      <x:c r="R468" s="12" t="str"/>
      <x:c r="S468" s="12" t="str"/>
      <x:c r="T468" s="12" t="str">
        <x:v>ABM</x:v>
      </x:c>
      <x:c r="U468" s="12" t="str"/>
      <x:c r="V468" s="12" t="str"/>
      <x:c r="W468" s="12" t="str"/>
      <x:c r="X468" s="12" t="str">
        <x:v>EXVV21</x:v>
      </x:c>
      <x:c r="Y468" s="12" t="str">
        <x:v>FANGKI &amp; ACUNG</x:v>
      </x:c>
      <x:c r="Z468" s="12" t="str"/>
      <x:c r="AA468" s="32" t="n">
        <x:f>IFERROR(VLOOKUP(G468,Master_Unit!$A$2:$N$78,7,FALSE),"")</x:f>
        <x:v>20</x:v>
      </x:c>
      <x:c r="AB468" s="32" t="n">
        <x:f>IF(OR(N468="",AA468=""),"",N468-AA468)</x:f>
        <x:v>-3.3333333333319537</x:v>
      </x:c>
      <x:c r="AC468" s="20" t="n">
        <x:f>IF(OR(N468="",AA468="",AA468=0),"",AB468/AA468)</x:f>
        <x:v>-0.16666666666659768</x:v>
      </x:c>
      <x:c r="AD468" t="str">
        <x:f>IF(AA468="","NO STANDARD",IF(AC468&lt;=Config_Status!$B$2,"EFFICIENT",IF(AC468&lt;=Config_Status!$B$3,"NORMAL",IF(AC468&lt;=Config_Status!$B$4,"WARNING","OVER CONSUMPTION"))))</x:f>
        <x:v>EFFICIENT</x:v>
      </x:c>
      <x:c r="AE468" t="str">
        <x:f>IFERROR(VLOOKUP(G468,Master_Unit!$A$2:$N$78,13,FALSE),"UNIT NOT FOUND")</x:f>
        <x:v>Matched</x:v>
      </x:c>
    </x:row>
    <x:row r="469">
      <x:c r="A469" s="12" t="str">
        <x:v>FU-20260607-00468</x:v>
      </x:c>
      <x:c r="B469" s="12" t="n">
        <x:v>598</x:v>
      </x:c>
      <x:c r="C469" s="14" t="n">
        <x:v>46180</x:v>
      </x:c>
      <x:c r="D469" s="12" t="str">
        <x:v>Minggu</x:v>
      </x:c>
      <x:c r="E469" s="12" t="str">
        <x:v>06:49:00</x:v>
      </x:c>
      <x:c r="F469" s="12" t="str">
        <x:v>All Shift Day</x:v>
      </x:c>
      <x:c r="G469" s="12" t="str">
        <x:v>GSHT40G002</x:v>
      </x:c>
      <x:c r="H469" s="12" t="str">
        <x:v>Genset</x:v>
      </x:c>
      <x:c r="I469" s="12" t="str">
        <x:v>GENSET HARTECH HT-400-V</x:v>
      </x:c>
      <x:c r="J469" s="16" t="n">
        <x:v>475</x:v>
      </x:c>
      <x:c r="K469" s="16" t="n">
        <x:v>14604.3</x:v>
      </x:c>
      <x:c r="L469" s="16" t="n">
        <x:v>14628.1</x:v>
      </x:c>
      <x:c r="M469" s="16" t="n">
        <x:v>23.80000000000109</x:v>
      </x:c>
      <x:c r="N469" s="16" t="n">
        <x:v>19.957983193276394</x:v>
      </x:c>
      <x:c r="O469" s="12" t="str">
        <x:v>FTRL44G004</x:v>
      </x:c>
      <x:c r="P469" s="12" t="str">
        <x:v>GSHT40G002</x:v>
      </x:c>
      <x:c r="Q469" s="12" t="str"/>
      <x:c r="R469" s="12" t="str"/>
      <x:c r="S469" s="12" t="str"/>
      <x:c r="T469" s="12" t="str">
        <x:v>ABM</x:v>
      </x:c>
      <x:c r="U469" s="12" t="str"/>
      <x:c r="V469" s="12" t="str"/>
      <x:c r="W469" s="12" t="str"/>
      <x:c r="X469" s="12" t="str">
        <x:v>GSHT40</x:v>
      </x:c>
      <x:c r="Y469" s="12" t="str">
        <x:v>ANDI &amp; ANGGI</x:v>
      </x:c>
      <x:c r="Z469" s="12" t="str"/>
      <x:c r="AA469" s="32" t="n">
        <x:f>IFERROR(VLOOKUP(G469,Master_Unit!$A$2:$N$78,7,FALSE),"")</x:f>
        <x:v>25</x:v>
      </x:c>
      <x:c r="AB469" s="32" t="n">
        <x:f>IF(OR(N469="",AA469=""),"",N469-AA469)</x:f>
        <x:v>-5.0420168067236055</x:v>
      </x:c>
      <x:c r="AC469" s="20" t="n">
        <x:f>IF(OR(N469="",AA469="",AA469=0),"",AB469/AA469)</x:f>
        <x:v>-0.20168067226894423</x:v>
      </x:c>
      <x:c r="AD469" t="str">
        <x:f>IF(AA469="","NO STANDARD",IF(AC469&lt;=Config_Status!$B$2,"EFFICIENT",IF(AC469&lt;=Config_Status!$B$3,"NORMAL",IF(AC469&lt;=Config_Status!$B$4,"WARNING","OVER CONSUMPTION"))))</x:f>
        <x:v>EFFICIENT</x:v>
      </x:c>
      <x:c r="AE469" t="str">
        <x:f>IFERROR(VLOOKUP(G469,Master_Unit!$A$2:$N$78,13,FALSE),"UNIT NOT FOUND")</x:f>
        <x:v>Matched</x:v>
      </x:c>
    </x:row>
    <x:row r="470">
      <x:c r="A470" s="12" t="str">
        <x:v>FU-20260607-00469</x:v>
      </x:c>
      <x:c r="B470" s="12" t="n">
        <x:v>599</x:v>
      </x:c>
      <x:c r="C470" s="14" t="n">
        <x:v>46180</x:v>
      </x:c>
      <x:c r="D470" s="12" t="str">
        <x:v>Minggu</x:v>
      </x:c>
      <x:c r="E470" s="12" t="str">
        <x:v>06:54:00</x:v>
      </x:c>
      <x:c r="F470" s="12" t="str">
        <x:v>All Shift Day</x:v>
      </x:c>
      <x:c r="G470" s="12" t="str">
        <x:v>LVTH24R035</x:v>
      </x:c>
      <x:c r="H470" s="12" t="str">
        <x:v>Light Vehicle</x:v>
      </x:c>
      <x:c r="I470" s="12" t="str">
        <x:v>LIGHT VEHICLE TOYOTA HILUX</x:v>
      </x:c>
      <x:c r="J470" s="16" t="n">
        <x:v>20</x:v>
      </x:c>
      <x:c r="K470" s="16" t="n">
        <x:v>69481</x:v>
      </x:c>
      <x:c r="L470" s="16" t="n">
        <x:v>69569</x:v>
      </x:c>
      <x:c r="M470" s="16" t="n">
        <x:v>88</x:v>
      </x:c>
      <x:c r="N470" s="16" t="n">
        <x:v>0.22727272727272727</x:v>
      </x:c>
      <x:c r="O470" s="12" t="str">
        <x:v>FTRL44G004</x:v>
      </x:c>
      <x:c r="P470" s="12" t="str">
        <x:v>LVTH24R035</x:v>
      </x:c>
      <x:c r="Q470" s="12" t="str"/>
      <x:c r="R470" s="12" t="str"/>
      <x:c r="S470" s="12" t="str"/>
      <x:c r="T470" s="12" t="str">
        <x:v>ABM</x:v>
      </x:c>
      <x:c r="U470" s="12" t="str"/>
      <x:c r="V470" s="12" t="str"/>
      <x:c r="W470" s="12" t="str"/>
      <x:c r="X470" s="12" t="str">
        <x:v>LVTH24</x:v>
      </x:c>
      <x:c r="Y470" s="12" t="str">
        <x:v>ANDI &amp; ANGGI</x:v>
      </x:c>
      <x:c r="Z470" s="12" t="str"/>
      <x:c r="AA470" s="32" t="n">
        <x:f>IFERROR(VLOOKUP(G470,Master_Unit!$A$2:$N$78,7,FALSE),"")</x:f>
        <x:v>0.2</x:v>
      </x:c>
      <x:c r="AB470" s="32" t="n">
        <x:f>IF(OR(N470="",AA470=""),"",N470-AA470)</x:f>
        <x:v>0.027272727272727254</x:v>
      </x:c>
      <x:c r="AC470" s="20" t="n">
        <x:f>IF(OR(N470="",AA470="",AA470=0),"",AB470/AA470)</x:f>
        <x:v>0.13636363636363627</x:v>
      </x:c>
      <x:c r="AD470" t="str">
        <x:f>IF(AA470="","NO STANDARD",IF(AC470&lt;=Config_Status!$B$2,"EFFICIENT",IF(AC470&lt;=Config_Status!$B$3,"NORMAL",IF(AC470&lt;=Config_Status!$B$4,"WARNING","OVER CONSUMPTION"))))</x:f>
        <x:v>WARNING</x:v>
      </x:c>
      <x:c r="AE470" t="str">
        <x:f>IFERROR(VLOOKUP(G470,Master_Unit!$A$2:$N$78,13,FALSE),"UNIT NOT FOUND")</x:f>
        <x:v>Matched</x:v>
      </x:c>
    </x:row>
    <x:row r="471">
      <x:c r="A471" s="12" t="str">
        <x:v>FU-20260607-00470</x:v>
      </x:c>
      <x:c r="B471" s="12" t="n">
        <x:v>600</x:v>
      </x:c>
      <x:c r="C471" s="14" t="n">
        <x:v>46180</x:v>
      </x:c>
      <x:c r="D471" s="12" t="str">
        <x:v>Minggu</x:v>
      </x:c>
      <x:c r="E471" s="12" t="str">
        <x:v>07:13:00</x:v>
      </x:c>
      <x:c r="F471" s="12" t="str">
        <x:v>All Shift Day</x:v>
      </x:c>
      <x:c r="G471" s="12" t="str">
        <x:v>WFIZ15G001</x:v>
      </x:c>
      <x:c r="H471" s="12" t="str">
        <x:v>Other</x:v>
      </x:c>
      <x:c r="I471" s="12" t="str">
        <x:v>WATERFILL ISUZU ELF-150</x:v>
      </x:c>
      <x:c r="J471" s="16" t="n">
        <x:v>12</x:v>
      </x:c>
      <x:c r="K471" s="16" t="n">
        <x:v>425.5</x:v>
      </x:c>
      <x:c r="L471" s="16" t="n">
        <x:v>439</x:v>
      </x:c>
      <x:c r="M471" s="16" t="n">
        <x:v>13.5</x:v>
      </x:c>
      <x:c r="N471" s="16" t="n">
        <x:v>0.8888888888888888</x:v>
      </x:c>
      <x:c r="O471" s="12" t="str">
        <x:v>FTRL44G004</x:v>
      </x:c>
      <x:c r="P471" s="12" t="str">
        <x:v>WFIZ15G001</x:v>
      </x:c>
      <x:c r="Q471" s="12" t="str"/>
      <x:c r="R471" s="12" t="str"/>
      <x:c r="S471" s="12" t="str"/>
      <x:c r="T471" s="12" t="str">
        <x:v>ABM</x:v>
      </x:c>
      <x:c r="U471" s="12" t="str"/>
      <x:c r="V471" s="12" t="str"/>
      <x:c r="W471" s="12" t="str"/>
      <x:c r="X471" s="12" t="str">
        <x:v>WFIZ15</x:v>
      </x:c>
      <x:c r="Y471" s="12" t="str">
        <x:v>ANDI &amp; ANGGI</x:v>
      </x:c>
      <x:c r="Z471" s="12" t="str"/>
      <x:c r="AA471" s="32" t="str">
        <x:f>IFERROR(VLOOKUP(G471,Master_Unit!$A$2:$N$78,7,FALSE),"")</x:f>
      </x:c>
      <x:c r="AB471" s="32" t="str">
        <x:f>IF(OR(N471="",AA471=""),"",N471-AA471)</x:f>
      </x:c>
      <x:c r="AC471" s="20" t="str">
        <x:f>IF(OR(N471="",AA471="",AA471=0),"",AB471/AA471)</x:f>
      </x:c>
      <x:c r="AD471" t="str">
        <x:f>IF(AA471="","NO STANDARD",IF(AC471&lt;=Config_Status!$B$2,"EFFICIENT",IF(AC471&lt;=Config_Status!$B$3,"NORMAL",IF(AC471&lt;=Config_Status!$B$4,"WARNING","OVER CONSUMPTION"))))</x:f>
        <x:v>NO STANDARD</x:v>
      </x:c>
      <x:c r="AE471" t="str">
        <x:f>IFERROR(VLOOKUP(G471,Master_Unit!$A$2:$N$78,13,FALSE),"UNIT NOT FOUND")</x:f>
        <x:v>No Standard</x:v>
      </x:c>
    </x:row>
    <x:row r="472">
      <x:c r="A472" s="12" t="str">
        <x:v>FU-20260607-00471</x:v>
      </x:c>
      <x:c r="B472" s="12" t="n">
        <x:v>601</x:v>
      </x:c>
      <x:c r="C472" s="14" t="n">
        <x:v>46180</x:v>
      </x:c>
      <x:c r="D472" s="12" t="str">
        <x:v>Minggu</x:v>
      </x:c>
      <x:c r="E472" s="12" t="str">
        <x:v>08:23:00</x:v>
      </x:c>
      <x:c r="F472" s="12" t="str">
        <x:v>All Shift Day</x:v>
      </x:c>
      <x:c r="G472" s="12" t="str">
        <x:v>EXVV21G038</x:v>
      </x:c>
      <x:c r="H472" s="12" t="str">
        <x:v>Excavator</x:v>
      </x:c>
      <x:c r="I472" s="12" t="str">
        <x:v>EXCAVATOR VOLVO EC210D</x:v>
      </x:c>
      <x:c r="J472" s="16" t="n">
        <x:v>153</x:v>
      </x:c>
      <x:c r="K472" s="16" t="n">
        <x:v>4167.5</x:v>
      </x:c>
      <x:c r="L472" s="16" t="n">
        <x:v>4177.7</x:v>
      </x:c>
      <x:c r="M472" s="16" t="n">
        <x:v>10.199999999999818</x:v>
      </x:c>
      <x:c r="N472" s="16" t="n">
        <x:v>15.000000000000268</x:v>
      </x:c>
      <x:c r="O472" s="12" t="str">
        <x:v>FTRL44G004</x:v>
      </x:c>
      <x:c r="P472" s="12" t="str">
        <x:v>EXVV21G038</x:v>
      </x:c>
      <x:c r="Q472" s="12" t="str"/>
      <x:c r="R472" s="12" t="str"/>
      <x:c r="S472" s="12" t="str"/>
      <x:c r="T472" s="12" t="str">
        <x:v>ABM</x:v>
      </x:c>
      <x:c r="U472" s="12" t="str"/>
      <x:c r="V472" s="12" t="str"/>
      <x:c r="W472" s="12" t="str"/>
      <x:c r="X472" s="12" t="str">
        <x:v>EXVV21</x:v>
      </x:c>
      <x:c r="Y472" s="12" t="str">
        <x:v>ANDI &amp; ANGGI</x:v>
      </x:c>
      <x:c r="Z472" s="12" t="str"/>
      <x:c r="AA472" s="32" t="n">
        <x:f>IFERROR(VLOOKUP(G472,Master_Unit!$A$2:$N$78,7,FALSE),"")</x:f>
        <x:v>20</x:v>
      </x:c>
      <x:c r="AB472" s="32" t="n">
        <x:f>IF(OR(N472="",AA472=""),"",N472-AA472)</x:f>
        <x:v>-4.999999999999732</x:v>
      </x:c>
      <x:c r="AC472" s="20" t="n">
        <x:f>IF(OR(N472="",AA472="",AA472=0),"",AB472/AA472)</x:f>
        <x:v>-0.2499999999999866</x:v>
      </x:c>
      <x:c r="AD472" t="str">
        <x:f>IF(AA472="","NO STANDARD",IF(AC472&lt;=Config_Status!$B$2,"EFFICIENT",IF(AC472&lt;=Config_Status!$B$3,"NORMAL",IF(AC472&lt;=Config_Status!$B$4,"WARNING","OVER CONSUMPTION"))))</x:f>
        <x:v>EFFICIENT</x:v>
      </x:c>
      <x:c r="AE472" t="str">
        <x:f>IFERROR(VLOOKUP(G472,Master_Unit!$A$2:$N$78,13,FALSE),"UNIT NOT FOUND")</x:f>
        <x:v>Matched</x:v>
      </x:c>
    </x:row>
    <x:row r="473">
      <x:c r="A473" s="12" t="str">
        <x:v>FU-20260607-00472</x:v>
      </x:c>
      <x:c r="B473" s="12" t="n">
        <x:v>602</x:v>
      </x:c>
      <x:c r="C473" s="14" t="n">
        <x:v>46180</x:v>
      </x:c>
      <x:c r="D473" s="12" t="str">
        <x:v>Minggu</x:v>
      </x:c>
      <x:c r="E473" s="12" t="str">
        <x:v>08:50:00</x:v>
      </x:c>
      <x:c r="F473" s="12" t="str">
        <x:v>All Shift Day</x:v>
      </x:c>
      <x:c r="G473" s="12" t="str">
        <x:v>STRL44G144</x:v>
      </x:c>
      <x:c r="H473" s="12" t="str">
        <x:v>Dump Truck</x:v>
      </x:c>
      <x:c r="I473" s="12" t="str">
        <x:v>DUMP TRUCK RENAULT KRANGE440-P6X4 A/T</x:v>
      </x:c>
      <x:c r="J473" s="16" t="n">
        <x:v>163</x:v>
      </x:c>
      <x:c r="K473" s="16" t="n">
        <x:v>1501</x:v>
      </x:c>
      <x:c r="L473" s="16" t="n">
        <x:v>1510</x:v>
      </x:c>
      <x:c r="M473" s="16" t="n">
        <x:v>9</x:v>
      </x:c>
      <x:c r="N473" s="16" t="n">
        <x:v>18.11111111111111</x:v>
      </x:c>
      <x:c r="O473" s="12" t="str">
        <x:v>FTRL44G004</x:v>
      </x:c>
      <x:c r="P473" s="12" t="str">
        <x:v>STRL44G144</x:v>
      </x:c>
      <x:c r="Q473" s="12" t="str"/>
      <x:c r="R473" s="12" t="str"/>
      <x:c r="S473" s="12" t="str"/>
      <x:c r="T473" s="12" t="str">
        <x:v>ABM</x:v>
      </x:c>
      <x:c r="U473" s="12" t="str"/>
      <x:c r="V473" s="12" t="str"/>
      <x:c r="W473" s="12" t="str"/>
      <x:c r="X473" s="12" t="str">
        <x:v>STRL44</x:v>
      </x:c>
      <x:c r="Y473" s="12" t="str">
        <x:v>ANDI &amp; ANGGI</x:v>
      </x:c>
      <x:c r="Z473" s="12" t="str"/>
      <x:c r="AA473" s="32" t="n">
        <x:f>IFERROR(VLOOKUP(G473,Master_Unit!$A$2:$N$78,7,FALSE),"")</x:f>
        <x:v>20</x:v>
      </x:c>
      <x:c r="AB473" s="32" t="n">
        <x:f>IF(OR(N473="",AA473=""),"",N473-AA473)</x:f>
        <x:v>-1.8888888888888893</x:v>
      </x:c>
      <x:c r="AC473" s="20" t="n">
        <x:f>IF(OR(N473="",AA473="",AA473=0),"",AB473/AA473)</x:f>
        <x:v>-0.09444444444444447</x:v>
      </x:c>
      <x:c r="AD473" t="str">
        <x:f>IF(AA473="","NO STANDARD",IF(AC473&lt;=Config_Status!$B$2,"EFFICIENT",IF(AC473&lt;=Config_Status!$B$3,"NORMAL",IF(AC473&lt;=Config_Status!$B$4,"WARNING","OVER CONSUMPTION"))))</x:f>
        <x:v>NORMAL</x:v>
      </x:c>
      <x:c r="AE473" t="str">
        <x:f>IFERROR(VLOOKUP(G473,Master_Unit!$A$2:$N$78,13,FALSE),"UNIT NOT FOUND")</x:f>
        <x:v>Matched</x:v>
      </x:c>
    </x:row>
    <x:row r="474">
      <x:c r="A474" s="12" t="str">
        <x:v>FU-20260607-00473</x:v>
      </x:c>
      <x:c r="B474" s="12" t="n">
        <x:v>603</x:v>
      </x:c>
      <x:c r="C474" s="14" t="n">
        <x:v>46180</x:v>
      </x:c>
      <x:c r="D474" s="12" t="str">
        <x:v>Minggu</x:v>
      </x:c>
      <x:c r="E474" s="12" t="str">
        <x:v>08:54:00</x:v>
      </x:c>
      <x:c r="F474" s="12" t="str">
        <x:v>All Shift Day</x:v>
      </x:c>
      <x:c r="G474" s="12" t="str">
        <x:v>STRL44G155</x:v>
      </x:c>
      <x:c r="H474" s="12" t="str">
        <x:v>Dump Truck</x:v>
      </x:c>
      <x:c r="I474" s="12" t="str">
        <x:v>DUMP TRUCK RENAULT KRANGE440-P6X4 A/T</x:v>
      </x:c>
      <x:c r="J474" s="16" t="n">
        <x:v>163</x:v>
      </x:c>
      <x:c r="K474" s="16" t="n">
        <x:v>3934</x:v>
      </x:c>
      <x:c r="L474" s="16" t="n">
        <x:v>3942</x:v>
      </x:c>
      <x:c r="M474" s="16" t="n">
        <x:v>8</x:v>
      </x:c>
      <x:c r="N474" s="16" t="n">
        <x:v>20.375</x:v>
      </x:c>
      <x:c r="O474" s="12" t="str">
        <x:v>FTRL44G004</x:v>
      </x:c>
      <x:c r="P474" s="12" t="str">
        <x:v>STRL44G155</x:v>
      </x:c>
      <x:c r="Q474" s="12" t="str"/>
      <x:c r="R474" s="12" t="str"/>
      <x:c r="S474" s="12" t="str"/>
      <x:c r="T474" s="12" t="str">
        <x:v>ABM</x:v>
      </x:c>
      <x:c r="U474" s="12" t="str"/>
      <x:c r="V474" s="12" t="str"/>
      <x:c r="W474" s="12" t="str"/>
      <x:c r="X474" s="12" t="str">
        <x:v>STRL44</x:v>
      </x:c>
      <x:c r="Y474" s="12" t="str">
        <x:v>ANDI &amp; ANGGI</x:v>
      </x:c>
      <x:c r="Z474" s="12" t="str"/>
      <x:c r="AA474" s="32" t="n">
        <x:f>IFERROR(VLOOKUP(G474,Master_Unit!$A$2:$N$78,7,FALSE),"")</x:f>
        <x:v>20</x:v>
      </x:c>
      <x:c r="AB474" s="32" t="n">
        <x:f>IF(OR(N474="",AA474=""),"",N474-AA474)</x:f>
        <x:v>0.375</x:v>
      </x:c>
      <x:c r="AC474" s="20" t="n">
        <x:f>IF(OR(N474="",AA474="",AA474=0),"",AB474/AA474)</x:f>
        <x:v>0.01875</x:v>
      </x:c>
      <x:c r="AD474" t="str">
        <x:f>IF(AA474="","NO STANDARD",IF(AC474&lt;=Config_Status!$B$2,"EFFICIENT",IF(AC474&lt;=Config_Status!$B$3,"NORMAL",IF(AC474&lt;=Config_Status!$B$4,"WARNING","OVER CONSUMPTION"))))</x:f>
        <x:v>NORMAL</x:v>
      </x:c>
      <x:c r="AE474" t="str">
        <x:f>IFERROR(VLOOKUP(G474,Master_Unit!$A$2:$N$78,13,FALSE),"UNIT NOT FOUND")</x:f>
        <x:v>Matched</x:v>
      </x:c>
    </x:row>
    <x:row r="475">
      <x:c r="A475" s="12" t="str">
        <x:v>FU-20260607-00474</x:v>
      </x:c>
      <x:c r="B475" s="12" t="n">
        <x:v>604</x:v>
      </x:c>
      <x:c r="C475" s="14" t="n">
        <x:v>46180</x:v>
      </x:c>
      <x:c r="D475" s="12" t="str">
        <x:v>Minggu</x:v>
      </x:c>
      <x:c r="E475" s="12" t="str">
        <x:v>09:01:00</x:v>
      </x:c>
      <x:c r="F475" s="12" t="str">
        <x:v>All Shift Day</x:v>
      </x:c>
      <x:c r="G475" s="12" t="str">
        <x:v>STRL44G149</x:v>
      </x:c>
      <x:c r="H475" s="12" t="str">
        <x:v>Dump Truck</x:v>
      </x:c>
      <x:c r="I475" s="12" t="str">
        <x:v>DUMP TRUCK RENAULT KRANGE440-P6X4 A/T</x:v>
      </x:c>
      <x:c r="J475" s="16" t="n">
        <x:v>193</x:v>
      </x:c>
      <x:c r="K475" s="16" t="n">
        <x:v>4267</x:v>
      </x:c>
      <x:c r="L475" s="16" t="n">
        <x:v>4275</x:v>
      </x:c>
      <x:c r="M475" s="16" t="n">
        <x:v>8</x:v>
      </x:c>
      <x:c r="N475" s="16" t="n">
        <x:v>24.125</x:v>
      </x:c>
      <x:c r="O475" s="12" t="str">
        <x:v>FTRL44G004</x:v>
      </x:c>
      <x:c r="P475" s="12" t="str">
        <x:v>STRL44G149</x:v>
      </x:c>
      <x:c r="Q475" s="12" t="str"/>
      <x:c r="R475" s="12" t="str"/>
      <x:c r="S475" s="12" t="str"/>
      <x:c r="T475" s="12" t="str">
        <x:v>ABM</x:v>
      </x:c>
      <x:c r="U475" s="12" t="str"/>
      <x:c r="V475" s="12" t="str"/>
      <x:c r="W475" s="12" t="str"/>
      <x:c r="X475" s="12" t="str">
        <x:v>STRL44</x:v>
      </x:c>
      <x:c r="Y475" s="12" t="str">
        <x:v>ANDI &amp; ANGGI</x:v>
      </x:c>
      <x:c r="Z475" s="12" t="str"/>
      <x:c r="AA475" s="32" t="n">
        <x:f>IFERROR(VLOOKUP(G475,Master_Unit!$A$2:$N$78,7,FALSE),"")</x:f>
        <x:v>20</x:v>
      </x:c>
      <x:c r="AB475" s="32" t="n">
        <x:f>IF(OR(N475="",AA475=""),"",N475-AA475)</x:f>
        <x:v>4.125</x:v>
      </x:c>
      <x:c r="AC475" s="20" t="n">
        <x:f>IF(OR(N475="",AA475="",AA475=0),"",AB475/AA475)</x:f>
        <x:v>0.20625</x:v>
      </x:c>
      <x:c r="AD475" t="str">
        <x:f>IF(AA475="","NO STANDARD",IF(AC475&lt;=Config_Status!$B$2,"EFFICIENT",IF(AC475&lt;=Config_Status!$B$3,"NORMAL",IF(AC475&lt;=Config_Status!$B$4,"WARNING","OVER CONSUMPTION"))))</x:f>
        <x:v>OVER CONSUMPTION</x:v>
      </x:c>
      <x:c r="AE475" t="str">
        <x:f>IFERROR(VLOOKUP(G475,Master_Unit!$A$2:$N$78,13,FALSE),"UNIT NOT FOUND")</x:f>
        <x:v>Matched</x:v>
      </x:c>
    </x:row>
    <x:row r="476">
      <x:c r="A476" s="12" t="str">
        <x:v>FU-20260607-00475</x:v>
      </x:c>
      <x:c r="B476" s="12" t="n">
        <x:v>605</x:v>
      </x:c>
      <x:c r="C476" s="14" t="n">
        <x:v>46180</x:v>
      </x:c>
      <x:c r="D476" s="12" t="str">
        <x:v>Minggu</x:v>
      </x:c>
      <x:c r="E476" s="12" t="str">
        <x:v>09:06:00</x:v>
      </x:c>
      <x:c r="F476" s="12" t="str">
        <x:v>All Shift Day</x:v>
      </x:c>
      <x:c r="G476" s="12" t="str">
        <x:v>LVTH24R034</x:v>
      </x:c>
      <x:c r="H476" s="12" t="str">
        <x:v>Light Vehicle</x:v>
      </x:c>
      <x:c r="I476" s="12" t="str">
        <x:v>LIGHT VEHICLE TOYOTA HILUX</x:v>
      </x:c>
      <x:c r="J476" s="16" t="n">
        <x:v>23</x:v>
      </x:c>
      <x:c r="K476" s="16" t="n">
        <x:v>47998</x:v>
      </x:c>
      <x:c r="L476" s="16" t="n">
        <x:v>48071</x:v>
      </x:c>
      <x:c r="M476" s="16" t="n">
        <x:v>73</x:v>
      </x:c>
      <x:c r="N476" s="16" t="n">
        <x:v>0.3150684931506849</x:v>
      </x:c>
      <x:c r="O476" s="12" t="str">
        <x:v>FTRL44G004</x:v>
      </x:c>
      <x:c r="P476" s="12" t="str">
        <x:v>LVTH24R034</x:v>
      </x:c>
      <x:c r="Q476" s="12" t="str"/>
      <x:c r="R476" s="12" t="str"/>
      <x:c r="S476" s="12" t="str"/>
      <x:c r="T476" s="12" t="str">
        <x:v>ABM</x:v>
      </x:c>
      <x:c r="U476" s="12" t="str"/>
      <x:c r="V476" s="12" t="str"/>
      <x:c r="W476" s="12" t="str"/>
      <x:c r="X476" s="12" t="str">
        <x:v>LVTH24</x:v>
      </x:c>
      <x:c r="Y476" s="12" t="str">
        <x:v>ANDI &amp; ANGGI</x:v>
      </x:c>
      <x:c r="Z476" s="12" t="str"/>
      <x:c r="AA476" s="32" t="n">
        <x:f>IFERROR(VLOOKUP(G476,Master_Unit!$A$2:$N$78,7,FALSE),"")</x:f>
        <x:v>0.2</x:v>
      </x:c>
      <x:c r="AB476" s="32" t="n">
        <x:f>IF(OR(N476="",AA476=""),"",N476-AA476)</x:f>
        <x:v>0.1150684931506849</x:v>
      </x:c>
      <x:c r="AC476" s="20" t="n">
        <x:f>IF(OR(N476="",AA476="",AA476=0),"",AB476/AA476)</x:f>
        <x:v>0.5753424657534245</x:v>
      </x:c>
      <x:c r="AD476" t="str">
        <x:f>IF(AA476="","NO STANDARD",IF(AC476&lt;=Config_Status!$B$2,"EFFICIENT",IF(AC476&lt;=Config_Status!$B$3,"NORMAL",IF(AC476&lt;=Config_Status!$B$4,"WARNING","OVER CONSUMPTION"))))</x:f>
        <x:v>OVER CONSUMPTION</x:v>
      </x:c>
      <x:c r="AE476" t="str">
        <x:f>IFERROR(VLOOKUP(G476,Master_Unit!$A$2:$N$78,13,FALSE),"UNIT NOT FOUND")</x:f>
        <x:v>Matched</x:v>
      </x:c>
    </x:row>
    <x:row r="477">
      <x:c r="A477" s="12" t="str">
        <x:v>FU-20260607-00476</x:v>
      </x:c>
      <x:c r="B477" s="12" t="n">
        <x:v>606</x:v>
      </x:c>
      <x:c r="C477" s="14" t="n">
        <x:v>46180</x:v>
      </x:c>
      <x:c r="D477" s="12" t="str">
        <x:v>Minggu</x:v>
      </x:c>
      <x:c r="E477" s="12" t="str">
        <x:v>09:09:00</x:v>
      </x:c>
      <x:c r="F477" s="12" t="str">
        <x:v>All Shift Day</x:v>
      </x:c>
      <x:c r="G477" s="12" t="str">
        <x:v>STRL44G140</x:v>
      </x:c>
      <x:c r="H477" s="12" t="str">
        <x:v>Dump Truck</x:v>
      </x:c>
      <x:c r="I477" s="12" t="str">
        <x:v>DUMP TRUCK RENAULT KRANGE440-P6X4 A/T</x:v>
      </x:c>
      <x:c r="J477" s="16" t="n">
        <x:v>163</x:v>
      </x:c>
      <x:c r="K477" s="16" t="n">
        <x:v>5079</x:v>
      </x:c>
      <x:c r="L477" s="16" t="n">
        <x:v>5089</x:v>
      </x:c>
      <x:c r="M477" s="16" t="n">
        <x:v>10</x:v>
      </x:c>
      <x:c r="N477" s="16" t="n">
        <x:v>16.3</x:v>
      </x:c>
      <x:c r="O477" s="12" t="str">
        <x:v>FTRL44G004</x:v>
      </x:c>
      <x:c r="P477" s="12" t="str">
        <x:v>STRL44G140</x:v>
      </x:c>
      <x:c r="Q477" s="12" t="str"/>
      <x:c r="R477" s="12" t="str"/>
      <x:c r="S477" s="12" t="str"/>
      <x:c r="T477" s="12" t="str">
        <x:v>ABM</x:v>
      </x:c>
      <x:c r="U477" s="12" t="str"/>
      <x:c r="V477" s="12" t="str"/>
      <x:c r="W477" s="12" t="str"/>
      <x:c r="X477" s="12" t="str">
        <x:v>STRL44</x:v>
      </x:c>
      <x:c r="Y477" s="12" t="str">
        <x:v>ANDI &amp; ANGGI</x:v>
      </x:c>
      <x:c r="Z477" s="12" t="str"/>
      <x:c r="AA477" s="32" t="n">
        <x:f>IFERROR(VLOOKUP(G477,Master_Unit!$A$2:$N$78,7,FALSE),"")</x:f>
        <x:v>20</x:v>
      </x:c>
      <x:c r="AB477" s="32" t="n">
        <x:f>IF(OR(N477="",AA477=""),"",N477-AA477)</x:f>
        <x:v>-3.6999999999999993</x:v>
      </x:c>
      <x:c r="AC477" s="20" t="n">
        <x:f>IF(OR(N477="",AA477="",AA477=0),"",AB477/AA477)</x:f>
        <x:v>-0.18499999999999997</x:v>
      </x:c>
      <x:c r="AD477" t="str">
        <x:f>IF(AA477="","NO STANDARD",IF(AC477&lt;=Config_Status!$B$2,"EFFICIENT",IF(AC477&lt;=Config_Status!$B$3,"NORMAL",IF(AC477&lt;=Config_Status!$B$4,"WARNING","OVER CONSUMPTION"))))</x:f>
        <x:v>EFFICIENT</x:v>
      </x:c>
      <x:c r="AE477" t="str">
        <x:f>IFERROR(VLOOKUP(G477,Master_Unit!$A$2:$N$78,13,FALSE),"UNIT NOT FOUND")</x:f>
        <x:v>Matched</x:v>
      </x:c>
    </x:row>
    <x:row r="478">
      <x:c r="A478" s="12" t="str">
        <x:v>FU-20260607-00477</x:v>
      </x:c>
      <x:c r="B478" s="12" t="n">
        <x:v>607</x:v>
      </x:c>
      <x:c r="C478" s="14" t="n">
        <x:v>46180</x:v>
      </x:c>
      <x:c r="D478" s="12" t="str">
        <x:v>Minggu</x:v>
      </x:c>
      <x:c r="E478" s="12" t="str">
        <x:v>09:11:00</x:v>
      </x:c>
      <x:c r="F478" s="12" t="str">
        <x:v>All Shift Day</x:v>
      </x:c>
      <x:c r="G478" s="12" t="str">
        <x:v>STRL44G152</x:v>
      </x:c>
      <x:c r="H478" s="12" t="str">
        <x:v>Dump Truck</x:v>
      </x:c>
      <x:c r="I478" s="12" t="str">
        <x:v>DUMP TRUCK RENAULT KRANGE440-P6X4 A/T</x:v>
      </x:c>
      <x:c r="J478" s="16" t="n">
        <x:v>163</x:v>
      </x:c>
      <x:c r="K478" s="16" t="n">
        <x:v>3671</x:v>
      </x:c>
      <x:c r="L478" s="16" t="n">
        <x:v>3681</x:v>
      </x:c>
      <x:c r="M478" s="16" t="n">
        <x:v>10</x:v>
      </x:c>
      <x:c r="N478" s="16" t="n">
        <x:v>16.3</x:v>
      </x:c>
      <x:c r="O478" s="12" t="str">
        <x:v>FTRL44G004</x:v>
      </x:c>
      <x:c r="P478" s="12" t="str">
        <x:v>STRL44G152</x:v>
      </x:c>
      <x:c r="Q478" s="12" t="str"/>
      <x:c r="R478" s="12" t="str"/>
      <x:c r="S478" s="12" t="str"/>
      <x:c r="T478" s="12" t="str">
        <x:v>ABM</x:v>
      </x:c>
      <x:c r="U478" s="12" t="str"/>
      <x:c r="V478" s="12" t="str"/>
      <x:c r="W478" s="12" t="str"/>
      <x:c r="X478" s="12" t="str">
        <x:v>STRL44</x:v>
      </x:c>
      <x:c r="Y478" s="12" t="str">
        <x:v>ANDI &amp; ANGGI</x:v>
      </x:c>
      <x:c r="Z478" s="12" t="str"/>
      <x:c r="AA478" s="32" t="n">
        <x:f>IFERROR(VLOOKUP(G478,Master_Unit!$A$2:$N$78,7,FALSE),"")</x:f>
        <x:v>20</x:v>
      </x:c>
      <x:c r="AB478" s="32" t="n">
        <x:f>IF(OR(N478="",AA478=""),"",N478-AA478)</x:f>
        <x:v>-3.6999999999999993</x:v>
      </x:c>
      <x:c r="AC478" s="20" t="n">
        <x:f>IF(OR(N478="",AA478="",AA478=0),"",AB478/AA478)</x:f>
        <x:v>-0.18499999999999997</x:v>
      </x:c>
      <x:c r="AD478" t="str">
        <x:f>IF(AA478="","NO STANDARD",IF(AC478&lt;=Config_Status!$B$2,"EFFICIENT",IF(AC478&lt;=Config_Status!$B$3,"NORMAL",IF(AC478&lt;=Config_Status!$B$4,"WARNING","OVER CONSUMPTION"))))</x:f>
        <x:v>EFFICIENT</x:v>
      </x:c>
      <x:c r="AE478" t="str">
        <x:f>IFERROR(VLOOKUP(G478,Master_Unit!$A$2:$N$78,13,FALSE),"UNIT NOT FOUND")</x:f>
        <x:v>Matched</x:v>
      </x:c>
    </x:row>
    <x:row r="479">
      <x:c r="A479" s="12" t="str">
        <x:v>FU-20260607-00478</x:v>
      </x:c>
      <x:c r="B479" s="12" t="n">
        <x:v>608</x:v>
      </x:c>
      <x:c r="C479" s="14" t="n">
        <x:v>46180</x:v>
      </x:c>
      <x:c r="D479" s="12" t="str">
        <x:v>Minggu</x:v>
      </x:c>
      <x:c r="E479" s="12" t="str">
        <x:v>09:15:00</x:v>
      </x:c>
      <x:c r="F479" s="12" t="str">
        <x:v>All Shift Day</x:v>
      </x:c>
      <x:c r="G479" s="12" t="str">
        <x:v>STRL44G147</x:v>
      </x:c>
      <x:c r="H479" s="12" t="str">
        <x:v>Dump Truck</x:v>
      </x:c>
      <x:c r="I479" s="12" t="str">
        <x:v>DUMP TRUCK RENAULT KRANGE440-P6X4 A/T</x:v>
      </x:c>
      <x:c r="J479" s="16" t="n">
        <x:v>163</x:v>
      </x:c>
      <x:c r="K479" s="16" t="n">
        <x:v>4988</x:v>
      </x:c>
      <x:c r="L479" s="16" t="n">
        <x:v>4997</x:v>
      </x:c>
      <x:c r="M479" s="16" t="n">
        <x:v>9</x:v>
      </x:c>
      <x:c r="N479" s="16" t="n">
        <x:v>18.11111111111111</x:v>
      </x:c>
      <x:c r="O479" s="12" t="str">
        <x:v>FTRL44G004</x:v>
      </x:c>
      <x:c r="P479" s="12" t="str">
        <x:v>STRL44G147</x:v>
      </x:c>
      <x:c r="Q479" s="12" t="str"/>
      <x:c r="R479" s="12" t="str"/>
      <x:c r="S479" s="12" t="str"/>
      <x:c r="T479" s="12" t="str">
        <x:v>ABM</x:v>
      </x:c>
      <x:c r="U479" s="12" t="str"/>
      <x:c r="V479" s="12" t="str"/>
      <x:c r="W479" s="12" t="str"/>
      <x:c r="X479" s="12" t="str">
        <x:v>STRL44</x:v>
      </x:c>
      <x:c r="Y479" s="12" t="str">
        <x:v>ANDI &amp; ANGGI</x:v>
      </x:c>
      <x:c r="Z479" s="12" t="str"/>
      <x:c r="AA479" s="32" t="n">
        <x:f>IFERROR(VLOOKUP(G479,Master_Unit!$A$2:$N$78,7,FALSE),"")</x:f>
        <x:v>20</x:v>
      </x:c>
      <x:c r="AB479" s="32" t="n">
        <x:f>IF(OR(N479="",AA479=""),"",N479-AA479)</x:f>
        <x:v>-1.8888888888888893</x:v>
      </x:c>
      <x:c r="AC479" s="20" t="n">
        <x:f>IF(OR(N479="",AA479="",AA479=0),"",AB479/AA479)</x:f>
        <x:v>-0.09444444444444447</x:v>
      </x:c>
      <x:c r="AD479" t="str">
        <x:f>IF(AA479="","NO STANDARD",IF(AC479&lt;=Config_Status!$B$2,"EFFICIENT",IF(AC479&lt;=Config_Status!$B$3,"NORMAL",IF(AC479&lt;=Config_Status!$B$4,"WARNING","OVER CONSUMPTION"))))</x:f>
        <x:v>NORMAL</x:v>
      </x:c>
      <x:c r="AE479" t="str">
        <x:f>IFERROR(VLOOKUP(G479,Master_Unit!$A$2:$N$78,13,FALSE),"UNIT NOT FOUND")</x:f>
        <x:v>Matched</x:v>
      </x:c>
    </x:row>
    <x:row r="480">
      <x:c r="A480" s="12" t="str">
        <x:v>FU-20260607-00479</x:v>
      </x:c>
      <x:c r="B480" s="12" t="n">
        <x:v>609</x:v>
      </x:c>
      <x:c r="C480" s="14" t="n">
        <x:v>46180</x:v>
      </x:c>
      <x:c r="D480" s="12" t="str">
        <x:v>Minggu</x:v>
      </x:c>
      <x:c r="E480" s="12" t="str">
        <x:v>09:17:00</x:v>
      </x:c>
      <x:c r="F480" s="12" t="str">
        <x:v>All Shift Day</x:v>
      </x:c>
      <x:c r="G480" s="12" t="str">
        <x:v>STRL44G156</x:v>
      </x:c>
      <x:c r="H480" s="12" t="str">
        <x:v>Dump Truck</x:v>
      </x:c>
      <x:c r="I480" s="12" t="str">
        <x:v>DUMP TRUCK RENAULT KRANGE440-P6X4 A/T</x:v>
      </x:c>
      <x:c r="J480" s="16" t="n">
        <x:v>163</x:v>
      </x:c>
      <x:c r="K480" s="16" t="n">
        <x:v>3745</x:v>
      </x:c>
      <x:c r="L480" s="16" t="n">
        <x:v>3755</x:v>
      </x:c>
      <x:c r="M480" s="16" t="n">
        <x:v>10</x:v>
      </x:c>
      <x:c r="N480" s="16" t="n">
        <x:v>16.3</x:v>
      </x:c>
      <x:c r="O480" s="12" t="str">
        <x:v>FTRL44G004</x:v>
      </x:c>
      <x:c r="P480" s="12" t="str">
        <x:v>STRL44G156</x:v>
      </x:c>
      <x:c r="Q480" s="12" t="str"/>
      <x:c r="R480" s="12" t="str"/>
      <x:c r="S480" s="12" t="str"/>
      <x:c r="T480" s="12" t="str">
        <x:v>ABM</x:v>
      </x:c>
      <x:c r="U480" s="12" t="str"/>
      <x:c r="V480" s="12" t="str"/>
      <x:c r="W480" s="12" t="str"/>
      <x:c r="X480" s="12" t="str">
        <x:v>STRL44</x:v>
      </x:c>
      <x:c r="Y480" s="12" t="str">
        <x:v>ANDI &amp; ANGGI</x:v>
      </x:c>
      <x:c r="Z480" s="12" t="str"/>
      <x:c r="AA480" s="32" t="n">
        <x:f>IFERROR(VLOOKUP(G480,Master_Unit!$A$2:$N$78,7,FALSE),"")</x:f>
        <x:v>20</x:v>
      </x:c>
      <x:c r="AB480" s="32" t="n">
        <x:f>IF(OR(N480="",AA480=""),"",N480-AA480)</x:f>
        <x:v>-3.6999999999999993</x:v>
      </x:c>
      <x:c r="AC480" s="20" t="n">
        <x:f>IF(OR(N480="",AA480="",AA480=0),"",AB480/AA480)</x:f>
        <x:v>-0.18499999999999997</x:v>
      </x:c>
      <x:c r="AD480" t="str">
        <x:f>IF(AA480="","NO STANDARD",IF(AC480&lt;=Config_Status!$B$2,"EFFICIENT",IF(AC480&lt;=Config_Status!$B$3,"NORMAL",IF(AC480&lt;=Config_Status!$B$4,"WARNING","OVER CONSUMPTION"))))</x:f>
        <x:v>EFFICIENT</x:v>
      </x:c>
      <x:c r="AE480" t="str">
        <x:f>IFERROR(VLOOKUP(G480,Master_Unit!$A$2:$N$78,13,FALSE),"UNIT NOT FOUND")</x:f>
        <x:v>Matched</x:v>
      </x:c>
    </x:row>
    <x:row r="481">
      <x:c r="A481" s="12" t="str">
        <x:v>FU-20260607-00480</x:v>
      </x:c>
      <x:c r="B481" s="12" t="n">
        <x:v>610</x:v>
      </x:c>
      <x:c r="C481" s="14" t="n">
        <x:v>46180</x:v>
      </x:c>
      <x:c r="D481" s="12" t="str">
        <x:v>Minggu</x:v>
      </x:c>
      <x:c r="E481" s="12" t="str">
        <x:v>09:20:00</x:v>
      </x:c>
      <x:c r="F481" s="12" t="str">
        <x:v>All Shift Day</x:v>
      </x:c>
      <x:c r="G481" s="12" t="str">
        <x:v>STRL44G145</x:v>
      </x:c>
      <x:c r="H481" s="12" t="str">
        <x:v>Dump Truck</x:v>
      </x:c>
      <x:c r="I481" s="12" t="str">
        <x:v>DUMP TRUCK RENAULT KRANGE440-P6X4 A/T</x:v>
      </x:c>
      <x:c r="J481" s="16" t="n">
        <x:v>163</x:v>
      </x:c>
      <x:c r="K481" s="16" t="n">
        <x:v>4917</x:v>
      </x:c>
      <x:c r="L481" s="16" t="n">
        <x:v>4926</x:v>
      </x:c>
      <x:c r="M481" s="16" t="n">
        <x:v>9</x:v>
      </x:c>
      <x:c r="N481" s="16" t="n">
        <x:v>18.11111111111111</x:v>
      </x:c>
      <x:c r="O481" s="12" t="str">
        <x:v>FTRL44G004</x:v>
      </x:c>
      <x:c r="P481" s="12" t="str">
        <x:v>STRL44G145</x:v>
      </x:c>
      <x:c r="Q481" s="12" t="str"/>
      <x:c r="R481" s="12" t="str"/>
      <x:c r="S481" s="12" t="str"/>
      <x:c r="T481" s="12" t="str">
        <x:v>ABM</x:v>
      </x:c>
      <x:c r="U481" s="12" t="str"/>
      <x:c r="V481" s="12" t="str"/>
      <x:c r="W481" s="12" t="str"/>
      <x:c r="X481" s="12" t="str">
        <x:v>STRL44</x:v>
      </x:c>
      <x:c r="Y481" s="12" t="str">
        <x:v>ANDI &amp; ANGGI</x:v>
      </x:c>
      <x:c r="Z481" s="12" t="str"/>
      <x:c r="AA481" s="32" t="n">
        <x:f>IFERROR(VLOOKUP(G481,Master_Unit!$A$2:$N$78,7,FALSE),"")</x:f>
        <x:v>20</x:v>
      </x:c>
      <x:c r="AB481" s="32" t="n">
        <x:f>IF(OR(N481="",AA481=""),"",N481-AA481)</x:f>
        <x:v>-1.8888888888888893</x:v>
      </x:c>
      <x:c r="AC481" s="20" t="n">
        <x:f>IF(OR(N481="",AA481="",AA481=0),"",AB481/AA481)</x:f>
        <x:v>-0.09444444444444447</x:v>
      </x:c>
      <x:c r="AD481" t="str">
        <x:f>IF(AA481="","NO STANDARD",IF(AC481&lt;=Config_Status!$B$2,"EFFICIENT",IF(AC481&lt;=Config_Status!$B$3,"NORMAL",IF(AC481&lt;=Config_Status!$B$4,"WARNING","OVER CONSUMPTION"))))</x:f>
        <x:v>NORMAL</x:v>
      </x:c>
      <x:c r="AE481" t="str">
        <x:f>IFERROR(VLOOKUP(G481,Master_Unit!$A$2:$N$78,13,FALSE),"UNIT NOT FOUND")</x:f>
        <x:v>Matched</x:v>
      </x:c>
    </x:row>
    <x:row r="482">
      <x:c r="A482" s="12" t="str">
        <x:v>FU-20260607-00481</x:v>
      </x:c>
      <x:c r="B482" s="12" t="n">
        <x:v>611</x:v>
      </x:c>
      <x:c r="C482" s="14" t="n">
        <x:v>46180</x:v>
      </x:c>
      <x:c r="D482" s="12" t="str">
        <x:v>Minggu</x:v>
      </x:c>
      <x:c r="E482" s="12" t="str">
        <x:v>09:34:00</x:v>
      </x:c>
      <x:c r="F482" s="12" t="str">
        <x:v>All Shift Day</x:v>
      </x:c>
      <x:c r="G482" s="12" t="str">
        <x:v>STRL44G157</x:v>
      </x:c>
      <x:c r="H482" s="12" t="str">
        <x:v>Dump Truck</x:v>
      </x:c>
      <x:c r="I482" s="12" t="str">
        <x:v>DUMP TRUCK RENAULT KRANGE440-P6X4 A/T</x:v>
      </x:c>
      <x:c r="J482" s="16" t="n">
        <x:v>163</x:v>
      </x:c>
      <x:c r="K482" s="16" t="n">
        <x:v>4036</x:v>
      </x:c>
      <x:c r="L482" s="16" t="n">
        <x:v>4045</x:v>
      </x:c>
      <x:c r="M482" s="16" t="n">
        <x:v>9</x:v>
      </x:c>
      <x:c r="N482" s="16" t="n">
        <x:v>18.11111111111111</x:v>
      </x:c>
      <x:c r="O482" s="12" t="str">
        <x:v>FTRL44G004</x:v>
      </x:c>
      <x:c r="P482" s="12" t="str">
        <x:v>STRL44G157</x:v>
      </x:c>
      <x:c r="Q482" s="12" t="str"/>
      <x:c r="R482" s="12" t="str"/>
      <x:c r="S482" s="12" t="str"/>
      <x:c r="T482" s="12" t="str">
        <x:v>ABM</x:v>
      </x:c>
      <x:c r="U482" s="12" t="str"/>
      <x:c r="V482" s="12" t="str"/>
      <x:c r="W482" s="12" t="str"/>
      <x:c r="X482" s="12" t="str">
        <x:v>STRL44</x:v>
      </x:c>
      <x:c r="Y482" s="12" t="str">
        <x:v>ANDI &amp; ANGGI</x:v>
      </x:c>
      <x:c r="Z482" s="12" t="str"/>
      <x:c r="AA482" s="32" t="n">
        <x:f>IFERROR(VLOOKUP(G482,Master_Unit!$A$2:$N$78,7,FALSE),"")</x:f>
        <x:v>20</x:v>
      </x:c>
      <x:c r="AB482" s="32" t="n">
        <x:f>IF(OR(N482="",AA482=""),"",N482-AA482)</x:f>
        <x:v>-1.8888888888888893</x:v>
      </x:c>
      <x:c r="AC482" s="20" t="n">
        <x:f>IF(OR(N482="",AA482="",AA482=0),"",AB482/AA482)</x:f>
        <x:v>-0.09444444444444447</x:v>
      </x:c>
      <x:c r="AD482" t="str">
        <x:f>IF(AA482="","NO STANDARD",IF(AC482&lt;=Config_Status!$B$2,"EFFICIENT",IF(AC482&lt;=Config_Status!$B$3,"NORMAL",IF(AC482&lt;=Config_Status!$B$4,"WARNING","OVER CONSUMPTION"))))</x:f>
        <x:v>NORMAL</x:v>
      </x:c>
      <x:c r="AE482" t="str">
        <x:f>IFERROR(VLOOKUP(G482,Master_Unit!$A$2:$N$78,13,FALSE),"UNIT NOT FOUND")</x:f>
        <x:v>Matched</x:v>
      </x:c>
    </x:row>
    <x:row r="483">
      <x:c r="A483" s="12" t="str">
        <x:v>FU-20260607-00482</x:v>
      </x:c>
      <x:c r="B483" s="12" t="n">
        <x:v>612</x:v>
      </x:c>
      <x:c r="C483" s="14" t="n">
        <x:v>46180</x:v>
      </x:c>
      <x:c r="D483" s="12" t="str">
        <x:v>Minggu</x:v>
      </x:c>
      <x:c r="E483" s="12" t="str">
        <x:v>09:44:00</x:v>
      </x:c>
      <x:c r="F483" s="12" t="str">
        <x:v>All Shift Day</x:v>
      </x:c>
      <x:c r="G483" s="12" t="str">
        <x:v>STRL44G154</x:v>
      </x:c>
      <x:c r="H483" s="12" t="str">
        <x:v>Dump Truck</x:v>
      </x:c>
      <x:c r="I483" s="12" t="str">
        <x:v>DUMP TRUCK RENAULT KRANGE440-P6X4 A/T</x:v>
      </x:c>
      <x:c r="J483" s="16" t="n">
        <x:v>164</x:v>
      </x:c>
      <x:c r="K483" s="16" t="n">
        <x:v>4062</x:v>
      </x:c>
      <x:c r="L483" s="16" t="n">
        <x:v>4072</x:v>
      </x:c>
      <x:c r="M483" s="16" t="n">
        <x:v>10</x:v>
      </x:c>
      <x:c r="N483" s="16" t="n">
        <x:v>16.4</x:v>
      </x:c>
      <x:c r="O483" s="12" t="str">
        <x:v>FTRL44G004</x:v>
      </x:c>
      <x:c r="P483" s="12" t="str">
        <x:v>STRL44G154</x:v>
      </x:c>
      <x:c r="Q483" s="12" t="str"/>
      <x:c r="R483" s="12" t="str"/>
      <x:c r="S483" s="12" t="str"/>
      <x:c r="T483" s="12" t="str">
        <x:v>ABM</x:v>
      </x:c>
      <x:c r="U483" s="12" t="str"/>
      <x:c r="V483" s="12" t="str"/>
      <x:c r="W483" s="12" t="str"/>
      <x:c r="X483" s="12" t="str">
        <x:v>STRL44</x:v>
      </x:c>
      <x:c r="Y483" s="12" t="str">
        <x:v>ANDI &amp; ANGGI</x:v>
      </x:c>
      <x:c r="Z483" s="12" t="str"/>
      <x:c r="AA483" s="32" t="n">
        <x:f>IFERROR(VLOOKUP(G483,Master_Unit!$A$2:$N$78,7,FALSE),"")</x:f>
        <x:v>20</x:v>
      </x:c>
      <x:c r="AB483" s="32" t="n">
        <x:f>IF(OR(N483="",AA483=""),"",N483-AA483)</x:f>
        <x:v>-3.6000000000000014</x:v>
      </x:c>
      <x:c r="AC483" s="20" t="n">
        <x:f>IF(OR(N483="",AA483="",AA483=0),"",AB483/AA483)</x:f>
        <x:v>-0.18000000000000008</x:v>
      </x:c>
      <x:c r="AD483" t="str">
        <x:f>IF(AA483="","NO STANDARD",IF(AC483&lt;=Config_Status!$B$2,"EFFICIENT",IF(AC483&lt;=Config_Status!$B$3,"NORMAL",IF(AC483&lt;=Config_Status!$B$4,"WARNING","OVER CONSUMPTION"))))</x:f>
        <x:v>EFFICIENT</x:v>
      </x:c>
      <x:c r="AE483" t="str">
        <x:f>IFERROR(VLOOKUP(G483,Master_Unit!$A$2:$N$78,13,FALSE),"UNIT NOT FOUND")</x:f>
        <x:v>Matched</x:v>
      </x:c>
    </x:row>
    <x:row r="484">
      <x:c r="A484" s="12" t="str">
        <x:v>FU-20260607-00483</x:v>
      </x:c>
      <x:c r="B484" s="12" t="n">
        <x:v>613</x:v>
      </x:c>
      <x:c r="C484" s="14" t="n">
        <x:v>46180</x:v>
      </x:c>
      <x:c r="D484" s="12" t="str">
        <x:v>Minggu</x:v>
      </x:c>
      <x:c r="E484" s="12" t="str">
        <x:v>09:48:00</x:v>
      </x:c>
      <x:c r="F484" s="12" t="str">
        <x:v>All Shift Day</x:v>
      </x:c>
      <x:c r="G484" s="12" t="str">
        <x:v>STRL44G151</x:v>
      </x:c>
      <x:c r="H484" s="12" t="str">
        <x:v>Dump Truck</x:v>
      </x:c>
      <x:c r="I484" s="12" t="str">
        <x:v>DUMP TRUCK RENAULT KRANGE440-P6X4 A/T</x:v>
      </x:c>
      <x:c r="J484" s="16" t="n">
        <x:v>163</x:v>
      </x:c>
      <x:c r="K484" s="16" t="n">
        <x:v>4369</x:v>
      </x:c>
      <x:c r="L484" s="16" t="n">
        <x:v>4377</x:v>
      </x:c>
      <x:c r="M484" s="16" t="n">
        <x:v>8</x:v>
      </x:c>
      <x:c r="N484" s="16" t="n">
        <x:v>20.375</x:v>
      </x:c>
      <x:c r="O484" s="12" t="str">
        <x:v>FTRL44G004</x:v>
      </x:c>
      <x:c r="P484" s="12" t="str">
        <x:v>STRL44G151</x:v>
      </x:c>
      <x:c r="Q484" s="12" t="str"/>
      <x:c r="R484" s="12" t="str"/>
      <x:c r="S484" s="12" t="str"/>
      <x:c r="T484" s="12" t="str">
        <x:v>ABM</x:v>
      </x:c>
      <x:c r="U484" s="12" t="str"/>
      <x:c r="V484" s="12" t="str"/>
      <x:c r="W484" s="12" t="str"/>
      <x:c r="X484" s="12" t="str">
        <x:v>STRL44</x:v>
      </x:c>
      <x:c r="Y484" s="12" t="str">
        <x:v>ANDI &amp; ANGGI</x:v>
      </x:c>
      <x:c r="Z484" s="12" t="str"/>
      <x:c r="AA484" s="32" t="n">
        <x:f>IFERROR(VLOOKUP(G484,Master_Unit!$A$2:$N$78,7,FALSE),"")</x:f>
        <x:v>20</x:v>
      </x:c>
      <x:c r="AB484" s="32" t="n">
        <x:f>IF(OR(N484="",AA484=""),"",N484-AA484)</x:f>
        <x:v>0.375</x:v>
      </x:c>
      <x:c r="AC484" s="20" t="n">
        <x:f>IF(OR(N484="",AA484="",AA484=0),"",AB484/AA484)</x:f>
        <x:v>0.01875</x:v>
      </x:c>
      <x:c r="AD484" t="str">
        <x:f>IF(AA484="","NO STANDARD",IF(AC484&lt;=Config_Status!$B$2,"EFFICIENT",IF(AC484&lt;=Config_Status!$B$3,"NORMAL",IF(AC484&lt;=Config_Status!$B$4,"WARNING","OVER CONSUMPTION"))))</x:f>
        <x:v>NORMAL</x:v>
      </x:c>
      <x:c r="AE484" t="str">
        <x:f>IFERROR(VLOOKUP(G484,Master_Unit!$A$2:$N$78,13,FALSE),"UNIT NOT FOUND")</x:f>
        <x:v>Matched</x:v>
      </x:c>
    </x:row>
    <x:row r="485">
      <x:c r="A485" s="12" t="str">
        <x:v>FU-20260607-00484</x:v>
      </x:c>
      <x:c r="B485" s="12" t="n">
        <x:v>614</x:v>
      </x:c>
      <x:c r="C485" s="14" t="n">
        <x:v>46180</x:v>
      </x:c>
      <x:c r="D485" s="12" t="str">
        <x:v>Minggu</x:v>
      </x:c>
      <x:c r="E485" s="12" t="str">
        <x:v>10:21:00</x:v>
      </x:c>
      <x:c r="F485" s="12" t="str">
        <x:v>All Shift Day</x:v>
      </x:c>
      <x:c r="G485" s="12" t="str">
        <x:v>STRL44G139</x:v>
      </x:c>
      <x:c r="H485" s="12" t="str">
        <x:v>Dump Truck</x:v>
      </x:c>
      <x:c r="I485" s="12" t="str">
        <x:v>DUMP TRUCK RENAULT KRANGE440-P6X4 A/T</x:v>
      </x:c>
      <x:c r="J485" s="16" t="n">
        <x:v>42</x:v>
      </x:c>
      <x:c r="K485" s="16" t="n">
        <x:v>4951</x:v>
      </x:c>
      <x:c r="L485" s="16" t="n">
        <x:v>4952</x:v>
      </x:c>
      <x:c r="M485" s="16" t="n">
        <x:v>1</x:v>
      </x:c>
      <x:c r="N485" s="16" t="n">
        <x:v>42</x:v>
      </x:c>
      <x:c r="O485" s="12" t="str">
        <x:v>FTRL44G004</x:v>
      </x:c>
      <x:c r="P485" s="12" t="str">
        <x:v>STRL44G139</x:v>
      </x:c>
      <x:c r="Q485" s="12" t="str"/>
      <x:c r="R485" s="12" t="str"/>
      <x:c r="S485" s="12" t="str"/>
      <x:c r="T485" s="12" t="str">
        <x:v>ABM</x:v>
      </x:c>
      <x:c r="U485" s="12" t="str"/>
      <x:c r="V485" s="12" t="str"/>
      <x:c r="W485" s="12" t="str"/>
      <x:c r="X485" s="12" t="str">
        <x:v>STRL44</x:v>
      </x:c>
      <x:c r="Y485" s="12" t="str">
        <x:v>ANDI &amp; ANGGI</x:v>
      </x:c>
      <x:c r="Z485" s="12" t="str"/>
      <x:c r="AA485" s="32" t="n">
        <x:f>IFERROR(VLOOKUP(G485,Master_Unit!$A$2:$N$78,7,FALSE),"")</x:f>
        <x:v>20</x:v>
      </x:c>
      <x:c r="AB485" s="32" t="n">
        <x:f>IF(OR(N485="",AA485=""),"",N485-AA485)</x:f>
        <x:v>22</x:v>
      </x:c>
      <x:c r="AC485" s="20" t="n">
        <x:f>IF(OR(N485="",AA485="",AA485=0),"",AB485/AA485)</x:f>
        <x:v>1.1</x:v>
      </x:c>
      <x:c r="AD485" t="str">
        <x:f>IF(AA485="","NO STANDARD",IF(AC485&lt;=Config_Status!$B$2,"EFFICIENT",IF(AC485&lt;=Config_Status!$B$3,"NORMAL",IF(AC485&lt;=Config_Status!$B$4,"WARNING","OVER CONSUMPTION"))))</x:f>
        <x:v>OVER CONSUMPTION</x:v>
      </x:c>
      <x:c r="AE485" t="str">
        <x:f>IFERROR(VLOOKUP(G485,Master_Unit!$A$2:$N$78,13,FALSE),"UNIT NOT FOUND")</x:f>
        <x:v>Matched</x:v>
      </x:c>
    </x:row>
    <x:row r="486">
      <x:c r="A486" s="12" t="str">
        <x:v>FU-20260607-00485</x:v>
      </x:c>
      <x:c r="B486" s="12" t="n">
        <x:v>615</x:v>
      </x:c>
      <x:c r="C486" s="14" t="n">
        <x:v>46180</x:v>
      </x:c>
      <x:c r="D486" s="12" t="str">
        <x:v>Minggu</x:v>
      </x:c>
      <x:c r="E486" s="12" t="str">
        <x:v>10:27:00</x:v>
      </x:c>
      <x:c r="F486" s="12" t="str">
        <x:v>All Shift Day</x:v>
      </x:c>
      <x:c r="G486" s="12" t="str">
        <x:v>STRL44G142</x:v>
      </x:c>
      <x:c r="H486" s="12" t="str">
        <x:v>Dump Truck</x:v>
      </x:c>
      <x:c r="I486" s="12" t="str">
        <x:v>DUMP TRUCK RENAULT KRANGE440-P6X4 A/T</x:v>
      </x:c>
      <x:c r="J486" s="16" t="n">
        <x:v>42</x:v>
      </x:c>
      <x:c r="K486" s="16" t="n">
        <x:v>3322</x:v>
      </x:c>
      <x:c r="L486" s="16" t="n">
        <x:v>3325</x:v>
      </x:c>
      <x:c r="M486" s="16" t="n">
        <x:v>3</x:v>
      </x:c>
      <x:c r="N486" s="16" t="n">
        <x:v>14</x:v>
      </x:c>
      <x:c r="O486" s="12" t="str">
        <x:v>FTRL44G004</x:v>
      </x:c>
      <x:c r="P486" s="12" t="str">
        <x:v>STRL44G142</x:v>
      </x:c>
      <x:c r="Q486" s="12" t="str"/>
      <x:c r="R486" s="12" t="str"/>
      <x:c r="S486" s="12" t="str"/>
      <x:c r="T486" s="12" t="str">
        <x:v>ABM</x:v>
      </x:c>
      <x:c r="U486" s="12" t="str"/>
      <x:c r="V486" s="12" t="str"/>
      <x:c r="W486" s="12" t="str"/>
      <x:c r="X486" s="12" t="str">
        <x:v>STRL44</x:v>
      </x:c>
      <x:c r="Y486" s="12" t="str">
        <x:v>ANDI &amp; ANGGI</x:v>
      </x:c>
      <x:c r="Z486" s="12" t="str"/>
      <x:c r="AA486" s="32" t="n">
        <x:f>IFERROR(VLOOKUP(G486,Master_Unit!$A$2:$N$78,7,FALSE),"")</x:f>
        <x:v>20</x:v>
      </x:c>
      <x:c r="AB486" s="32" t="n">
        <x:f>IF(OR(N486="",AA486=""),"",N486-AA486)</x:f>
        <x:v>-6</x:v>
      </x:c>
      <x:c r="AC486" s="20" t="n">
        <x:f>IF(OR(N486="",AA486="",AA486=0),"",AB486/AA486)</x:f>
        <x:v>-0.3</x:v>
      </x:c>
      <x:c r="AD486" t="str">
        <x:f>IF(AA486="","NO STANDARD",IF(AC486&lt;=Config_Status!$B$2,"EFFICIENT",IF(AC486&lt;=Config_Status!$B$3,"NORMAL",IF(AC486&lt;=Config_Status!$B$4,"WARNING","OVER CONSUMPTION"))))</x:f>
        <x:v>EFFICIENT</x:v>
      </x:c>
      <x:c r="AE486" t="str">
        <x:f>IFERROR(VLOOKUP(G486,Master_Unit!$A$2:$N$78,13,FALSE),"UNIT NOT FOUND")</x:f>
        <x:v>Matched</x:v>
      </x:c>
    </x:row>
    <x:row r="487">
      <x:c r="A487" s="12" t="str">
        <x:v>FU-20260607-00486</x:v>
      </x:c>
      <x:c r="B487" s="12" t="n">
        <x:v>616</x:v>
      </x:c>
      <x:c r="C487" s="14" t="n">
        <x:v>46180</x:v>
      </x:c>
      <x:c r="D487" s="12" t="str">
        <x:v>Minggu</x:v>
      </x:c>
      <x:c r="E487" s="12" t="str">
        <x:v>10:33:00</x:v>
      </x:c>
      <x:c r="F487" s="12" t="str">
        <x:v>All Shift Day</x:v>
      </x:c>
      <x:c r="G487" s="12" t="str">
        <x:v>STRL44G138</x:v>
      </x:c>
      <x:c r="H487" s="12" t="str">
        <x:v>Dump Truck</x:v>
      </x:c>
      <x:c r="I487" s="12" t="str">
        <x:v>DUMP TRUCK RENAULT KRANGE440-P6X4 A/T</x:v>
      </x:c>
      <x:c r="J487" s="16" t="n">
        <x:v>183</x:v>
      </x:c>
      <x:c r="K487" s="16" t="n">
        <x:v>5269</x:v>
      </x:c>
      <x:c r="L487" s="16" t="n">
        <x:v>5286</x:v>
      </x:c>
      <x:c r="M487" s="16" t="n">
        <x:v>17</x:v>
      </x:c>
      <x:c r="N487" s="16" t="n">
        <x:v>10.764705882352942</x:v>
      </x:c>
      <x:c r="O487" s="12" t="str">
        <x:v>FTRL44G004</x:v>
      </x:c>
      <x:c r="P487" s="12" t="str">
        <x:v>STRL44G138</x:v>
      </x:c>
      <x:c r="Q487" s="12" t="str"/>
      <x:c r="R487" s="12" t="str"/>
      <x:c r="S487" s="12" t="str"/>
      <x:c r="T487" s="12" t="str">
        <x:v>ABM</x:v>
      </x:c>
      <x:c r="U487" s="12" t="str"/>
      <x:c r="V487" s="12" t="str"/>
      <x:c r="W487" s="12" t="str"/>
      <x:c r="X487" s="12" t="str">
        <x:v>STRL44</x:v>
      </x:c>
      <x:c r="Y487" s="12" t="str">
        <x:v>ANDI &amp; ANGGI</x:v>
      </x:c>
      <x:c r="Z487" s="12" t="str"/>
      <x:c r="AA487" s="32" t="n">
        <x:f>IFERROR(VLOOKUP(G487,Master_Unit!$A$2:$N$78,7,FALSE),"")</x:f>
        <x:v>20</x:v>
      </x:c>
      <x:c r="AB487" s="32" t="n">
        <x:f>IF(OR(N487="",AA487=""),"",N487-AA487)</x:f>
        <x:v>-9.235294117647058</x:v>
      </x:c>
      <x:c r="AC487" s="20" t="n">
        <x:f>IF(OR(N487="",AA487="",AA487=0),"",AB487/AA487)</x:f>
        <x:v>-0.4617647058823529</x:v>
      </x:c>
      <x:c r="AD487" t="str">
        <x:f>IF(AA487="","NO STANDARD",IF(AC487&lt;=Config_Status!$B$2,"EFFICIENT",IF(AC487&lt;=Config_Status!$B$3,"NORMAL",IF(AC487&lt;=Config_Status!$B$4,"WARNING","OVER CONSUMPTION"))))</x:f>
        <x:v>EFFICIENT</x:v>
      </x:c>
      <x:c r="AE487" t="str">
        <x:f>IFERROR(VLOOKUP(G487,Master_Unit!$A$2:$N$78,13,FALSE),"UNIT NOT FOUND")</x:f>
        <x:v>Matched</x:v>
      </x:c>
    </x:row>
    <x:row r="488">
      <x:c r="A488" s="12" t="str">
        <x:v>FU-20260607-00487</x:v>
      </x:c>
      <x:c r="B488" s="12" t="n">
        <x:v>617</x:v>
      </x:c>
      <x:c r="C488" s="14" t="n">
        <x:v>46180</x:v>
      </x:c>
      <x:c r="D488" s="12" t="str">
        <x:v>Minggu</x:v>
      </x:c>
      <x:c r="E488" s="12" t="str">
        <x:v>10:45:00</x:v>
      </x:c>
      <x:c r="F488" s="12" t="str">
        <x:v>All Shift Day</x:v>
      </x:c>
      <x:c r="G488" s="12" t="str">
        <x:v>LVTH24R053</x:v>
      </x:c>
      <x:c r="H488" s="12" t="str">
        <x:v>Light Vehicle</x:v>
      </x:c>
      <x:c r="I488" s="12" t="str">
        <x:v>LIGHT VEHICLE TOYOTA HILUX</x:v>
      </x:c>
      <x:c r="J488" s="16" t="n">
        <x:v>40</x:v>
      </x:c>
      <x:c r="K488" s="16" t="n">
        <x:v>24257</x:v>
      </x:c>
      <x:c r="L488" s="16" t="n">
        <x:v>24606</x:v>
      </x:c>
      <x:c r="M488" s="16" t="n">
        <x:v>349</x:v>
      </x:c>
      <x:c r="N488" s="16" t="n">
        <x:v>0.11461318051575932</x:v>
      </x:c>
      <x:c r="O488" s="12" t="str">
        <x:v>FTRL44G004</x:v>
      </x:c>
      <x:c r="P488" s="12" t="str">
        <x:v>LVTH24R053</x:v>
      </x:c>
      <x:c r="Q488" s="12" t="str"/>
      <x:c r="R488" s="12" t="str"/>
      <x:c r="S488" s="12" t="str"/>
      <x:c r="T488" s="12" t="str">
        <x:v>ABM</x:v>
      </x:c>
      <x:c r="U488" s="12" t="str"/>
      <x:c r="V488" s="12" t="str"/>
      <x:c r="W488" s="12" t="str"/>
      <x:c r="X488" s="12" t="str">
        <x:v>LVTH24</x:v>
      </x:c>
      <x:c r="Y488" s="12" t="str">
        <x:v>ANDI &amp; ANGGI</x:v>
      </x:c>
      <x:c r="Z488" s="12" t="str"/>
      <x:c r="AA488" s="32" t="n">
        <x:f>IFERROR(VLOOKUP(G488,Master_Unit!$A$2:$N$78,7,FALSE),"")</x:f>
        <x:v>0.2</x:v>
      </x:c>
      <x:c r="AB488" s="32" t="n">
        <x:f>IF(OR(N488="",AA488=""),"",N488-AA488)</x:f>
        <x:v>-0.08538681948424069</x:v>
      </x:c>
      <x:c r="AC488" s="20" t="n">
        <x:f>IF(OR(N488="",AA488="",AA488=0),"",AB488/AA488)</x:f>
        <x:v>-0.4269340974212034</x:v>
      </x:c>
      <x:c r="AD488" t="str">
        <x:f>IF(AA488="","NO STANDARD",IF(AC488&lt;=Config_Status!$B$2,"EFFICIENT",IF(AC488&lt;=Config_Status!$B$3,"NORMAL",IF(AC488&lt;=Config_Status!$B$4,"WARNING","OVER CONSUMPTION"))))</x:f>
        <x:v>EFFICIENT</x:v>
      </x:c>
      <x:c r="AE488" t="str">
        <x:f>IFERROR(VLOOKUP(G488,Master_Unit!$A$2:$N$78,13,FALSE),"UNIT NOT FOUND")</x:f>
        <x:v>Matched</x:v>
      </x:c>
    </x:row>
    <x:row r="489">
      <x:c r="A489" s="12" t="str">
        <x:v>FU-20260607-00488</x:v>
      </x:c>
      <x:c r="B489" s="12" t="n">
        <x:v>618</x:v>
      </x:c>
      <x:c r="C489" s="14" t="n">
        <x:v>46180</x:v>
      </x:c>
      <x:c r="D489" s="12" t="str">
        <x:v>Minggu</x:v>
      </x:c>
      <x:c r="E489" s="12" t="str">
        <x:v>12:54:00</x:v>
      </x:c>
      <x:c r="F489" s="12" t="str">
        <x:v>All Shift Day</x:v>
      </x:c>
      <x:c r="G489" s="12" t="str">
        <x:v>TLYM50G020</x:v>
      </x:c>
      <x:c r="H489" s="12" t="str">
        <x:v>Other</x:v>
      </x:c>
      <x:c r="I489" s="12" t="str">
        <x:v>TOWERLAMP YAMAGEN YDG5001SE-D-TLD4</x:v>
      </x:c>
      <x:c r="J489" s="16" t="n">
        <x:v>15</x:v>
      </x:c>
      <x:c r="K489" s="16" t="n">
        <x:v>4510.69</x:v>
      </x:c>
      <x:c r="L489" s="16" t="n">
        <x:v>4521.1</x:v>
      </x:c>
      <x:c r="M489" s="16" t="n">
        <x:v>10.410000000000764</x:v>
      </x:c>
      <x:c r="N489" s="16" t="n">
        <x:v>1.4409221902016234</x:v>
      </x:c>
      <x:c r="O489" s="12" t="str">
        <x:v>FTRL44G004</x:v>
      </x:c>
      <x:c r="P489" s="12" t="str">
        <x:v>TLYM50G020</x:v>
      </x:c>
      <x:c r="Q489" s="12" t="str"/>
      <x:c r="R489" s="12" t="str"/>
      <x:c r="S489" s="12" t="str"/>
      <x:c r="T489" s="12" t="str">
        <x:v>ABM</x:v>
      </x:c>
      <x:c r="U489" s="12" t="str"/>
      <x:c r="V489" s="12" t="str"/>
      <x:c r="W489" s="12" t="str"/>
      <x:c r="X489" s="12" t="str">
        <x:v>TLYM50</x:v>
      </x:c>
      <x:c r="Y489" s="12" t="str">
        <x:v>ANDI &amp; ANGGI</x:v>
      </x:c>
      <x:c r="Z489" s="12" t="str"/>
      <x:c r="AA489" s="32" t="n">
        <x:f>IFERROR(VLOOKUP(G489,Master_Unit!$A$2:$N$78,7,FALSE),"")</x:f>
        <x:v>2</x:v>
      </x:c>
      <x:c r="AB489" s="32" t="n">
        <x:f>IF(OR(N489="",AA489=""),"",N489-AA489)</x:f>
        <x:v>-0.5590778097983766</x:v>
      </x:c>
      <x:c r="AC489" s="20" t="n">
        <x:f>IF(OR(N489="",AA489="",AA489=0),"",AB489/AA489)</x:f>
        <x:v>-0.2795389048991883</x:v>
      </x:c>
      <x:c r="AD489" t="str">
        <x:f>IF(AA489="","NO STANDARD",IF(AC489&lt;=Config_Status!$B$2,"EFFICIENT",IF(AC489&lt;=Config_Status!$B$3,"NORMAL",IF(AC489&lt;=Config_Status!$B$4,"WARNING","OVER CONSUMPTION"))))</x:f>
        <x:v>EFFICIENT</x:v>
      </x:c>
      <x:c r="AE489" t="str">
        <x:f>IFERROR(VLOOKUP(G489,Master_Unit!$A$2:$N$78,13,FALSE),"UNIT NOT FOUND")</x:f>
        <x:v>Matched</x:v>
      </x:c>
    </x:row>
    <x:row r="490">
      <x:c r="A490" s="12" t="str">
        <x:v>FU-20260607-00489</x:v>
      </x:c>
      <x:c r="B490" s="12" t="n">
        <x:v>619</x:v>
      </x:c>
      <x:c r="C490" s="14" t="n">
        <x:v>46180</x:v>
      </x:c>
      <x:c r="D490" s="12" t="str">
        <x:v>Minggu</x:v>
      </x:c>
      <x:c r="E490" s="12" t="str">
        <x:v>12:57:00</x:v>
      </x:c>
      <x:c r="F490" s="12" t="str">
        <x:v>All Shift Day</x:v>
      </x:c>
      <x:c r="G490" s="12" t="str">
        <x:v>EXVV21G036</x:v>
      </x:c>
      <x:c r="H490" s="12" t="str">
        <x:v>Excavator</x:v>
      </x:c>
      <x:c r="I490" s="12" t="str">
        <x:v>EXCAVATOR VOLVO EC210D</x:v>
      </x:c>
      <x:c r="J490" s="16" t="n">
        <x:v>228</x:v>
      </x:c>
      <x:c r="K490" s="16" t="n">
        <x:v>7522</x:v>
      </x:c>
      <x:c r="L490" s="16" t="n">
        <x:v>7535.2</x:v>
      </x:c>
      <x:c r="M490" s="16" t="n">
        <x:v>13.199999999999818</x:v>
      </x:c>
      <x:c r="N490" s="16" t="n">
        <x:v>17.27272727272751</x:v>
      </x:c>
      <x:c r="O490" s="12" t="str">
        <x:v>FTRL44G004</x:v>
      </x:c>
      <x:c r="P490" s="12" t="str">
        <x:v>EXVV21G036</x:v>
      </x:c>
      <x:c r="Q490" s="12" t="str"/>
      <x:c r="R490" s="12" t="str"/>
      <x:c r="S490" s="12" t="str"/>
      <x:c r="T490" s="12" t="str">
        <x:v>ABM</x:v>
      </x:c>
      <x:c r="U490" s="12" t="str"/>
      <x:c r="V490" s="12" t="str"/>
      <x:c r="W490" s="12" t="str"/>
      <x:c r="X490" s="12" t="str">
        <x:v>EXVV21</x:v>
      </x:c>
      <x:c r="Y490" s="12" t="str">
        <x:v>ANDI &amp; ANGGI</x:v>
      </x:c>
      <x:c r="Z490" s="12" t="str"/>
      <x:c r="AA490" s="32" t="n">
        <x:f>IFERROR(VLOOKUP(G490,Master_Unit!$A$2:$N$78,7,FALSE),"")</x:f>
        <x:v>20</x:v>
      </x:c>
      <x:c r="AB490" s="32" t="n">
        <x:f>IF(OR(N490="",AA490=""),"",N490-AA490)</x:f>
        <x:v>-2.7272727272724886</x:v>
      </x:c>
      <x:c r="AC490" s="20" t="n">
        <x:f>IF(OR(N490="",AA490="",AA490=0),"",AB490/AA490)</x:f>
        <x:v>-0.13636363636362442</x:v>
      </x:c>
      <x:c r="AD490" t="str">
        <x:f>IF(AA490="","NO STANDARD",IF(AC490&lt;=Config_Status!$B$2,"EFFICIENT",IF(AC490&lt;=Config_Status!$B$3,"NORMAL",IF(AC490&lt;=Config_Status!$B$4,"WARNING","OVER CONSUMPTION"))))</x:f>
        <x:v>EFFICIENT</x:v>
      </x:c>
      <x:c r="AE490" t="str">
        <x:f>IFERROR(VLOOKUP(G490,Master_Unit!$A$2:$N$78,13,FALSE),"UNIT NOT FOUND")</x:f>
        <x:v>Matched</x:v>
      </x:c>
    </x:row>
    <x:row r="491">
      <x:c r="A491" s="12" t="str">
        <x:v>FU-20260607-00490</x:v>
      </x:c>
      <x:c r="B491" s="12" t="n">
        <x:v>620</x:v>
      </x:c>
      <x:c r="C491" s="14" t="n">
        <x:v>46180</x:v>
      </x:c>
      <x:c r="D491" s="12" t="str">
        <x:v>Minggu</x:v>
      </x:c>
      <x:c r="E491" s="12" t="str">
        <x:v>13:02:00</x:v>
      </x:c>
      <x:c r="F491" s="12" t="str">
        <x:v>All Shift Day</x:v>
      </x:c>
      <x:c r="G491" s="12" t="str">
        <x:v>TLYM50G019</x:v>
      </x:c>
      <x:c r="H491" s="12" t="str">
        <x:v>Other</x:v>
      </x:c>
      <x:c r="I491" s="12" t="str">
        <x:v>TOWERLAMP YAMAGEN YDG5001SE-D-TLD4</x:v>
      </x:c>
      <x:c r="J491" s="16" t="n">
        <x:v>15</x:v>
      </x:c>
      <x:c r="K491" s="16" t="n">
        <x:v>4652.24</x:v>
      </x:c>
      <x:c r="L491" s="16" t="n">
        <x:v>4662.15</x:v>
      </x:c>
      <x:c r="M491" s="16" t="n">
        <x:v>9.909999999999854</x:v>
      </x:c>
      <x:c r="N491" s="16" t="n">
        <x:v>1.5136226034309002</x:v>
      </x:c>
      <x:c r="O491" s="12" t="str">
        <x:v>FTRL44G004</x:v>
      </x:c>
      <x:c r="P491" s="12" t="str">
        <x:v>TLYM50G019</x:v>
      </x:c>
      <x:c r="Q491" s="12" t="str"/>
      <x:c r="R491" s="12" t="str"/>
      <x:c r="S491" s="12" t="str"/>
      <x:c r="T491" s="12" t="str">
        <x:v>ABM</x:v>
      </x:c>
      <x:c r="U491" s="12" t="str"/>
      <x:c r="V491" s="12" t="str"/>
      <x:c r="W491" s="12" t="str"/>
      <x:c r="X491" s="12" t="str">
        <x:v>TLYM50</x:v>
      </x:c>
      <x:c r="Y491" s="12" t="str">
        <x:v>ANDI &amp; ANGGI</x:v>
      </x:c>
      <x:c r="Z491" s="12" t="str"/>
      <x:c r="AA491" s="32" t="n">
        <x:f>IFERROR(VLOOKUP(G491,Master_Unit!$A$2:$N$78,7,FALSE),"")</x:f>
        <x:v>2</x:v>
      </x:c>
      <x:c r="AB491" s="32" t="n">
        <x:f>IF(OR(N491="",AA491=""),"",N491-AA491)</x:f>
        <x:v>-0.48637739656909984</x:v>
      </x:c>
      <x:c r="AC491" s="20" t="n">
        <x:f>IF(OR(N491="",AA491="",AA491=0),"",AB491/AA491)</x:f>
        <x:v>-0.24318869828454992</x:v>
      </x:c>
      <x:c r="AD491" t="str">
        <x:f>IF(AA491="","NO STANDARD",IF(AC491&lt;=Config_Status!$B$2,"EFFICIENT",IF(AC491&lt;=Config_Status!$B$3,"NORMAL",IF(AC491&lt;=Config_Status!$B$4,"WARNING","OVER CONSUMPTION"))))</x:f>
        <x:v>EFFICIENT</x:v>
      </x:c>
      <x:c r="AE491" t="str">
        <x:f>IFERROR(VLOOKUP(G491,Master_Unit!$A$2:$N$78,13,FALSE),"UNIT NOT FOUND")</x:f>
        <x:v>Matched</x:v>
      </x:c>
    </x:row>
    <x:row r="492">
      <x:c r="A492" s="12" t="str">
        <x:v>FU-20260607-00491</x:v>
      </x:c>
      <x:c r="B492" s="12" t="n">
        <x:v>621</x:v>
      </x:c>
      <x:c r="C492" s="14" t="n">
        <x:v>46180</x:v>
      </x:c>
      <x:c r="D492" s="12" t="str">
        <x:v>Minggu</x:v>
      </x:c>
      <x:c r="E492" s="12" t="str">
        <x:v>13:06:00</x:v>
      </x:c>
      <x:c r="F492" s="12" t="str">
        <x:v>All Shift Day</x:v>
      </x:c>
      <x:c r="G492" s="12" t="str">
        <x:v>EXVV35G006</x:v>
      </x:c>
      <x:c r="H492" s="12" t="str">
        <x:v>Excavator</x:v>
      </x:c>
      <x:c r="I492" s="12" t="str">
        <x:v>EXCAVATOR VOLVO EC350D</x:v>
      </x:c>
      <x:c r="J492" s="16" t="n">
        <x:v>223</x:v>
      </x:c>
      <x:c r="K492" s="16" t="n">
        <x:v>3133.4</x:v>
      </x:c>
      <x:c r="L492" s="16" t="n">
        <x:v>3141.5</x:v>
      </x:c>
      <x:c r="M492" s="16" t="n">
        <x:v>8.099999999999909</x:v>
      </x:c>
      <x:c r="N492" s="16" t="n">
        <x:v>27.530864197531173</x:v>
      </x:c>
      <x:c r="O492" s="12" t="str">
        <x:v>FTRL44G004</x:v>
      </x:c>
      <x:c r="P492" s="12" t="str">
        <x:v>EXVV35G006</x:v>
      </x:c>
      <x:c r="Q492" s="12" t="str"/>
      <x:c r="R492" s="12" t="str"/>
      <x:c r="S492" s="12" t="str"/>
      <x:c r="T492" s="12" t="str">
        <x:v>ABM</x:v>
      </x:c>
      <x:c r="U492" s="12" t="str"/>
      <x:c r="V492" s="12" t="str"/>
      <x:c r="W492" s="12" t="str"/>
      <x:c r="X492" s="12" t="str">
        <x:v>EXVV35</x:v>
      </x:c>
      <x:c r="Y492" s="12" t="str">
        <x:v>ANDI &amp; ANGGI</x:v>
      </x:c>
      <x:c r="Z492" s="12" t="str"/>
      <x:c r="AA492" s="32" t="n">
        <x:f>IFERROR(VLOOKUP(G492,Master_Unit!$A$2:$N$78,7,FALSE),"")</x:f>
        <x:v>25</x:v>
      </x:c>
      <x:c r="AB492" s="32" t="n">
        <x:f>IF(OR(N492="",AA492=""),"",N492-AA492)</x:f>
        <x:v>2.530864197531173</x:v>
      </x:c>
      <x:c r="AC492" s="20" t="n">
        <x:f>IF(OR(N492="",AA492="",AA492=0),"",AB492/AA492)</x:f>
        <x:v>0.10123456790124692</x:v>
      </x:c>
      <x:c r="AD492" t="str">
        <x:f>IF(AA492="","NO STANDARD",IF(AC492&lt;=Config_Status!$B$2,"EFFICIENT",IF(AC492&lt;=Config_Status!$B$3,"NORMAL",IF(AC492&lt;=Config_Status!$B$4,"WARNING","OVER CONSUMPTION"))))</x:f>
        <x:v>WARNING</x:v>
      </x:c>
      <x:c r="AE492" t="str">
        <x:f>IFERROR(VLOOKUP(G492,Master_Unit!$A$2:$N$78,13,FALSE),"UNIT NOT FOUND")</x:f>
        <x:v>Matched</x:v>
      </x:c>
    </x:row>
    <x:row r="493">
      <x:c r="A493" s="12" t="str">
        <x:v>FU-20260607-00492</x:v>
      </x:c>
      <x:c r="B493" s="12" t="n">
        <x:v>622</x:v>
      </x:c>
      <x:c r="C493" s="14" t="n">
        <x:v>46180</x:v>
      </x:c>
      <x:c r="D493" s="12" t="str">
        <x:v>Minggu</x:v>
      </x:c>
      <x:c r="E493" s="12" t="str">
        <x:v>13:10:00</x:v>
      </x:c>
      <x:c r="F493" s="12" t="str">
        <x:v>All Shift Day</x:v>
      </x:c>
      <x:c r="G493" s="12" t="str">
        <x:v>TLYM50G023</x:v>
      </x:c>
      <x:c r="H493" s="12" t="str">
        <x:v>Other</x:v>
      </x:c>
      <x:c r="I493" s="12" t="str">
        <x:v>TOWERLAMP YAMAGEN YDG5001SE-D-TLD4</x:v>
      </x:c>
      <x:c r="J493" s="16" t="n">
        <x:v>23</x:v>
      </x:c>
      <x:c r="K493" s="16" t="n">
        <x:v>4459.27</x:v>
      </x:c>
      <x:c r="L493" s="16" t="n">
        <x:v>4469.1</x:v>
      </x:c>
      <x:c r="M493" s="16" t="n">
        <x:v>9.829999999999927</x:v>
      </x:c>
      <x:c r="N493" s="16" t="n">
        <x:v>2.3397761953204648</x:v>
      </x:c>
      <x:c r="O493" s="12" t="str">
        <x:v>FTRL44G004</x:v>
      </x:c>
      <x:c r="P493" s="12" t="str">
        <x:v>TLYM50G023</x:v>
      </x:c>
      <x:c r="Q493" s="12" t="str"/>
      <x:c r="R493" s="12" t="str"/>
      <x:c r="S493" s="12" t="str"/>
      <x:c r="T493" s="12" t="str">
        <x:v>ABM</x:v>
      </x:c>
      <x:c r="U493" s="12" t="str"/>
      <x:c r="V493" s="12" t="str"/>
      <x:c r="W493" s="12" t="str"/>
      <x:c r="X493" s="12" t="str">
        <x:v>TLYM50</x:v>
      </x:c>
      <x:c r="Y493" s="12" t="str">
        <x:v>ANDI &amp; ANGGI</x:v>
      </x:c>
      <x:c r="Z493" s="12" t="str"/>
      <x:c r="AA493" s="32" t="n">
        <x:f>IFERROR(VLOOKUP(G493,Master_Unit!$A$2:$N$78,7,FALSE),"")</x:f>
        <x:v>2</x:v>
      </x:c>
      <x:c r="AB493" s="32" t="n">
        <x:f>IF(OR(N493="",AA493=""),"",N493-AA493)</x:f>
        <x:v>0.33977619532046477</x:v>
      </x:c>
      <x:c r="AC493" s="20" t="n">
        <x:f>IF(OR(N493="",AA493="",AA493=0),"",AB493/AA493)</x:f>
        <x:v>0.16988809766023238</x:v>
      </x:c>
      <x:c r="AD493" t="str">
        <x:f>IF(AA493="","NO STANDARD",IF(AC493&lt;=Config_Status!$B$2,"EFFICIENT",IF(AC493&lt;=Config_Status!$B$3,"NORMAL",IF(AC493&lt;=Config_Status!$B$4,"WARNING","OVER CONSUMPTION"))))</x:f>
        <x:v>WARNING</x:v>
      </x:c>
      <x:c r="AE493" t="str">
        <x:f>IFERROR(VLOOKUP(G493,Master_Unit!$A$2:$N$78,13,FALSE),"UNIT NOT FOUND")</x:f>
        <x:v>Matched</x:v>
      </x:c>
    </x:row>
    <x:row r="494">
      <x:c r="A494" s="12" t="str">
        <x:v>FU-20260607-00493</x:v>
      </x:c>
      <x:c r="B494" s="12" t="n">
        <x:v>623</x:v>
      </x:c>
      <x:c r="C494" s="14" t="n">
        <x:v>46180</x:v>
      </x:c>
      <x:c r="D494" s="12" t="str">
        <x:v>Minggu</x:v>
      </x:c>
      <x:c r="E494" s="12" t="str">
        <x:v>13:15:00</x:v>
      </x:c>
      <x:c r="F494" s="12" t="str">
        <x:v>All Shift Day</x:v>
      </x:c>
      <x:c r="G494" s="12" t="str">
        <x:v>EXVV35G004</x:v>
      </x:c>
      <x:c r="H494" s="12" t="str">
        <x:v>Excavator</x:v>
      </x:c>
      <x:c r="I494" s="12" t="str">
        <x:v>EXCAVATOR VOLVO EC350D</x:v>
      </x:c>
      <x:c r="J494" s="16" t="n">
        <x:v>223</x:v>
      </x:c>
      <x:c r="K494" s="16" t="n">
        <x:v>2515.7</x:v>
      </x:c>
      <x:c r="L494" s="16" t="n">
        <x:v>2529.2</x:v>
      </x:c>
      <x:c r="M494" s="16" t="n">
        <x:v>13.5</x:v>
      </x:c>
      <x:c r="N494" s="16" t="n">
        <x:v>16.51851851851852</x:v>
      </x:c>
      <x:c r="O494" s="12" t="str">
        <x:v>FTRL44G004</x:v>
      </x:c>
      <x:c r="P494" s="12" t="str">
        <x:v>EXVV35G004</x:v>
      </x:c>
      <x:c r="Q494" s="12" t="str"/>
      <x:c r="R494" s="12" t="str"/>
      <x:c r="S494" s="12" t="str"/>
      <x:c r="T494" s="12" t="str">
        <x:v>ABM</x:v>
      </x:c>
      <x:c r="U494" s="12" t="str"/>
      <x:c r="V494" s="12" t="str"/>
      <x:c r="W494" s="12" t="str"/>
      <x:c r="X494" s="12" t="str">
        <x:v>EXVV35</x:v>
      </x:c>
      <x:c r="Y494" s="12" t="str">
        <x:v>ANDI &amp; ANGGI</x:v>
      </x:c>
      <x:c r="Z494" s="12" t="str"/>
      <x:c r="AA494" s="32" t="n">
        <x:f>IFERROR(VLOOKUP(G494,Master_Unit!$A$2:$N$78,7,FALSE),"")</x:f>
        <x:v>25</x:v>
      </x:c>
      <x:c r="AB494" s="32" t="n">
        <x:f>IF(OR(N494="",AA494=""),"",N494-AA494)</x:f>
        <x:v>-8.481481481481481</x:v>
      </x:c>
      <x:c r="AC494" s="20" t="n">
        <x:f>IF(OR(N494="",AA494="",AA494=0),"",AB494/AA494)</x:f>
        <x:v>-0.33925925925925926</x:v>
      </x:c>
      <x:c r="AD494" t="str">
        <x:f>IF(AA494="","NO STANDARD",IF(AC494&lt;=Config_Status!$B$2,"EFFICIENT",IF(AC494&lt;=Config_Status!$B$3,"NORMAL",IF(AC494&lt;=Config_Status!$B$4,"WARNING","OVER CONSUMPTION"))))</x:f>
        <x:v>EFFICIENT</x:v>
      </x:c>
      <x:c r="AE494" t="str">
        <x:f>IFERROR(VLOOKUP(G494,Master_Unit!$A$2:$N$78,13,FALSE),"UNIT NOT FOUND")</x:f>
        <x:v>Matched</x:v>
      </x:c>
    </x:row>
    <x:row r="495">
      <x:c r="A495" s="12" t="str">
        <x:v>FU-20260607-00494</x:v>
      </x:c>
      <x:c r="B495" s="12" t="n">
        <x:v>624</x:v>
      </x:c>
      <x:c r="C495" s="14" t="n">
        <x:v>46180</x:v>
      </x:c>
      <x:c r="D495" s="12" t="str">
        <x:v>Minggu</x:v>
      </x:c>
      <x:c r="E495" s="12" t="str">
        <x:v>18:09:00</x:v>
      </x:c>
      <x:c r="F495" s="12" t="str">
        <x:v>All Shift Night</x:v>
      </x:c>
      <x:c r="G495" s="12" t="str">
        <x:v>EXVV35G006</x:v>
      </x:c>
      <x:c r="H495" s="12" t="str">
        <x:v>Excavator</x:v>
      </x:c>
      <x:c r="I495" s="12" t="str">
        <x:v>EXCAVATOR VOLVO EC350D</x:v>
      </x:c>
      <x:c r="J495" s="16" t="n">
        <x:v>213</x:v>
      </x:c>
      <x:c r="K495" s="16" t="n">
        <x:v>3141.5</x:v>
      </x:c>
      <x:c r="L495" s="16" t="n">
        <x:v>3145.2</x:v>
      </x:c>
      <x:c r="M495" s="16" t="n">
        <x:v>3.699999999999818</x:v>
      </x:c>
      <x:c r="N495" s="16" t="n">
        <x:v>57.5675675675704</x:v>
      </x:c>
      <x:c r="O495" s="12" t="str">
        <x:v>FTRL44G005</x:v>
      </x:c>
      <x:c r="P495" s="12" t="str">
        <x:v>EXVV35G006</x:v>
      </x:c>
      <x:c r="Q495" s="12" t="str"/>
      <x:c r="R495" s="12" t="str"/>
      <x:c r="S495" s="12" t="str"/>
      <x:c r="T495" s="12" t="str">
        <x:v>ABM</x:v>
      </x:c>
      <x:c r="U495" s="12" t="str"/>
      <x:c r="V495" s="12" t="str"/>
      <x:c r="W495" s="12" t="str"/>
      <x:c r="X495" s="12" t="str">
        <x:v>EXVV35</x:v>
      </x:c>
      <x:c r="Y495" s="12" t="str">
        <x:v>RAFIF &amp; YOGI</x:v>
      </x:c>
      <x:c r="Z495" s="12" t="str"/>
      <x:c r="AA495" s="32" t="n">
        <x:f>IFERROR(VLOOKUP(G495,Master_Unit!$A$2:$N$78,7,FALSE),"")</x:f>
        <x:v>25</x:v>
      </x:c>
      <x:c r="AB495" s="32" t="n">
        <x:f>IF(OR(N495="",AA495=""),"",N495-AA495)</x:f>
        <x:v>32.5675675675704</x:v>
      </x:c>
      <x:c r="AC495" s="20" t="n">
        <x:f>IF(OR(N495="",AA495="",AA495=0),"",AB495/AA495)</x:f>
        <x:v>1.302702702702816</x:v>
      </x:c>
      <x:c r="AD495" t="str">
        <x:f>IF(AA495="","NO STANDARD",IF(AC495&lt;=Config_Status!$B$2,"EFFICIENT",IF(AC495&lt;=Config_Status!$B$3,"NORMAL",IF(AC495&lt;=Config_Status!$B$4,"WARNING","OVER CONSUMPTION"))))</x:f>
        <x:v>OVER CONSUMPTION</x:v>
      </x:c>
      <x:c r="AE495" t="str">
        <x:f>IFERROR(VLOOKUP(G495,Master_Unit!$A$2:$N$78,13,FALSE),"UNIT NOT FOUND")</x:f>
        <x:v>Matched</x:v>
      </x:c>
    </x:row>
    <x:row r="496">
      <x:c r="A496" s="12" t="str">
        <x:v>FU-20260607-00495</x:v>
      </x:c>
      <x:c r="B496" s="12" t="n">
        <x:v>625</x:v>
      </x:c>
      <x:c r="C496" s="14" t="n">
        <x:v>46180</x:v>
      </x:c>
      <x:c r="D496" s="12" t="str">
        <x:v>Minggu</x:v>
      </x:c>
      <x:c r="E496" s="12" t="str">
        <x:v>18:20:00</x:v>
      </x:c>
      <x:c r="F496" s="12" t="str">
        <x:v>All Shift Night</x:v>
      </x:c>
      <x:c r="G496" s="12" t="str">
        <x:v>EXVV35G004</x:v>
      </x:c>
      <x:c r="H496" s="12" t="str">
        <x:v>Excavator</x:v>
      </x:c>
      <x:c r="I496" s="12" t="str">
        <x:v>EXCAVATOR VOLVO EC350D</x:v>
      </x:c>
      <x:c r="J496" s="16" t="n">
        <x:v>213</x:v>
      </x:c>
      <x:c r="K496" s="16" t="n">
        <x:v>2529.2</x:v>
      </x:c>
      <x:c r="L496" s="16" t="n">
        <x:v>2533</x:v>
      </x:c>
      <x:c r="M496" s="16" t="n">
        <x:v>3.800000000000182</x:v>
      </x:c>
      <x:c r="N496" s="16" t="n">
        <x:v>56.052631578944684</x:v>
      </x:c>
      <x:c r="O496" s="12" t="str">
        <x:v>FTRL44G005</x:v>
      </x:c>
      <x:c r="P496" s="12" t="str">
        <x:v>EXVV35G004</x:v>
      </x:c>
      <x:c r="Q496" s="12" t="str"/>
      <x:c r="R496" s="12" t="str"/>
      <x:c r="S496" s="12" t="str"/>
      <x:c r="T496" s="12" t="str">
        <x:v>ABM</x:v>
      </x:c>
      <x:c r="U496" s="12" t="str"/>
      <x:c r="V496" s="12" t="str"/>
      <x:c r="W496" s="12" t="str"/>
      <x:c r="X496" s="12" t="str">
        <x:v>EXVV35</x:v>
      </x:c>
      <x:c r="Y496" s="12" t="str">
        <x:v>RAFIF &amp; YOGI</x:v>
      </x:c>
      <x:c r="Z496" s="12" t="str"/>
      <x:c r="AA496" s="32" t="n">
        <x:f>IFERROR(VLOOKUP(G496,Master_Unit!$A$2:$N$78,7,FALSE),"")</x:f>
        <x:v>25</x:v>
      </x:c>
      <x:c r="AB496" s="32" t="n">
        <x:f>IF(OR(N496="",AA496=""),"",N496-AA496)</x:f>
        <x:v>31.052631578944684</x:v>
      </x:c>
      <x:c r="AC496" s="20" t="n">
        <x:f>IF(OR(N496="",AA496="",AA496=0),"",AB496/AA496)</x:f>
        <x:v>1.2421052631577874</x:v>
      </x:c>
      <x:c r="AD496" t="str">
        <x:f>IF(AA496="","NO STANDARD",IF(AC496&lt;=Config_Status!$B$2,"EFFICIENT",IF(AC496&lt;=Config_Status!$B$3,"NORMAL",IF(AC496&lt;=Config_Status!$B$4,"WARNING","OVER CONSUMPTION"))))</x:f>
        <x:v>OVER CONSUMPTION</x:v>
      </x:c>
      <x:c r="AE496" t="str">
        <x:f>IFERROR(VLOOKUP(G496,Master_Unit!$A$2:$N$78,13,FALSE),"UNIT NOT FOUND")</x:f>
        <x:v>Matched</x:v>
      </x:c>
    </x:row>
    <x:row r="497">
      <x:c r="A497" s="12" t="str">
        <x:v>FU-20260607-00496</x:v>
      </x:c>
      <x:c r="B497" s="12" t="n">
        <x:v>626</x:v>
      </x:c>
      <x:c r="C497" s="14" t="n">
        <x:v>46180</x:v>
      </x:c>
      <x:c r="D497" s="12" t="str">
        <x:v>Minggu</x:v>
      </x:c>
      <x:c r="E497" s="12" t="str">
        <x:v>18:22:00</x:v>
      </x:c>
      <x:c r="F497" s="12" t="str">
        <x:v>All Shift Night</x:v>
      </x:c>
      <x:c r="G497" s="12" t="str">
        <x:v>VRVV11G013</x:v>
      </x:c>
      <x:c r="H497" s="12" t="str">
        <x:v>Compactor</x:v>
      </x:c>
      <x:c r="I497" s="12" t="str">
        <x:v>VIBRO COMPACTOR VOLVO SD110NE</x:v>
      </x:c>
      <x:c r="J497" s="16" t="n">
        <x:v>74</x:v>
      </x:c>
      <x:c r="K497" s="16" t="n">
        <x:v>3184.1</x:v>
      </x:c>
      <x:c r="L497" s="16" t="n">
        <x:v>3191.1</x:v>
      </x:c>
      <x:c r="M497" s="16" t="n">
        <x:v>7</x:v>
      </x:c>
      <x:c r="N497" s="16" t="n">
        <x:v>10.571428571428571</x:v>
      </x:c>
      <x:c r="O497" s="12" t="str">
        <x:v>FTRL44G004</x:v>
      </x:c>
      <x:c r="P497" s="12" t="str">
        <x:v>VRVV11G013</x:v>
      </x:c>
      <x:c r="Q497" s="12" t="str"/>
      <x:c r="R497" s="12" t="str"/>
      <x:c r="S497" s="12" t="str"/>
      <x:c r="T497" s="12" t="str">
        <x:v>ABM</x:v>
      </x:c>
      <x:c r="U497" s="12" t="str"/>
      <x:c r="V497" s="12" t="str"/>
      <x:c r="W497" s="12" t="str"/>
      <x:c r="X497" s="12" t="str">
        <x:v>VRVV11</x:v>
      </x:c>
      <x:c r="Y497" s="12" t="str">
        <x:v>BADRI &amp; KAMRAN</x:v>
      </x:c>
      <x:c r="Z497" s="12" t="str"/>
      <x:c r="AA497" s="32" t="n">
        <x:f>IFERROR(VLOOKUP(G497,Master_Unit!$A$2:$N$78,7,FALSE),"")</x:f>
        <x:v>15</x:v>
      </x:c>
      <x:c r="AB497" s="32" t="n">
        <x:f>IF(OR(N497="",AA497=""),"",N497-AA497)</x:f>
        <x:v>-4.428571428571429</x:v>
      </x:c>
      <x:c r="AC497" s="20" t="n">
        <x:f>IF(OR(N497="",AA497="",AA497=0),"",AB497/AA497)</x:f>
        <x:v>-0.29523809523809524</x:v>
      </x:c>
      <x:c r="AD497" t="str">
        <x:f>IF(AA497="","NO STANDARD",IF(AC497&lt;=Config_Status!$B$2,"EFFICIENT",IF(AC497&lt;=Config_Status!$B$3,"NORMAL",IF(AC497&lt;=Config_Status!$B$4,"WARNING","OVER CONSUMPTION"))))</x:f>
        <x:v>EFFICIENT</x:v>
      </x:c>
      <x:c r="AE497" t="str">
        <x:f>IFERROR(VLOOKUP(G497,Master_Unit!$A$2:$N$78,13,FALSE),"UNIT NOT FOUND")</x:f>
        <x:v>Matched</x:v>
      </x:c>
    </x:row>
    <x:row r="498">
      <x:c r="A498" s="12" t="str">
        <x:v>FU-20260607-00497</x:v>
      </x:c>
      <x:c r="B498" s="12" t="n">
        <x:v>627</x:v>
      </x:c>
      <x:c r="C498" s="14" t="n">
        <x:v>46180</x:v>
      </x:c>
      <x:c r="D498" s="12" t="str">
        <x:v>Minggu</x:v>
      </x:c>
      <x:c r="E498" s="12" t="str">
        <x:v>19:36:00</x:v>
      </x:c>
      <x:c r="F498" s="12" t="str">
        <x:v>All Shift Night</x:v>
      </x:c>
      <x:c r="G498" s="12" t="str">
        <x:v>EXVV21G041</x:v>
      </x:c>
      <x:c r="H498" s="12" t="str">
        <x:v>Excavator</x:v>
      </x:c>
      <x:c r="I498" s="12" t="str">
        <x:v>EXCAVATOR VOLVO EC210D</x:v>
      </x:c>
      <x:c r="J498" s="16" t="n">
        <x:v>173</x:v>
      </x:c>
      <x:c r="K498" s="16" t="n">
        <x:v>4481.6</x:v>
      </x:c>
      <x:c r="L498" s="16" t="n">
        <x:v>4498.8</x:v>
      </x:c>
      <x:c r="M498" s="16" t="n">
        <x:v>17.199999999999818</x:v>
      </x:c>
      <x:c r="N498" s="16" t="n">
        <x:v>10.058139534883827</x:v>
      </x:c>
      <x:c r="O498" s="12" t="str">
        <x:v>FTRL44G004</x:v>
      </x:c>
      <x:c r="P498" s="12" t="str">
        <x:v>EXVV21G041</x:v>
      </x:c>
      <x:c r="Q498" s="12" t="str"/>
      <x:c r="R498" s="12" t="str"/>
      <x:c r="S498" s="12" t="str"/>
      <x:c r="T498" s="12" t="str">
        <x:v>ABM</x:v>
      </x:c>
      <x:c r="U498" s="12" t="str"/>
      <x:c r="V498" s="12" t="str"/>
      <x:c r="W498" s="12" t="str"/>
      <x:c r="X498" s="12" t="str">
        <x:v>EXVV21</x:v>
      </x:c>
      <x:c r="Y498" s="12" t="str">
        <x:v>BADRI &amp; KAMRAN</x:v>
      </x:c>
      <x:c r="Z498" s="12" t="str"/>
      <x:c r="AA498" s="32" t="n">
        <x:f>IFERROR(VLOOKUP(G498,Master_Unit!$A$2:$N$78,7,FALSE),"")</x:f>
        <x:v>20</x:v>
      </x:c>
      <x:c r="AB498" s="32" t="n">
        <x:f>IF(OR(N498="",AA498=""),"",N498-AA498)</x:f>
        <x:v>-9.941860465116173</x:v>
      </x:c>
      <x:c r="AC498" s="20" t="n">
        <x:f>IF(OR(N498="",AA498="",AA498=0),"",AB498/AA498)</x:f>
        <x:v>-0.4970930232558087</x:v>
      </x:c>
      <x:c r="AD498" t="str">
        <x:f>IF(AA498="","NO STANDARD",IF(AC498&lt;=Config_Status!$B$2,"EFFICIENT",IF(AC498&lt;=Config_Status!$B$3,"NORMAL",IF(AC498&lt;=Config_Status!$B$4,"WARNING","OVER CONSUMPTION"))))</x:f>
        <x:v>EFFICIENT</x:v>
      </x:c>
      <x:c r="AE498" t="str">
        <x:f>IFERROR(VLOOKUP(G498,Master_Unit!$A$2:$N$78,13,FALSE),"UNIT NOT FOUND")</x:f>
        <x:v>Matched</x:v>
      </x:c>
    </x:row>
    <x:row r="499">
      <x:c r="A499" s="12" t="str">
        <x:v>FU-20260607-00498</x:v>
      </x:c>
      <x:c r="B499" s="12" t="n">
        <x:v>628</x:v>
      </x:c>
      <x:c r="C499" s="14" t="n">
        <x:v>46180</x:v>
      </x:c>
      <x:c r="D499" s="12" t="str">
        <x:v>Minggu</x:v>
      </x:c>
      <x:c r="E499" s="12" t="str">
        <x:v>20:08:00</x:v>
      </x:c>
      <x:c r="F499" s="12" t="str">
        <x:v>All Shift Night</x:v>
      </x:c>
      <x:c r="G499" s="12" t="str">
        <x:v>STRL44G138</x:v>
      </x:c>
      <x:c r="H499" s="12" t="str">
        <x:v>Dump Truck</x:v>
      </x:c>
      <x:c r="I499" s="12" t="str">
        <x:v>DUMP TRUCK RENAULT KRANGE440-P6X4 A/T</x:v>
      </x:c>
      <x:c r="J499" s="16" t="n">
        <x:v>158</x:v>
      </x:c>
      <x:c r="K499" s="16" t="n">
        <x:v>5286</x:v>
      </x:c>
      <x:c r="L499" s="16" t="n">
        <x:v>5293</x:v>
      </x:c>
      <x:c r="M499" s="16" t="n">
        <x:v>7</x:v>
      </x:c>
      <x:c r="N499" s="16" t="n">
        <x:v>22.571428571428573</x:v>
      </x:c>
      <x:c r="O499" s="12" t="str">
        <x:v>FTRL44G005</x:v>
      </x:c>
      <x:c r="P499" s="12" t="str">
        <x:v>STRL44G138</x:v>
      </x:c>
      <x:c r="Q499" s="12" t="str"/>
      <x:c r="R499" s="12" t="str"/>
      <x:c r="S499" s="12" t="str"/>
      <x:c r="T499" s="12" t="str">
        <x:v>ABM</x:v>
      </x:c>
      <x:c r="U499" s="12" t="str"/>
      <x:c r="V499" s="12" t="str"/>
      <x:c r="W499" s="12" t="str"/>
      <x:c r="X499" s="12" t="str">
        <x:v>STRL44</x:v>
      </x:c>
      <x:c r="Y499" s="12" t="str">
        <x:v>RAFIF &amp; YOGI</x:v>
      </x:c>
      <x:c r="Z499" s="12" t="str"/>
      <x:c r="AA499" s="32" t="n">
        <x:f>IFERROR(VLOOKUP(G499,Master_Unit!$A$2:$N$78,7,FALSE),"")</x:f>
        <x:v>20</x:v>
      </x:c>
      <x:c r="AB499" s="32" t="n">
        <x:f>IF(OR(N499="",AA499=""),"",N499-AA499)</x:f>
        <x:v>2.571428571428573</x:v>
      </x:c>
      <x:c r="AC499" s="20" t="n">
        <x:f>IF(OR(N499="",AA499="",AA499=0),"",AB499/AA499)</x:f>
        <x:v>0.12857142857142864</x:v>
      </x:c>
      <x:c r="AD499" t="str">
        <x:f>IF(AA499="","NO STANDARD",IF(AC499&lt;=Config_Status!$B$2,"EFFICIENT",IF(AC499&lt;=Config_Status!$B$3,"NORMAL",IF(AC499&lt;=Config_Status!$B$4,"WARNING","OVER CONSUMPTION"))))</x:f>
        <x:v>WARNING</x:v>
      </x:c>
      <x:c r="AE499" t="str">
        <x:f>IFERROR(VLOOKUP(G499,Master_Unit!$A$2:$N$78,13,FALSE),"UNIT NOT FOUND")</x:f>
        <x:v>Matched</x:v>
      </x:c>
    </x:row>
    <x:row r="500">
      <x:c r="A500" s="12" t="str">
        <x:v>FU-20260607-00499</x:v>
      </x:c>
      <x:c r="B500" s="12" t="n">
        <x:v>629</x:v>
      </x:c>
      <x:c r="C500" s="14" t="n">
        <x:v>46180</x:v>
      </x:c>
      <x:c r="D500" s="12" t="str">
        <x:v>Minggu</x:v>
      </x:c>
      <x:c r="E500" s="12" t="str">
        <x:v>20:11:00</x:v>
      </x:c>
      <x:c r="F500" s="12" t="str">
        <x:v>All Shift Night</x:v>
      </x:c>
      <x:c r="G500" s="12" t="str">
        <x:v>STRL44G153</x:v>
      </x:c>
      <x:c r="H500" s="12" t="str">
        <x:v>Dump Truck</x:v>
      </x:c>
      <x:c r="I500" s="12" t="str">
        <x:v>DUMP TRUCK RENAULT KRANGE440-P6X4 A/T</x:v>
      </x:c>
      <x:c r="J500" s="16" t="n">
        <x:v>158</x:v>
      </x:c>
      <x:c r="K500" s="16" t="n">
        <x:v>3973</x:v>
      </x:c>
      <x:c r="L500" s="16" t="n">
        <x:v>3980</x:v>
      </x:c>
      <x:c r="M500" s="16" t="n">
        <x:v>7</x:v>
      </x:c>
      <x:c r="N500" s="16" t="n">
        <x:v>22.571428571428573</x:v>
      </x:c>
      <x:c r="O500" s="12" t="str">
        <x:v>FTRL44G005</x:v>
      </x:c>
      <x:c r="P500" s="12" t="str">
        <x:v>STRL44G153</x:v>
      </x:c>
      <x:c r="Q500" s="12" t="str"/>
      <x:c r="R500" s="12" t="str"/>
      <x:c r="S500" s="12" t="str"/>
      <x:c r="T500" s="12" t="str">
        <x:v>ABM</x:v>
      </x:c>
      <x:c r="U500" s="12" t="str"/>
      <x:c r="V500" s="12" t="str"/>
      <x:c r="W500" s="12" t="str"/>
      <x:c r="X500" s="12" t="str">
        <x:v>STRL44</x:v>
      </x:c>
      <x:c r="Y500" s="12" t="str">
        <x:v>RAFIF &amp; YOGI</x:v>
      </x:c>
      <x:c r="Z500" s="12" t="str"/>
      <x:c r="AA500" s="32" t="n">
        <x:f>IFERROR(VLOOKUP(G500,Master_Unit!$A$2:$N$78,7,FALSE),"")</x:f>
        <x:v>20</x:v>
      </x:c>
      <x:c r="AB500" s="32" t="n">
        <x:f>IF(OR(N500="",AA500=""),"",N500-AA500)</x:f>
        <x:v>2.571428571428573</x:v>
      </x:c>
      <x:c r="AC500" s="20" t="n">
        <x:f>IF(OR(N500="",AA500="",AA500=0),"",AB500/AA500)</x:f>
        <x:v>0.12857142857142864</x:v>
      </x:c>
      <x:c r="AD500" t="str">
        <x:f>IF(AA500="","NO STANDARD",IF(AC500&lt;=Config_Status!$B$2,"EFFICIENT",IF(AC500&lt;=Config_Status!$B$3,"NORMAL",IF(AC500&lt;=Config_Status!$B$4,"WARNING","OVER CONSUMPTION"))))</x:f>
        <x:v>WARNING</x:v>
      </x:c>
      <x:c r="AE500" t="str">
        <x:f>IFERROR(VLOOKUP(G500,Master_Unit!$A$2:$N$78,13,FALSE),"UNIT NOT FOUND")</x:f>
        <x:v>Matched</x:v>
      </x:c>
    </x:row>
    <x:row r="501">
      <x:c r="A501" s="12" t="str">
        <x:v>FU-20260607-00500</x:v>
      </x:c>
      <x:c r="B501" s="12" t="n">
        <x:v>630</x:v>
      </x:c>
      <x:c r="C501" s="14" t="n">
        <x:v>46180</x:v>
      </x:c>
      <x:c r="D501" s="12" t="str">
        <x:v>Minggu</x:v>
      </x:c>
      <x:c r="E501" s="12" t="str">
        <x:v>20:14:00</x:v>
      </x:c>
      <x:c r="F501" s="12" t="str">
        <x:v>All Shift Night</x:v>
      </x:c>
      <x:c r="G501" s="12" t="str">
        <x:v>STRL44G140</x:v>
      </x:c>
      <x:c r="H501" s="12" t="str">
        <x:v>Dump Truck</x:v>
      </x:c>
      <x:c r="I501" s="12" t="str">
        <x:v>DUMP TRUCK RENAULT KRANGE440-P6X4 A/T</x:v>
      </x:c>
      <x:c r="J501" s="16" t="n">
        <x:v>153</x:v>
      </x:c>
      <x:c r="K501" s="16" t="n">
        <x:v>5089</x:v>
      </x:c>
      <x:c r="L501" s="16" t="n">
        <x:v>5098</x:v>
      </x:c>
      <x:c r="M501" s="16" t="n">
        <x:v>9</x:v>
      </x:c>
      <x:c r="N501" s="16" t="n">
        <x:v>17</x:v>
      </x:c>
      <x:c r="O501" s="12" t="str">
        <x:v>FTRL44G005</x:v>
      </x:c>
      <x:c r="P501" s="12" t="str">
        <x:v>STRL44G140</x:v>
      </x:c>
      <x:c r="Q501" s="12" t="str"/>
      <x:c r="R501" s="12" t="str"/>
      <x:c r="S501" s="12" t="str"/>
      <x:c r="T501" s="12" t="str">
        <x:v>ABM</x:v>
      </x:c>
      <x:c r="U501" s="12" t="str"/>
      <x:c r="V501" s="12" t="str"/>
      <x:c r="W501" s="12" t="str"/>
      <x:c r="X501" s="12" t="str">
        <x:v>STRL44</x:v>
      </x:c>
      <x:c r="Y501" s="12" t="str">
        <x:v>RAFIF &amp; YOGI</x:v>
      </x:c>
      <x:c r="Z501" s="12" t="str"/>
      <x:c r="AA501" s="32" t="n">
        <x:f>IFERROR(VLOOKUP(G501,Master_Unit!$A$2:$N$78,7,FALSE),"")</x:f>
        <x:v>20</x:v>
      </x:c>
      <x:c r="AB501" s="32" t="n">
        <x:f>IF(OR(N501="",AA501=""),"",N501-AA501)</x:f>
        <x:v>-3</x:v>
      </x:c>
      <x:c r="AC501" s="20" t="n">
        <x:f>IF(OR(N501="",AA501="",AA501=0),"",AB501/AA501)</x:f>
        <x:v>-0.15</x:v>
      </x:c>
      <x:c r="AD501" t="str">
        <x:f>IF(AA501="","NO STANDARD",IF(AC501&lt;=Config_Status!$B$2,"EFFICIENT",IF(AC501&lt;=Config_Status!$B$3,"NORMAL",IF(AC501&lt;=Config_Status!$B$4,"WARNING","OVER CONSUMPTION"))))</x:f>
        <x:v>EFFICIENT</x:v>
      </x:c>
      <x:c r="AE501" t="str">
        <x:f>IFERROR(VLOOKUP(G501,Master_Unit!$A$2:$N$78,13,FALSE),"UNIT NOT FOUND")</x:f>
        <x:v>Matched</x:v>
      </x:c>
    </x:row>
    <x:row r="502">
      <x:c r="A502" s="12" t="str">
        <x:v>FU-20260607-00501</x:v>
      </x:c>
      <x:c r="B502" s="12" t="n">
        <x:v>631</x:v>
      </x:c>
      <x:c r="C502" s="14" t="n">
        <x:v>46180</x:v>
      </x:c>
      <x:c r="D502" s="12" t="str">
        <x:v>Minggu</x:v>
      </x:c>
      <x:c r="E502" s="12" t="str">
        <x:v>20:17:00</x:v>
      </x:c>
      <x:c r="F502" s="12" t="str">
        <x:v>All Shift Night</x:v>
      </x:c>
      <x:c r="G502" s="12" t="str">
        <x:v>STRL44G139</x:v>
      </x:c>
      <x:c r="H502" s="12" t="str">
        <x:v>Dump Truck</x:v>
      </x:c>
      <x:c r="I502" s="12" t="str">
        <x:v>DUMP TRUCK RENAULT KRANGE440-P6X4 A/T</x:v>
      </x:c>
      <x:c r="J502" s="16" t="n">
        <x:v>158</x:v>
      </x:c>
      <x:c r="K502" s="16" t="n">
        <x:v>4952</x:v>
      </x:c>
      <x:c r="L502" s="16" t="n">
        <x:v>4958</x:v>
      </x:c>
      <x:c r="M502" s="16" t="n">
        <x:v>6</x:v>
      </x:c>
      <x:c r="N502" s="16" t="n">
        <x:v>26.333333333333332</x:v>
      </x:c>
      <x:c r="O502" s="12" t="str">
        <x:v>FTRL44G005</x:v>
      </x:c>
      <x:c r="P502" s="12" t="str">
        <x:v>STRL44G139</x:v>
      </x:c>
      <x:c r="Q502" s="12" t="str"/>
      <x:c r="R502" s="12" t="str"/>
      <x:c r="S502" s="12" t="str"/>
      <x:c r="T502" s="12" t="str">
        <x:v>ABM</x:v>
      </x:c>
      <x:c r="U502" s="12" t="str"/>
      <x:c r="V502" s="12" t="str"/>
      <x:c r="W502" s="12" t="str"/>
      <x:c r="X502" s="12" t="str">
        <x:v>STRL44</x:v>
      </x:c>
      <x:c r="Y502" s="12" t="str">
        <x:v>RAFIF &amp; YOGI</x:v>
      </x:c>
      <x:c r="Z502" s="12" t="str"/>
      <x:c r="AA502" s="32" t="n">
        <x:f>IFERROR(VLOOKUP(G502,Master_Unit!$A$2:$N$78,7,FALSE),"")</x:f>
        <x:v>20</x:v>
      </x:c>
      <x:c r="AB502" s="32" t="n">
        <x:f>IF(OR(N502="",AA502=""),"",N502-AA502)</x:f>
        <x:v>6.333333333333332</x:v>
      </x:c>
      <x:c r="AC502" s="20" t="n">
        <x:f>IF(OR(N502="",AA502="",AA502=0),"",AB502/AA502)</x:f>
        <x:v>0.3166666666666666</x:v>
      </x:c>
      <x:c r="AD502" t="str">
        <x:f>IF(AA502="","NO STANDARD",IF(AC502&lt;=Config_Status!$B$2,"EFFICIENT",IF(AC502&lt;=Config_Status!$B$3,"NORMAL",IF(AC502&lt;=Config_Status!$B$4,"WARNING","OVER CONSUMPTION"))))</x:f>
        <x:v>OVER CONSUMPTION</x:v>
      </x:c>
      <x:c r="AE502" t="str">
        <x:f>IFERROR(VLOOKUP(G502,Master_Unit!$A$2:$N$78,13,FALSE),"UNIT NOT FOUND")</x:f>
        <x:v>Matched</x:v>
      </x:c>
    </x:row>
    <x:row r="503">
      <x:c r="A503" s="12" t="str">
        <x:v>FU-20260607-00502</x:v>
      </x:c>
      <x:c r="B503" s="12" t="n">
        <x:v>632</x:v>
      </x:c>
      <x:c r="C503" s="14" t="n">
        <x:v>46180</x:v>
      </x:c>
      <x:c r="D503" s="12" t="str">
        <x:v>Minggu</x:v>
      </x:c>
      <x:c r="E503" s="12" t="str">
        <x:v>20:19:00</x:v>
      </x:c>
      <x:c r="F503" s="12" t="str">
        <x:v>All Shift Night</x:v>
      </x:c>
      <x:c r="G503" s="12" t="str">
        <x:v>STRL44G154</x:v>
      </x:c>
      <x:c r="H503" s="12" t="str">
        <x:v>Dump Truck</x:v>
      </x:c>
      <x:c r="I503" s="12" t="str">
        <x:v>DUMP TRUCK RENAULT KRANGE440-P6X4 A/T</x:v>
      </x:c>
      <x:c r="J503" s="16" t="n">
        <x:v>158</x:v>
      </x:c>
      <x:c r="K503" s="16" t="n">
        <x:v>4072</x:v>
      </x:c>
      <x:c r="L503" s="16" t="n">
        <x:v>4080</x:v>
      </x:c>
      <x:c r="M503" s="16" t="n">
        <x:v>8</x:v>
      </x:c>
      <x:c r="N503" s="16" t="n">
        <x:v>19.75</x:v>
      </x:c>
      <x:c r="O503" s="12" t="str">
        <x:v>FTRL44G005</x:v>
      </x:c>
      <x:c r="P503" s="12" t="str">
        <x:v>STRL44G154</x:v>
      </x:c>
      <x:c r="Q503" s="12" t="str"/>
      <x:c r="R503" s="12" t="str"/>
      <x:c r="S503" s="12" t="str"/>
      <x:c r="T503" s="12" t="str">
        <x:v>ABM</x:v>
      </x:c>
      <x:c r="U503" s="12" t="str"/>
      <x:c r="V503" s="12" t="str"/>
      <x:c r="W503" s="12" t="str"/>
      <x:c r="X503" s="12" t="str">
        <x:v>STRL44</x:v>
      </x:c>
      <x:c r="Y503" s="12" t="str">
        <x:v>RAFIF &amp; YOGI</x:v>
      </x:c>
      <x:c r="Z503" s="12" t="str"/>
      <x:c r="AA503" s="32" t="n">
        <x:f>IFERROR(VLOOKUP(G503,Master_Unit!$A$2:$N$78,7,FALSE),"")</x:f>
        <x:v>20</x:v>
      </x:c>
      <x:c r="AB503" s="32" t="n">
        <x:f>IF(OR(N503="",AA503=""),"",N503-AA503)</x:f>
        <x:v>-0.25</x:v>
      </x:c>
      <x:c r="AC503" s="20" t="n">
        <x:f>IF(OR(N503="",AA503="",AA503=0),"",AB503/AA503)</x:f>
        <x:v>-0.0125</x:v>
      </x:c>
      <x:c r="AD503" t="str">
        <x:f>IF(AA503="","NO STANDARD",IF(AC503&lt;=Config_Status!$B$2,"EFFICIENT",IF(AC503&lt;=Config_Status!$B$3,"NORMAL",IF(AC503&lt;=Config_Status!$B$4,"WARNING","OVER CONSUMPTION"))))</x:f>
        <x:v>NORMAL</x:v>
      </x:c>
      <x:c r="AE503" t="str">
        <x:f>IFERROR(VLOOKUP(G503,Master_Unit!$A$2:$N$78,13,FALSE),"UNIT NOT FOUND")</x:f>
        <x:v>Matched</x:v>
      </x:c>
    </x:row>
    <x:row r="504">
      <x:c r="A504" s="12" t="str">
        <x:v>FU-20260607-00503</x:v>
      </x:c>
      <x:c r="B504" s="12" t="n">
        <x:v>633</x:v>
      </x:c>
      <x:c r="C504" s="14" t="n">
        <x:v>46180</x:v>
      </x:c>
      <x:c r="D504" s="12" t="str">
        <x:v>Minggu</x:v>
      </x:c>
      <x:c r="E504" s="12" t="str">
        <x:v>20:22:00</x:v>
      </x:c>
      <x:c r="F504" s="12" t="str">
        <x:v>All Shift Night</x:v>
      </x:c>
      <x:c r="G504" s="12" t="str">
        <x:v>STRL44G157</x:v>
      </x:c>
      <x:c r="H504" s="12" t="str">
        <x:v>Dump Truck</x:v>
      </x:c>
      <x:c r="I504" s="12" t="str">
        <x:v>DUMP TRUCK RENAULT KRANGE440-P6X4 A/T</x:v>
      </x:c>
      <x:c r="J504" s="16" t="n">
        <x:v>158</x:v>
      </x:c>
      <x:c r="K504" s="16" t="n">
        <x:v>4045</x:v>
      </x:c>
      <x:c r="L504" s="16" t="n">
        <x:v>4052</x:v>
      </x:c>
      <x:c r="M504" s="16" t="n">
        <x:v>7</x:v>
      </x:c>
      <x:c r="N504" s="16" t="n">
        <x:v>22.571428571428573</x:v>
      </x:c>
      <x:c r="O504" s="12" t="str">
        <x:v>FTRL44G005</x:v>
      </x:c>
      <x:c r="P504" s="12" t="str">
        <x:v>STRL44G157</x:v>
      </x:c>
      <x:c r="Q504" s="12" t="str"/>
      <x:c r="R504" s="12" t="str"/>
      <x:c r="S504" s="12" t="str"/>
      <x:c r="T504" s="12" t="str">
        <x:v>ABM</x:v>
      </x:c>
      <x:c r="U504" s="12" t="str"/>
      <x:c r="V504" s="12" t="str"/>
      <x:c r="W504" s="12" t="str"/>
      <x:c r="X504" s="12" t="str">
        <x:v>STRL44</x:v>
      </x:c>
      <x:c r="Y504" s="12" t="str">
        <x:v>RAFIF &amp; YOGI</x:v>
      </x:c>
      <x:c r="Z504" s="12" t="str"/>
      <x:c r="AA504" s="32" t="n">
        <x:f>IFERROR(VLOOKUP(G504,Master_Unit!$A$2:$N$78,7,FALSE),"")</x:f>
        <x:v>20</x:v>
      </x:c>
      <x:c r="AB504" s="32" t="n">
        <x:f>IF(OR(N504="",AA504=""),"",N504-AA504)</x:f>
        <x:v>2.571428571428573</x:v>
      </x:c>
      <x:c r="AC504" s="20" t="n">
        <x:f>IF(OR(N504="",AA504="",AA504=0),"",AB504/AA504)</x:f>
        <x:v>0.12857142857142864</x:v>
      </x:c>
      <x:c r="AD504" t="str">
        <x:f>IF(AA504="","NO STANDARD",IF(AC504&lt;=Config_Status!$B$2,"EFFICIENT",IF(AC504&lt;=Config_Status!$B$3,"NORMAL",IF(AC504&lt;=Config_Status!$B$4,"WARNING","OVER CONSUMPTION"))))</x:f>
        <x:v>WARNING</x:v>
      </x:c>
      <x:c r="AE504" t="str">
        <x:f>IFERROR(VLOOKUP(G504,Master_Unit!$A$2:$N$78,13,FALSE),"UNIT NOT FOUND")</x:f>
        <x:v>Matched</x:v>
      </x:c>
    </x:row>
    <x:row r="505">
      <x:c r="A505" s="12" t="str">
        <x:v>FU-20260607-00504</x:v>
      </x:c>
      <x:c r="B505" s="12" t="n">
        <x:v>634</x:v>
      </x:c>
      <x:c r="C505" s="14" t="n">
        <x:v>46180</x:v>
      </x:c>
      <x:c r="D505" s="12" t="str">
        <x:v>Minggu</x:v>
      </x:c>
      <x:c r="E505" s="12" t="str">
        <x:v>20:27:00</x:v>
      </x:c>
      <x:c r="F505" s="12" t="str">
        <x:v>All Shift Night</x:v>
      </x:c>
      <x:c r="G505" s="12" t="str">
        <x:v>STRL44G149</x:v>
      </x:c>
      <x:c r="H505" s="12" t="str">
        <x:v>Dump Truck</x:v>
      </x:c>
      <x:c r="I505" s="12" t="str">
        <x:v>DUMP TRUCK RENAULT KRANGE440-P6X4 A/T</x:v>
      </x:c>
      <x:c r="J505" s="16" t="n">
        <x:v>158</x:v>
      </x:c>
      <x:c r="K505" s="16" t="n">
        <x:v>4275</x:v>
      </x:c>
      <x:c r="L505" s="16" t="n">
        <x:v>4283</x:v>
      </x:c>
      <x:c r="M505" s="16" t="n">
        <x:v>8</x:v>
      </x:c>
      <x:c r="N505" s="16" t="n">
        <x:v>19.75</x:v>
      </x:c>
      <x:c r="O505" s="12" t="str">
        <x:v>FTRL44G005</x:v>
      </x:c>
      <x:c r="P505" s="12" t="str">
        <x:v>STRL44G149</x:v>
      </x:c>
      <x:c r="Q505" s="12" t="str"/>
      <x:c r="R505" s="12" t="str"/>
      <x:c r="S505" s="12" t="str"/>
      <x:c r="T505" s="12" t="str">
        <x:v>ABM</x:v>
      </x:c>
      <x:c r="U505" s="12" t="str"/>
      <x:c r="V505" s="12" t="str"/>
      <x:c r="W505" s="12" t="str"/>
      <x:c r="X505" s="12" t="str">
        <x:v>STRL44</x:v>
      </x:c>
      <x:c r="Y505" s="12" t="str">
        <x:v>RAFIF &amp; YOGI</x:v>
      </x:c>
      <x:c r="Z505" s="12" t="str"/>
      <x:c r="AA505" s="32" t="n">
        <x:f>IFERROR(VLOOKUP(G505,Master_Unit!$A$2:$N$78,7,FALSE),"")</x:f>
        <x:v>20</x:v>
      </x:c>
      <x:c r="AB505" s="32" t="n">
        <x:f>IF(OR(N505="",AA505=""),"",N505-AA505)</x:f>
        <x:v>-0.25</x:v>
      </x:c>
      <x:c r="AC505" s="20" t="n">
        <x:f>IF(OR(N505="",AA505="",AA505=0),"",AB505/AA505)</x:f>
        <x:v>-0.0125</x:v>
      </x:c>
      <x:c r="AD505" t="str">
        <x:f>IF(AA505="","NO STANDARD",IF(AC505&lt;=Config_Status!$B$2,"EFFICIENT",IF(AC505&lt;=Config_Status!$B$3,"NORMAL",IF(AC505&lt;=Config_Status!$B$4,"WARNING","OVER CONSUMPTION"))))</x:f>
        <x:v>NORMAL</x:v>
      </x:c>
      <x:c r="AE505" t="str">
        <x:f>IFERROR(VLOOKUP(G505,Master_Unit!$A$2:$N$78,13,FALSE),"UNIT NOT FOUND")</x:f>
        <x:v>Matched</x:v>
      </x:c>
    </x:row>
    <x:row r="506">
      <x:c r="A506" s="12" t="str">
        <x:v>FU-20260607-00505</x:v>
      </x:c>
      <x:c r="B506" s="12" t="n">
        <x:v>635</x:v>
      </x:c>
      <x:c r="C506" s="14" t="n">
        <x:v>46180</x:v>
      </x:c>
      <x:c r="D506" s="12" t="str">
        <x:v>Minggu</x:v>
      </x:c>
      <x:c r="E506" s="12" t="str">
        <x:v>20:29:00</x:v>
      </x:c>
      <x:c r="F506" s="12" t="str">
        <x:v>All Shift Night</x:v>
      </x:c>
      <x:c r="G506" s="12" t="str">
        <x:v>STRL44G152</x:v>
      </x:c>
      <x:c r="H506" s="12" t="str">
        <x:v>Dump Truck</x:v>
      </x:c>
      <x:c r="I506" s="12" t="str">
        <x:v>DUMP TRUCK RENAULT KRANGE440-P6X4 A/T</x:v>
      </x:c>
      <x:c r="J506" s="16" t="n">
        <x:v>154</x:v>
      </x:c>
      <x:c r="K506" s="16" t="n">
        <x:v>3681</x:v>
      </x:c>
      <x:c r="L506" s="16" t="n">
        <x:v>3689</x:v>
      </x:c>
      <x:c r="M506" s="16" t="n">
        <x:v>8</x:v>
      </x:c>
      <x:c r="N506" s="16" t="n">
        <x:v>19.25</x:v>
      </x:c>
      <x:c r="O506" s="12" t="str">
        <x:v>FTRL44G005</x:v>
      </x:c>
      <x:c r="P506" s="12" t="str">
        <x:v>STRL44G152</x:v>
      </x:c>
      <x:c r="Q506" s="12" t="str"/>
      <x:c r="R506" s="12" t="str"/>
      <x:c r="S506" s="12" t="str"/>
      <x:c r="T506" s="12" t="str">
        <x:v>ABM</x:v>
      </x:c>
      <x:c r="U506" s="12" t="str"/>
      <x:c r="V506" s="12" t="str"/>
      <x:c r="W506" s="12" t="str"/>
      <x:c r="X506" s="12" t="str">
        <x:v>STRL44</x:v>
      </x:c>
      <x:c r="Y506" s="12" t="str">
        <x:v>RAFIF &amp; YOGI</x:v>
      </x:c>
      <x:c r="Z506" s="12" t="str"/>
      <x:c r="AA506" s="32" t="n">
        <x:f>IFERROR(VLOOKUP(G506,Master_Unit!$A$2:$N$78,7,FALSE),"")</x:f>
        <x:v>20</x:v>
      </x:c>
      <x:c r="AB506" s="32" t="n">
        <x:f>IF(OR(N506="",AA506=""),"",N506-AA506)</x:f>
        <x:v>-0.75</x:v>
      </x:c>
      <x:c r="AC506" s="20" t="n">
        <x:f>IF(OR(N506="",AA506="",AA506=0),"",AB506/AA506)</x:f>
        <x:v>-0.0375</x:v>
      </x:c>
      <x:c r="AD506" t="str">
        <x:f>IF(AA506="","NO STANDARD",IF(AC506&lt;=Config_Status!$B$2,"EFFICIENT",IF(AC506&lt;=Config_Status!$B$3,"NORMAL",IF(AC506&lt;=Config_Status!$B$4,"WARNING","OVER CONSUMPTION"))))</x:f>
        <x:v>NORMAL</x:v>
      </x:c>
      <x:c r="AE506" t="str">
        <x:f>IFERROR(VLOOKUP(G506,Master_Unit!$A$2:$N$78,13,FALSE),"UNIT NOT FOUND")</x:f>
        <x:v>Matched</x:v>
      </x:c>
    </x:row>
    <x:row r="507">
      <x:c r="A507" s="12" t="str">
        <x:v>FU-20260607-00506</x:v>
      </x:c>
      <x:c r="B507" s="12" t="n">
        <x:v>636</x:v>
      </x:c>
      <x:c r="C507" s="14" t="n">
        <x:v>46180</x:v>
      </x:c>
      <x:c r="D507" s="12" t="str">
        <x:v>Minggu</x:v>
      </x:c>
      <x:c r="E507" s="12" t="str">
        <x:v>20:32:00</x:v>
      </x:c>
      <x:c r="F507" s="12" t="str">
        <x:v>All Shift Night</x:v>
      </x:c>
      <x:c r="G507" s="12" t="str">
        <x:v>STRL44G151</x:v>
      </x:c>
      <x:c r="H507" s="12" t="str">
        <x:v>Dump Truck</x:v>
      </x:c>
      <x:c r="I507" s="12" t="str">
        <x:v>DUMP TRUCK RENAULT KRANGE440-P6X4 A/T</x:v>
      </x:c>
      <x:c r="J507" s="16" t="n">
        <x:v>159</x:v>
      </x:c>
      <x:c r="K507" s="16" t="n">
        <x:v>4377</x:v>
      </x:c>
      <x:c r="L507" s="16" t="n">
        <x:v>4385</x:v>
      </x:c>
      <x:c r="M507" s="16" t="n">
        <x:v>8</x:v>
      </x:c>
      <x:c r="N507" s="16" t="n">
        <x:v>19.875</x:v>
      </x:c>
      <x:c r="O507" s="12" t="str">
        <x:v>FTRL44G005</x:v>
      </x:c>
      <x:c r="P507" s="12" t="str">
        <x:v>STRL44G151</x:v>
      </x:c>
      <x:c r="Q507" s="12" t="str"/>
      <x:c r="R507" s="12" t="str"/>
      <x:c r="S507" s="12" t="str"/>
      <x:c r="T507" s="12" t="str">
        <x:v>ABM</x:v>
      </x:c>
      <x:c r="U507" s="12" t="str"/>
      <x:c r="V507" s="12" t="str"/>
      <x:c r="W507" s="12" t="str"/>
      <x:c r="X507" s="12" t="str">
        <x:v>STRL44</x:v>
      </x:c>
      <x:c r="Y507" s="12" t="str">
        <x:v>RAFIF &amp; YOGI</x:v>
      </x:c>
      <x:c r="Z507" s="12" t="str"/>
      <x:c r="AA507" s="32" t="n">
        <x:f>IFERROR(VLOOKUP(G507,Master_Unit!$A$2:$N$78,7,FALSE),"")</x:f>
        <x:v>20</x:v>
      </x:c>
      <x:c r="AB507" s="32" t="n">
        <x:f>IF(OR(N507="",AA507=""),"",N507-AA507)</x:f>
        <x:v>-0.125</x:v>
      </x:c>
      <x:c r="AC507" s="20" t="n">
        <x:f>IF(OR(N507="",AA507="",AA507=0),"",AB507/AA507)</x:f>
        <x:v>-0.00625</x:v>
      </x:c>
      <x:c r="AD507" t="str">
        <x:f>IF(AA507="","NO STANDARD",IF(AC507&lt;=Config_Status!$B$2,"EFFICIENT",IF(AC507&lt;=Config_Status!$B$3,"NORMAL",IF(AC507&lt;=Config_Status!$B$4,"WARNING","OVER CONSUMPTION"))))</x:f>
        <x:v>NORMAL</x:v>
      </x:c>
      <x:c r="AE507" t="str">
        <x:f>IFERROR(VLOOKUP(G507,Master_Unit!$A$2:$N$78,13,FALSE),"UNIT NOT FOUND")</x:f>
        <x:v>Matched</x:v>
      </x:c>
    </x:row>
    <x:row r="508">
      <x:c r="A508" s="12" t="str">
        <x:v>FU-20260607-00507</x:v>
      </x:c>
      <x:c r="B508" s="12" t="n">
        <x:v>637</x:v>
      </x:c>
      <x:c r="C508" s="14" t="n">
        <x:v>46180</x:v>
      </x:c>
      <x:c r="D508" s="12" t="str">
        <x:v>Minggu</x:v>
      </x:c>
      <x:c r="E508" s="12" t="str">
        <x:v>20:46:00</x:v>
      </x:c>
      <x:c r="F508" s="12" t="str">
        <x:v>All Shift Night</x:v>
      </x:c>
      <x:c r="G508" s="12" t="str">
        <x:v>STRL44G144</x:v>
      </x:c>
      <x:c r="H508" s="12" t="str">
        <x:v>Dump Truck</x:v>
      </x:c>
      <x:c r="I508" s="12" t="str">
        <x:v>DUMP TRUCK RENAULT KRANGE440-P6X4 A/T</x:v>
      </x:c>
      <x:c r="J508" s="16" t="n">
        <x:v>153</x:v>
      </x:c>
      <x:c r="K508" s="16" t="n">
        <x:v>1510</x:v>
      </x:c>
      <x:c r="L508" s="16" t="n">
        <x:v>1518</x:v>
      </x:c>
      <x:c r="M508" s="16" t="n">
        <x:v>8</x:v>
      </x:c>
      <x:c r="N508" s="16" t="n">
        <x:v>19.125</x:v>
      </x:c>
      <x:c r="O508" s="12" t="str">
        <x:v>FTRL44G005</x:v>
      </x:c>
      <x:c r="P508" s="12" t="str">
        <x:v>STRL44G144</x:v>
      </x:c>
      <x:c r="Q508" s="12" t="str"/>
      <x:c r="R508" s="12" t="str"/>
      <x:c r="S508" s="12" t="str"/>
      <x:c r="T508" s="12" t="str">
        <x:v>ABM</x:v>
      </x:c>
      <x:c r="U508" s="12" t="str"/>
      <x:c r="V508" s="12" t="str"/>
      <x:c r="W508" s="12" t="str"/>
      <x:c r="X508" s="12" t="str">
        <x:v>STRL44</x:v>
      </x:c>
      <x:c r="Y508" s="12" t="str">
        <x:v>RAFIF &amp; YOGI</x:v>
      </x:c>
      <x:c r="Z508" s="12" t="str"/>
      <x:c r="AA508" s="32" t="n">
        <x:f>IFERROR(VLOOKUP(G508,Master_Unit!$A$2:$N$78,7,FALSE),"")</x:f>
        <x:v>20</x:v>
      </x:c>
      <x:c r="AB508" s="32" t="n">
        <x:f>IF(OR(N508="",AA508=""),"",N508-AA508)</x:f>
        <x:v>-0.875</x:v>
      </x:c>
      <x:c r="AC508" s="20" t="n">
        <x:f>IF(OR(N508="",AA508="",AA508=0),"",AB508/AA508)</x:f>
        <x:v>-0.04375</x:v>
      </x:c>
      <x:c r="AD508" t="str">
        <x:f>IF(AA508="","NO STANDARD",IF(AC508&lt;=Config_Status!$B$2,"EFFICIENT",IF(AC508&lt;=Config_Status!$B$3,"NORMAL",IF(AC508&lt;=Config_Status!$B$4,"WARNING","OVER CONSUMPTION"))))</x:f>
        <x:v>NORMAL</x:v>
      </x:c>
      <x:c r="AE508" t="str">
        <x:f>IFERROR(VLOOKUP(G508,Master_Unit!$A$2:$N$78,13,FALSE),"UNIT NOT FOUND")</x:f>
        <x:v>Matched</x:v>
      </x:c>
    </x:row>
    <x:row r="509">
      <x:c r="A509" s="12" t="str">
        <x:v>FU-20260607-00508</x:v>
      </x:c>
      <x:c r="B509" s="12" t="n">
        <x:v>638</x:v>
      </x:c>
      <x:c r="C509" s="14" t="n">
        <x:v>46180</x:v>
      </x:c>
      <x:c r="D509" s="12" t="str">
        <x:v>Minggu</x:v>
      </x:c>
      <x:c r="E509" s="12" t="str">
        <x:v>20:48:00</x:v>
      </x:c>
      <x:c r="F509" s="12" t="str">
        <x:v>All Shift Night</x:v>
      </x:c>
      <x:c r="G509" s="12" t="str">
        <x:v>STRL44G145</x:v>
      </x:c>
      <x:c r="H509" s="12" t="str">
        <x:v>Dump Truck</x:v>
      </x:c>
      <x:c r="I509" s="12" t="str">
        <x:v>DUMP TRUCK RENAULT KRANGE440-P6X4 A/T</x:v>
      </x:c>
      <x:c r="J509" s="16" t="n">
        <x:v>153</x:v>
      </x:c>
      <x:c r="K509" s="16" t="n">
        <x:v>4926</x:v>
      </x:c>
      <x:c r="L509" s="16" t="n">
        <x:v>4933</x:v>
      </x:c>
      <x:c r="M509" s="16" t="n">
        <x:v>7</x:v>
      </x:c>
      <x:c r="N509" s="16" t="n">
        <x:v>21.857142857142858</x:v>
      </x:c>
      <x:c r="O509" s="12" t="str">
        <x:v>FTRL44G005</x:v>
      </x:c>
      <x:c r="P509" s="12" t="str">
        <x:v>STRL44G145</x:v>
      </x:c>
      <x:c r="Q509" s="12" t="str"/>
      <x:c r="R509" s="12" t="str"/>
      <x:c r="S509" s="12" t="str"/>
      <x:c r="T509" s="12" t="str">
        <x:v>ABM</x:v>
      </x:c>
      <x:c r="U509" s="12" t="str"/>
      <x:c r="V509" s="12" t="str"/>
      <x:c r="W509" s="12" t="str"/>
      <x:c r="X509" s="12" t="str">
        <x:v>STRL44</x:v>
      </x:c>
      <x:c r="Y509" s="12" t="str">
        <x:v>RAFIF &amp; YOGI</x:v>
      </x:c>
      <x:c r="Z509" s="12" t="str"/>
      <x:c r="AA509" s="32" t="n">
        <x:f>IFERROR(VLOOKUP(G509,Master_Unit!$A$2:$N$78,7,FALSE),"")</x:f>
        <x:v>20</x:v>
      </x:c>
      <x:c r="AB509" s="32" t="n">
        <x:f>IF(OR(N509="",AA509=""),"",N509-AA509)</x:f>
        <x:v>1.8571428571428577</x:v>
      </x:c>
      <x:c r="AC509" s="20" t="n">
        <x:f>IF(OR(N509="",AA509="",AA509=0),"",AB509/AA509)</x:f>
        <x:v>0.09285714285714289</x:v>
      </x:c>
      <x:c r="AD509" t="str">
        <x:f>IF(AA509="","NO STANDARD",IF(AC509&lt;=Config_Status!$B$2,"EFFICIENT",IF(AC509&lt;=Config_Status!$B$3,"NORMAL",IF(AC509&lt;=Config_Status!$B$4,"WARNING","OVER CONSUMPTION"))))</x:f>
        <x:v>NORMAL</x:v>
      </x:c>
      <x:c r="AE509" t="str">
        <x:f>IFERROR(VLOOKUP(G509,Master_Unit!$A$2:$N$78,13,FALSE),"UNIT NOT FOUND")</x:f>
        <x:v>Matched</x:v>
      </x:c>
    </x:row>
    <x:row r="510">
      <x:c r="A510" s="12" t="str">
        <x:v>FU-20260607-00509</x:v>
      </x:c>
      <x:c r="B510" s="12" t="n">
        <x:v>639</x:v>
      </x:c>
      <x:c r="C510" s="14" t="n">
        <x:v>46180</x:v>
      </x:c>
      <x:c r="D510" s="12" t="str">
        <x:v>Minggu</x:v>
      </x:c>
      <x:c r="E510" s="12" t="str">
        <x:v>20:59:00</x:v>
      </x:c>
      <x:c r="F510" s="12" t="str">
        <x:v>All Shift Night</x:v>
      </x:c>
      <x:c r="G510" s="12" t="str">
        <x:v>STRL44G147</x:v>
      </x:c>
      <x:c r="H510" s="12" t="str">
        <x:v>Dump Truck</x:v>
      </x:c>
      <x:c r="I510" s="12" t="str">
        <x:v>DUMP TRUCK RENAULT KRANGE440-P6X4 A/T</x:v>
      </x:c>
      <x:c r="J510" s="16" t="n">
        <x:v>153</x:v>
      </x:c>
      <x:c r="K510" s="16" t="n">
        <x:v>4997</x:v>
      </x:c>
      <x:c r="L510" s="16" t="n">
        <x:v>5005</x:v>
      </x:c>
      <x:c r="M510" s="16" t="n">
        <x:v>8</x:v>
      </x:c>
      <x:c r="N510" s="16" t="n">
        <x:v>19.125</x:v>
      </x:c>
      <x:c r="O510" s="12" t="str">
        <x:v>FTRL44G005</x:v>
      </x:c>
      <x:c r="P510" s="12" t="str">
        <x:v>STRL44G147</x:v>
      </x:c>
      <x:c r="Q510" s="12" t="str"/>
      <x:c r="R510" s="12" t="str"/>
      <x:c r="S510" s="12" t="str"/>
      <x:c r="T510" s="12" t="str">
        <x:v>ABM</x:v>
      </x:c>
      <x:c r="U510" s="12" t="str"/>
      <x:c r="V510" s="12" t="str"/>
      <x:c r="W510" s="12" t="str"/>
      <x:c r="X510" s="12" t="str">
        <x:v>STRL44</x:v>
      </x:c>
      <x:c r="Y510" s="12" t="str">
        <x:v>RAFIF &amp; YOGI</x:v>
      </x:c>
      <x:c r="Z510" s="12" t="str"/>
      <x:c r="AA510" s="32" t="n">
        <x:f>IFERROR(VLOOKUP(G510,Master_Unit!$A$2:$N$78,7,FALSE),"")</x:f>
        <x:v>20</x:v>
      </x:c>
      <x:c r="AB510" s="32" t="n">
        <x:f>IF(OR(N510="",AA510=""),"",N510-AA510)</x:f>
        <x:v>-0.875</x:v>
      </x:c>
      <x:c r="AC510" s="20" t="n">
        <x:f>IF(OR(N510="",AA510="",AA510=0),"",AB510/AA510)</x:f>
        <x:v>-0.04375</x:v>
      </x:c>
      <x:c r="AD510" t="str">
        <x:f>IF(AA510="","NO STANDARD",IF(AC510&lt;=Config_Status!$B$2,"EFFICIENT",IF(AC510&lt;=Config_Status!$B$3,"NORMAL",IF(AC510&lt;=Config_Status!$B$4,"WARNING","OVER CONSUMPTION"))))</x:f>
        <x:v>NORMAL</x:v>
      </x:c>
      <x:c r="AE510" t="str">
        <x:f>IFERROR(VLOOKUP(G510,Master_Unit!$A$2:$N$78,13,FALSE),"UNIT NOT FOUND")</x:f>
        <x:v>Matched</x:v>
      </x:c>
    </x:row>
    <x:row r="511">
      <x:c r="A511" s="12" t="str">
        <x:v>FU-20260607-00510</x:v>
      </x:c>
      <x:c r="B511" s="12" t="n">
        <x:v>640</x:v>
      </x:c>
      <x:c r="C511" s="14" t="n">
        <x:v>46180</x:v>
      </x:c>
      <x:c r="D511" s="12" t="str">
        <x:v>Minggu</x:v>
      </x:c>
      <x:c r="E511" s="12" t="str">
        <x:v>21:04:00</x:v>
      </x:c>
      <x:c r="F511" s="12" t="str">
        <x:v>All Shift Night</x:v>
      </x:c>
      <x:c r="G511" s="12" t="str">
        <x:v>STRL44G142</x:v>
      </x:c>
      <x:c r="H511" s="12" t="str">
        <x:v>Dump Truck</x:v>
      </x:c>
      <x:c r="I511" s="12" t="str">
        <x:v>DUMP TRUCK RENAULT KRANGE440-P6X4 A/T</x:v>
      </x:c>
      <x:c r="J511" s="16" t="n">
        <x:v>160</x:v>
      </x:c>
      <x:c r="K511" s="16" t="n">
        <x:v>3325</x:v>
      </x:c>
      <x:c r="L511" s="16" t="n">
        <x:v>3332</x:v>
      </x:c>
      <x:c r="M511" s="16" t="n">
        <x:v>7</x:v>
      </x:c>
      <x:c r="N511" s="16" t="n">
        <x:v>22.857142857142858</x:v>
      </x:c>
      <x:c r="O511" s="12" t="str">
        <x:v>FTRL44G004</x:v>
      </x:c>
      <x:c r="P511" s="12" t="str">
        <x:v>STRL44G142</x:v>
      </x:c>
      <x:c r="Q511" s="12" t="str"/>
      <x:c r="R511" s="12" t="str"/>
      <x:c r="S511" s="12" t="str"/>
      <x:c r="T511" s="12" t="str">
        <x:v>ABM</x:v>
      </x:c>
      <x:c r="U511" s="12" t="str"/>
      <x:c r="V511" s="12" t="str"/>
      <x:c r="W511" s="12" t="str"/>
      <x:c r="X511" s="12" t="str">
        <x:v>STRL44</x:v>
      </x:c>
      <x:c r="Y511" s="12" t="str">
        <x:v>BADRI &amp; KAMRAN</x:v>
      </x:c>
      <x:c r="Z511" s="12" t="str"/>
      <x:c r="AA511" s="32" t="n">
        <x:f>IFERROR(VLOOKUP(G511,Master_Unit!$A$2:$N$78,7,FALSE),"")</x:f>
        <x:v>20</x:v>
      </x:c>
      <x:c r="AB511" s="32" t="n">
        <x:f>IF(OR(N511="",AA511=""),"",N511-AA511)</x:f>
        <x:v>2.8571428571428577</x:v>
      </x:c>
      <x:c r="AC511" s="20" t="n">
        <x:f>IF(OR(N511="",AA511="",AA511=0),"",AB511/AA511)</x:f>
        <x:v>0.14285714285714288</x:v>
      </x:c>
      <x:c r="AD511" t="str">
        <x:f>IF(AA511="","NO STANDARD",IF(AC511&lt;=Config_Status!$B$2,"EFFICIENT",IF(AC511&lt;=Config_Status!$B$3,"NORMAL",IF(AC511&lt;=Config_Status!$B$4,"WARNING","OVER CONSUMPTION"))))</x:f>
        <x:v>WARNING</x:v>
      </x:c>
      <x:c r="AE511" t="str">
        <x:f>IFERROR(VLOOKUP(G511,Master_Unit!$A$2:$N$78,13,FALSE),"UNIT NOT FOUND")</x:f>
        <x:v>Matched</x:v>
      </x:c>
    </x:row>
    <x:row r="512">
      <x:c r="A512" s="12" t="str">
        <x:v>FU-20260607-00511</x:v>
      </x:c>
      <x:c r="B512" s="12" t="n">
        <x:v>641</x:v>
      </x:c>
      <x:c r="C512" s="14" t="n">
        <x:v>46180</x:v>
      </x:c>
      <x:c r="D512" s="12" t="str">
        <x:v>Minggu</x:v>
      </x:c>
      <x:c r="E512" s="12" t="str">
        <x:v>21:08:00</x:v>
      </x:c>
      <x:c r="F512" s="12" t="str">
        <x:v>All Shift Night</x:v>
      </x:c>
      <x:c r="G512" s="12" t="str">
        <x:v>STRL44G143</x:v>
      </x:c>
      <x:c r="H512" s="12" t="str">
        <x:v>Dump Truck</x:v>
      </x:c>
      <x:c r="I512" s="12" t="str">
        <x:v>DUMP TRUCK RENAULT KRANGE440-P6X4 A/T</x:v>
      </x:c>
      <x:c r="J512" s="16" t="n">
        <x:v>163</x:v>
      </x:c>
      <x:c r="K512" s="16" t="n">
        <x:v>5215</x:v>
      </x:c>
      <x:c r="L512" s="16" t="n">
        <x:v>5224</x:v>
      </x:c>
      <x:c r="M512" s="16" t="n">
        <x:v>9</x:v>
      </x:c>
      <x:c r="N512" s="16" t="n">
        <x:v>18.11111111111111</x:v>
      </x:c>
      <x:c r="O512" s="12" t="str">
        <x:v>FTRL44G004</x:v>
      </x:c>
      <x:c r="P512" s="12" t="str">
        <x:v>STRL44G143</x:v>
      </x:c>
      <x:c r="Q512" s="12" t="str"/>
      <x:c r="R512" s="12" t="str"/>
      <x:c r="S512" s="12" t="str"/>
      <x:c r="T512" s="12" t="str">
        <x:v>ABM</x:v>
      </x:c>
      <x:c r="U512" s="12" t="str"/>
      <x:c r="V512" s="12" t="str"/>
      <x:c r="W512" s="12" t="str"/>
      <x:c r="X512" s="12" t="str">
        <x:v>STRL44</x:v>
      </x:c>
      <x:c r="Y512" s="12" t="str">
        <x:v>BADRI &amp; KAMRAN</x:v>
      </x:c>
      <x:c r="Z512" s="12" t="str"/>
      <x:c r="AA512" s="32" t="n">
        <x:f>IFERROR(VLOOKUP(G512,Master_Unit!$A$2:$N$78,7,FALSE),"")</x:f>
        <x:v>20</x:v>
      </x:c>
      <x:c r="AB512" s="32" t="n">
        <x:f>IF(OR(N512="",AA512=""),"",N512-AA512)</x:f>
        <x:v>-1.8888888888888893</x:v>
      </x:c>
      <x:c r="AC512" s="20" t="n">
        <x:f>IF(OR(N512="",AA512="",AA512=0),"",AB512/AA512)</x:f>
        <x:v>-0.09444444444444447</x:v>
      </x:c>
      <x:c r="AD512" t="str">
        <x:f>IF(AA512="","NO STANDARD",IF(AC512&lt;=Config_Status!$B$2,"EFFICIENT",IF(AC512&lt;=Config_Status!$B$3,"NORMAL",IF(AC512&lt;=Config_Status!$B$4,"WARNING","OVER CONSUMPTION"))))</x:f>
        <x:v>NORMAL</x:v>
      </x:c>
      <x:c r="AE512" t="str">
        <x:f>IFERROR(VLOOKUP(G512,Master_Unit!$A$2:$N$78,13,FALSE),"UNIT NOT FOUND")</x:f>
        <x:v>Matched</x:v>
      </x:c>
    </x:row>
    <x:row r="513">
      <x:c r="A513" s="12" t="str">
        <x:v>FU-20260607-00512</x:v>
      </x:c>
      <x:c r="B513" s="12" t="n">
        <x:v>642</x:v>
      </x:c>
      <x:c r="C513" s="14" t="n">
        <x:v>46180</x:v>
      </x:c>
      <x:c r="D513" s="12" t="str">
        <x:v>Minggu</x:v>
      </x:c>
      <x:c r="E513" s="12" t="str">
        <x:v>21:10:00</x:v>
      </x:c>
      <x:c r="F513" s="12" t="str">
        <x:v>All Shift Night</x:v>
      </x:c>
      <x:c r="G513" s="12" t="str">
        <x:v>STRL44G155</x:v>
      </x:c>
      <x:c r="H513" s="12" t="str">
        <x:v>Dump Truck</x:v>
      </x:c>
      <x:c r="I513" s="12" t="str">
        <x:v>DUMP TRUCK RENAULT KRANGE440-P6X4 A/T</x:v>
      </x:c>
      <x:c r="J513" s="16" t="n">
        <x:v>163</x:v>
      </x:c>
      <x:c r="K513" s="16" t="n">
        <x:v>3942</x:v>
      </x:c>
      <x:c r="L513" s="16" t="n">
        <x:v>3951</x:v>
      </x:c>
      <x:c r="M513" s="16" t="n">
        <x:v>9</x:v>
      </x:c>
      <x:c r="N513" s="16" t="n">
        <x:v>18.11111111111111</x:v>
      </x:c>
      <x:c r="O513" s="12" t="str">
        <x:v>FTRL44G004</x:v>
      </x:c>
      <x:c r="P513" s="12" t="str">
        <x:v>STRL44G155</x:v>
      </x:c>
      <x:c r="Q513" s="12" t="str"/>
      <x:c r="R513" s="12" t="str"/>
      <x:c r="S513" s="12" t="str"/>
      <x:c r="T513" s="12" t="str">
        <x:v>ABM</x:v>
      </x:c>
      <x:c r="U513" s="12" t="str"/>
      <x:c r="V513" s="12" t="str"/>
      <x:c r="W513" s="12" t="str"/>
      <x:c r="X513" s="12" t="str">
        <x:v>STRL44</x:v>
      </x:c>
      <x:c r="Y513" s="12" t="str">
        <x:v>BADRI &amp; KAMRAN</x:v>
      </x:c>
      <x:c r="Z513" s="12" t="str"/>
      <x:c r="AA513" s="32" t="n">
        <x:f>IFERROR(VLOOKUP(G513,Master_Unit!$A$2:$N$78,7,FALSE),"")</x:f>
        <x:v>20</x:v>
      </x:c>
      <x:c r="AB513" s="32" t="n">
        <x:f>IF(OR(N513="",AA513=""),"",N513-AA513)</x:f>
        <x:v>-1.8888888888888893</x:v>
      </x:c>
      <x:c r="AC513" s="20" t="n">
        <x:f>IF(OR(N513="",AA513="",AA513=0),"",AB513/AA513)</x:f>
        <x:v>-0.09444444444444447</x:v>
      </x:c>
      <x:c r="AD513" t="str">
        <x:f>IF(AA513="","NO STANDARD",IF(AC513&lt;=Config_Status!$B$2,"EFFICIENT",IF(AC513&lt;=Config_Status!$B$3,"NORMAL",IF(AC513&lt;=Config_Status!$B$4,"WARNING","OVER CONSUMPTION"))))</x:f>
        <x:v>NORMAL</x:v>
      </x:c>
      <x:c r="AE513" t="str">
        <x:f>IFERROR(VLOOKUP(G513,Master_Unit!$A$2:$N$78,13,FALSE),"UNIT NOT FOUND")</x:f>
        <x:v>Matched</x:v>
      </x:c>
    </x:row>
    <x:row r="514">
      <x:c r="A514" s="12" t="str">
        <x:v>FU-20260607-00513</x:v>
      </x:c>
      <x:c r="B514" s="12" t="n">
        <x:v>643</x:v>
      </x:c>
      <x:c r="C514" s="14" t="n">
        <x:v>46180</x:v>
      </x:c>
      <x:c r="D514" s="12" t="str">
        <x:v>Minggu</x:v>
      </x:c>
      <x:c r="E514" s="12" t="str">
        <x:v>21:14:00</x:v>
      </x:c>
      <x:c r="F514" s="12" t="str">
        <x:v>All Shift Night</x:v>
      </x:c>
      <x:c r="G514" s="12" t="str">
        <x:v>STRL44G156</x:v>
      </x:c>
      <x:c r="H514" s="12" t="str">
        <x:v>Dump Truck</x:v>
      </x:c>
      <x:c r="I514" s="12" t="str">
        <x:v>DUMP TRUCK RENAULT KRANGE440-P6X4 A/T</x:v>
      </x:c>
      <x:c r="J514" s="16" t="n">
        <x:v>163</x:v>
      </x:c>
      <x:c r="K514" s="16" t="n">
        <x:v>3755</x:v>
      </x:c>
      <x:c r="L514" s="16" t="n">
        <x:v>3763</x:v>
      </x:c>
      <x:c r="M514" s="16" t="n">
        <x:v>8</x:v>
      </x:c>
      <x:c r="N514" s="16" t="n">
        <x:v>20.375</x:v>
      </x:c>
      <x:c r="O514" s="12" t="str">
        <x:v>FTRL44G004</x:v>
      </x:c>
      <x:c r="P514" s="12" t="str">
        <x:v>STRL44G156</x:v>
      </x:c>
      <x:c r="Q514" s="12" t="str"/>
      <x:c r="R514" s="12" t="str"/>
      <x:c r="S514" s="12" t="str"/>
      <x:c r="T514" s="12" t="str">
        <x:v>ABM</x:v>
      </x:c>
      <x:c r="U514" s="12" t="str"/>
      <x:c r="V514" s="12" t="str"/>
      <x:c r="W514" s="12" t="str"/>
      <x:c r="X514" s="12" t="str">
        <x:v>STRL44</x:v>
      </x:c>
      <x:c r="Y514" s="12" t="str">
        <x:v>BADRI &amp; KAMRAN</x:v>
      </x:c>
      <x:c r="Z514" s="12" t="str"/>
      <x:c r="AA514" s="32" t="n">
        <x:f>IFERROR(VLOOKUP(G514,Master_Unit!$A$2:$N$78,7,FALSE),"")</x:f>
        <x:v>20</x:v>
      </x:c>
      <x:c r="AB514" s="32" t="n">
        <x:f>IF(OR(N514="",AA514=""),"",N514-AA514)</x:f>
        <x:v>0.375</x:v>
      </x:c>
      <x:c r="AC514" s="20" t="n">
        <x:f>IF(OR(N514="",AA514="",AA514=0),"",AB514/AA514)</x:f>
        <x:v>0.01875</x:v>
      </x:c>
      <x:c r="AD514" t="str">
        <x:f>IF(AA514="","NO STANDARD",IF(AC514&lt;=Config_Status!$B$2,"EFFICIENT",IF(AC514&lt;=Config_Status!$B$3,"NORMAL",IF(AC514&lt;=Config_Status!$B$4,"WARNING","OVER CONSUMPTION"))))</x:f>
        <x:v>NORMAL</x:v>
      </x:c>
      <x:c r="AE514" t="str">
        <x:f>IFERROR(VLOOKUP(G514,Master_Unit!$A$2:$N$78,13,FALSE),"UNIT NOT FOUND")</x:f>
        <x:v>Matched</x:v>
      </x:c>
    </x:row>
    <x:row r="515">
      <x:c r="A515" s="12" t="str">
        <x:v>FU-20260607-00514</x:v>
      </x:c>
      <x:c r="B515" s="12" t="n">
        <x:v>644</x:v>
      </x:c>
      <x:c r="C515" s="14" t="n">
        <x:v>46180</x:v>
      </x:c>
      <x:c r="D515" s="12" t="str">
        <x:v>Minggu</x:v>
      </x:c>
      <x:c r="E515" s="12" t="str">
        <x:v>21:41:00</x:v>
      </x:c>
      <x:c r="F515" s="12" t="str">
        <x:v>All Shift Night</x:v>
      </x:c>
      <x:c r="G515" s="12" t="str">
        <x:v>EXVV21G036</x:v>
      </x:c>
      <x:c r="H515" s="12" t="str">
        <x:v>Excavator</x:v>
      </x:c>
      <x:c r="I515" s="12" t="str">
        <x:v>EXCAVATOR VOLVO EC210D</x:v>
      </x:c>
      <x:c r="J515" s="16" t="n">
        <x:v>162</x:v>
      </x:c>
      <x:c r="K515" s="16" t="n">
        <x:v>7535.2</x:v>
      </x:c>
      <x:c r="L515" s="16" t="n">
        <x:v>7541.8</x:v>
      </x:c>
      <x:c r="M515" s="16" t="n">
        <x:v>6.600000000000364</x:v>
      </x:c>
      <x:c r="N515" s="16" t="n">
        <x:v>24.545454545453193</x:v>
      </x:c>
      <x:c r="O515" s="12" t="str">
        <x:v>FTRL44G005</x:v>
      </x:c>
      <x:c r="P515" s="12" t="str">
        <x:v>EXVV21G036</x:v>
      </x:c>
      <x:c r="Q515" s="12" t="str"/>
      <x:c r="R515" s="12" t="str"/>
      <x:c r="S515" s="12" t="str"/>
      <x:c r="T515" s="12" t="str">
        <x:v>ABM</x:v>
      </x:c>
      <x:c r="U515" s="12" t="str"/>
      <x:c r="V515" s="12" t="str"/>
      <x:c r="W515" s="12" t="str"/>
      <x:c r="X515" s="12" t="str">
        <x:v>EXVV21</x:v>
      </x:c>
      <x:c r="Y515" s="12" t="str">
        <x:v>RAFIF &amp; YOGI</x:v>
      </x:c>
      <x:c r="Z515" s="12" t="str"/>
      <x:c r="AA515" s="32" t="n">
        <x:f>IFERROR(VLOOKUP(G515,Master_Unit!$A$2:$N$78,7,FALSE),"")</x:f>
        <x:v>20</x:v>
      </x:c>
      <x:c r="AB515" s="32" t="n">
        <x:f>IF(OR(N515="",AA515=""),"",N515-AA515)</x:f>
        <x:v>4.545454545453193</x:v>
      </x:c>
      <x:c r="AC515" s="20" t="n">
        <x:f>IF(OR(N515="",AA515="",AA515=0),"",AB515/AA515)</x:f>
        <x:v>0.22727272727265965</x:v>
      </x:c>
      <x:c r="AD515" t="str">
        <x:f>IF(AA515="","NO STANDARD",IF(AC515&lt;=Config_Status!$B$2,"EFFICIENT",IF(AC515&lt;=Config_Status!$B$3,"NORMAL",IF(AC515&lt;=Config_Status!$B$4,"WARNING","OVER CONSUMPTION"))))</x:f>
        <x:v>OVER CONSUMPTION</x:v>
      </x:c>
      <x:c r="AE515" t="str">
        <x:f>IFERROR(VLOOKUP(G515,Master_Unit!$A$2:$N$78,13,FALSE),"UNIT NOT FOUND")</x:f>
        <x:v>Matched</x:v>
      </x:c>
    </x:row>
    <x:row r="516">
      <x:c r="A516" s="12" t="str">
        <x:v>FU-20260607-00515</x:v>
      </x:c>
      <x:c r="B516" s="12" t="n">
        <x:v>645</x:v>
      </x:c>
      <x:c r="C516" s="14" t="n">
        <x:v>46180</x:v>
      </x:c>
      <x:c r="D516" s="12" t="str">
        <x:v>Minggu</x:v>
      </x:c>
      <x:c r="E516" s="12" t="str">
        <x:v>18:10:00</x:v>
      </x:c>
      <x:c r="F516" s="12" t="str">
        <x:v>All Shift Night</x:v>
      </x:c>
      <x:c r="G516" s="12" t="str">
        <x:v>EXVV21G035</x:v>
      </x:c>
      <x:c r="H516" s="12" t="str">
        <x:v>Excavator</x:v>
      </x:c>
      <x:c r="I516" s="12" t="str">
        <x:v>EXCAVATOR VOLVO EC210D</x:v>
      </x:c>
      <x:c r="J516" s="16" t="n">
        <x:v>153</x:v>
      </x:c>
      <x:c r="K516" s="16" t="n">
        <x:v>8362</x:v>
      </x:c>
      <x:c r="L516" s="16" t="n">
        <x:v>8370.9</x:v>
      </x:c>
      <x:c r="M516" s="16" t="n">
        <x:v>8.899999999999636</x:v>
      </x:c>
      <x:c r="N516" s="16" t="n">
        <x:v>17.19101123595576</x:v>
      </x:c>
      <x:c r="O516" s="12" t="str">
        <x:v>FTRL44G004</x:v>
      </x:c>
      <x:c r="P516" s="12" t="str">
        <x:v>EXVV21G035</x:v>
      </x:c>
      <x:c r="Q516" s="12" t="str"/>
      <x:c r="R516" s="12" t="str"/>
      <x:c r="S516" s="12" t="str"/>
      <x:c r="T516" s="12" t="str">
        <x:v>ABM</x:v>
      </x:c>
      <x:c r="U516" s="12" t="str"/>
      <x:c r="V516" s="12" t="str"/>
      <x:c r="W516" s="12" t="str"/>
      <x:c r="X516" s="12" t="str">
        <x:v>EXVV21</x:v>
      </x:c>
      <x:c r="Y516" s="12" t="str">
        <x:v>BADRI &amp; KAMRAN</x:v>
      </x:c>
      <x:c r="Z516" s="12" t="str"/>
      <x:c r="AA516" s="32" t="n">
        <x:f>IFERROR(VLOOKUP(G516,Master_Unit!$A$2:$N$78,7,FALSE),"")</x:f>
        <x:v>20</x:v>
      </x:c>
      <x:c r="AB516" s="32" t="n">
        <x:f>IF(OR(N516="",AA516=""),"",N516-AA516)</x:f>
        <x:v>-2.8089887640442406</x:v>
      </x:c>
      <x:c r="AC516" s="20" t="n">
        <x:f>IF(OR(N516="",AA516="",AA516=0),"",AB516/AA516)</x:f>
        <x:v>-0.14044943820221203</x:v>
      </x:c>
      <x:c r="AD516" t="str">
        <x:f>IF(AA516="","NO STANDARD",IF(AC516&lt;=Config_Status!$B$2,"EFFICIENT",IF(AC516&lt;=Config_Status!$B$3,"NORMAL",IF(AC516&lt;=Config_Status!$B$4,"WARNING","OVER CONSUMPTION"))))</x:f>
        <x:v>EFFICIENT</x:v>
      </x:c>
      <x:c r="AE516" t="str">
        <x:f>IFERROR(VLOOKUP(G516,Master_Unit!$A$2:$N$78,13,FALSE),"UNIT NOT FOUND")</x:f>
        <x:v>Matched</x:v>
      </x:c>
    </x:row>
    <x:row r="517">
      <x:c r="A517" s="12" t="str">
        <x:v>FU-20260607-00516</x:v>
      </x:c>
      <x:c r="B517" s="12" t="n">
        <x:v>646</x:v>
      </x:c>
      <x:c r="C517" s="14" t="n">
        <x:v>46180</x:v>
      </x:c>
      <x:c r="D517" s="12" t="str">
        <x:v>Minggu</x:v>
      </x:c>
      <x:c r="E517" s="12" t="str">
        <x:v>18:20:00</x:v>
      </x:c>
      <x:c r="F517" s="12" t="str">
        <x:v>All Shift Night</x:v>
      </x:c>
      <x:c r="G517" s="12" t="str">
        <x:v>EXVV21G042</x:v>
      </x:c>
      <x:c r="H517" s="12" t="str">
        <x:v>Excavator</x:v>
      </x:c>
      <x:c r="I517" s="12" t="str">
        <x:v>EXCAVATOR VOLVO EC210D</x:v>
      </x:c>
      <x:c r="J517" s="16" t="n">
        <x:v>149</x:v>
      </x:c>
      <x:c r="K517" s="16" t="n">
        <x:v>7695.7</x:v>
      </x:c>
      <x:c r="L517" s="16" t="n">
        <x:v>7701.1</x:v>
      </x:c>
      <x:c r="M517" s="16" t="n">
        <x:v>5.400000000000546</x:v>
      </x:c>
      <x:c r="N517" s="16" t="n">
        <x:v>27.592592592589803</x:v>
      </x:c>
      <x:c r="O517" s="12" t="str">
        <x:v>FTRL44G004</x:v>
      </x:c>
      <x:c r="P517" s="12" t="str">
        <x:v>EXVV21G042</x:v>
      </x:c>
      <x:c r="Q517" s="12" t="str"/>
      <x:c r="R517" s="12" t="str"/>
      <x:c r="S517" s="12" t="str"/>
      <x:c r="T517" s="12" t="str">
        <x:v>ABM</x:v>
      </x:c>
      <x:c r="U517" s="12" t="str"/>
      <x:c r="V517" s="12" t="str"/>
      <x:c r="W517" s="12" t="str"/>
      <x:c r="X517" s="12" t="str">
        <x:v>EXVV21</x:v>
      </x:c>
      <x:c r="Y517" s="12" t="str">
        <x:v>BADRI &amp; KAMRAN</x:v>
      </x:c>
      <x:c r="Z517" s="12" t="str"/>
      <x:c r="AA517" s="32" t="n">
        <x:f>IFERROR(VLOOKUP(G517,Master_Unit!$A$2:$N$78,7,FALSE),"")</x:f>
        <x:v>20</x:v>
      </x:c>
      <x:c r="AB517" s="32" t="n">
        <x:f>IF(OR(N517="",AA517=""),"",N517-AA517)</x:f>
        <x:v>7.592592592589803</x:v>
      </x:c>
      <x:c r="AC517" s="20" t="n">
        <x:f>IF(OR(N517="",AA517="",AA517=0),"",AB517/AA517)</x:f>
        <x:v>0.37962962962949015</x:v>
      </x:c>
      <x:c r="AD517" t="str">
        <x:f>IF(AA517="","NO STANDARD",IF(AC517&lt;=Config_Status!$B$2,"EFFICIENT",IF(AC517&lt;=Config_Status!$B$3,"NORMAL",IF(AC517&lt;=Config_Status!$B$4,"WARNING","OVER CONSUMPTION"))))</x:f>
        <x:v>OVER CONSUMPTION</x:v>
      </x:c>
      <x:c r="AE517" t="str">
        <x:f>IFERROR(VLOOKUP(G517,Master_Unit!$A$2:$N$78,13,FALSE),"UNIT NOT FOUND")</x:f>
        <x:v>Matched</x:v>
      </x:c>
    </x:row>
    <x:row r="518">
      <x:c r="A518" s="12" t="str">
        <x:v>FU-20260607-00517</x:v>
      </x:c>
      <x:c r="B518" s="12" t="n">
        <x:v>647</x:v>
      </x:c>
      <x:c r="C518" s="14" t="n">
        <x:v>46180</x:v>
      </x:c>
      <x:c r="D518" s="12" t="str">
        <x:v>Minggu</x:v>
      </x:c>
      <x:c r="E518" s="12" t="str">
        <x:v>18:24:00</x:v>
      </x:c>
      <x:c r="F518" s="12" t="str">
        <x:v>All Shift Night</x:v>
      </x:c>
      <x:c r="G518" s="12" t="str">
        <x:v>EXVV21G039</x:v>
      </x:c>
      <x:c r="H518" s="12" t="str">
        <x:v>Excavator</x:v>
      </x:c>
      <x:c r="I518" s="12" t="str">
        <x:v>EXCAVATOR VOLVO EC210D</x:v>
      </x:c>
      <x:c r="J518" s="16" t="n">
        <x:v>132</x:v>
      </x:c>
      <x:c r="K518" s="16" t="n">
        <x:v>6244.4</x:v>
      </x:c>
      <x:c r="L518" s="16" t="n">
        <x:v>6249.7</x:v>
      </x:c>
      <x:c r="M518" s="16" t="n">
        <x:v>5.300000000000182</x:v>
      </x:c>
      <x:c r="N518" s="16" t="n">
        <x:v>24.905660377357634</x:v>
      </x:c>
      <x:c r="O518" s="12" t="str">
        <x:v>FTRL44G004</x:v>
      </x:c>
      <x:c r="P518" s="12" t="str">
        <x:v>EXVV21G039</x:v>
      </x:c>
      <x:c r="Q518" s="12" t="str"/>
      <x:c r="R518" s="12" t="str"/>
      <x:c r="S518" s="12" t="str"/>
      <x:c r="T518" s="12" t="str">
        <x:v>ABM</x:v>
      </x:c>
      <x:c r="U518" s="12" t="str"/>
      <x:c r="V518" s="12" t="str"/>
      <x:c r="W518" s="12" t="str"/>
      <x:c r="X518" s="12" t="str">
        <x:v>EXVV21</x:v>
      </x:c>
      <x:c r="Y518" s="12" t="str">
        <x:v>BADRI &amp; KAMRAN</x:v>
      </x:c>
      <x:c r="Z518" s="12" t="str"/>
      <x:c r="AA518" s="32" t="n">
        <x:f>IFERROR(VLOOKUP(G518,Master_Unit!$A$2:$N$78,7,FALSE),"")</x:f>
        <x:v>20</x:v>
      </x:c>
      <x:c r="AB518" s="32" t="n">
        <x:f>IF(OR(N518="",AA518=""),"",N518-AA518)</x:f>
        <x:v>4.905660377357634</x:v>
      </x:c>
      <x:c r="AC518" s="20" t="n">
        <x:f>IF(OR(N518="",AA518="",AA518=0),"",AB518/AA518)</x:f>
        <x:v>0.2452830188678817</x:v>
      </x:c>
      <x:c r="AD518" t="str">
        <x:f>IF(AA518="","NO STANDARD",IF(AC518&lt;=Config_Status!$B$2,"EFFICIENT",IF(AC518&lt;=Config_Status!$B$3,"NORMAL",IF(AC518&lt;=Config_Status!$B$4,"WARNING","OVER CONSUMPTION"))))</x:f>
        <x:v>OVER CONSUMPTION</x:v>
      </x:c>
      <x:c r="AE518" t="str">
        <x:f>IFERROR(VLOOKUP(G518,Master_Unit!$A$2:$N$78,13,FALSE),"UNIT NOT FOUND")</x:f>
        <x:v>Matched</x:v>
      </x:c>
    </x:row>
    <x:row r="519">
      <x:c r="A519" s="12" t="str">
        <x:v>FU-20260607-00518</x:v>
      </x:c>
      <x:c r="B519" s="12" t="n">
        <x:v>648</x:v>
      </x:c>
      <x:c r="C519" s="14" t="n">
        <x:v>46180</x:v>
      </x:c>
      <x:c r="D519" s="12" t="str">
        <x:v>Minggu</x:v>
      </x:c>
      <x:c r="E519" s="12" t="str">
        <x:v>19:00:00</x:v>
      </x:c>
      <x:c r="F519" s="12" t="str">
        <x:v>All Shift Night</x:v>
      </x:c>
      <x:c r="G519" s="12" t="str">
        <x:v>STRL44G134</x:v>
      </x:c>
      <x:c r="H519" s="12" t="str">
        <x:v>Dump Truck</x:v>
      </x:c>
      <x:c r="I519" s="12" t="str">
        <x:v>DUMP TRUCK RENAULT KRANGE440-P6X4 A/T</x:v>
      </x:c>
      <x:c r="J519" s="16" t="n">
        <x:v>117</x:v>
      </x:c>
      <x:c r="K519" s="16" t="n">
        <x:v>5642</x:v>
      </x:c>
      <x:c r="L519" s="16" t="n">
        <x:v>5652</x:v>
      </x:c>
      <x:c r="M519" s="16" t="n">
        <x:v>10</x:v>
      </x:c>
      <x:c r="N519" s="16" t="n">
        <x:v>11.7</x:v>
      </x:c>
      <x:c r="O519" s="12" t="str">
        <x:v>FTRL44G004</x:v>
      </x:c>
      <x:c r="P519" s="12" t="str">
        <x:v>STRL44G134</x:v>
      </x:c>
      <x:c r="Q519" s="12" t="str"/>
      <x:c r="R519" s="12" t="str"/>
      <x:c r="S519" s="12" t="str"/>
      <x:c r="T519" s="12" t="str">
        <x:v>ABM</x:v>
      </x:c>
      <x:c r="U519" s="12" t="str"/>
      <x:c r="V519" s="12" t="str"/>
      <x:c r="W519" s="12" t="str"/>
      <x:c r="X519" s="12" t="str">
        <x:v>STRL44</x:v>
      </x:c>
      <x:c r="Y519" s="12" t="str">
        <x:v>BADRI &amp; KAMRAN</x:v>
      </x:c>
      <x:c r="Z519" s="12" t="str"/>
      <x:c r="AA519" s="32" t="n">
        <x:f>IFERROR(VLOOKUP(G519,Master_Unit!$A$2:$N$78,7,FALSE),"")</x:f>
        <x:v>20</x:v>
      </x:c>
      <x:c r="AB519" s="32" t="n">
        <x:f>IF(OR(N519="",AA519=""),"",N519-AA519)</x:f>
        <x:v>-8.3</x:v>
      </x:c>
      <x:c r="AC519" s="20" t="n">
        <x:f>IF(OR(N519="",AA519="",AA519=0),"",AB519/AA519)</x:f>
        <x:v>-0.41500000000000004</x:v>
      </x:c>
      <x:c r="AD519" t="str">
        <x:f>IF(AA519="","NO STANDARD",IF(AC519&lt;=Config_Status!$B$2,"EFFICIENT",IF(AC519&lt;=Config_Status!$B$3,"NORMAL",IF(AC519&lt;=Config_Status!$B$4,"WARNING","OVER CONSUMPTION"))))</x:f>
        <x:v>EFFICIENT</x:v>
      </x:c>
      <x:c r="AE519" t="str">
        <x:f>IFERROR(VLOOKUP(G519,Master_Unit!$A$2:$N$78,13,FALSE),"UNIT NOT FOUND")</x:f>
        <x:v>Matched</x:v>
      </x:c>
    </x:row>
    <x:row r="520">
      <x:c r="A520" s="12" t="str">
        <x:v>FU-20260607-00519</x:v>
      </x:c>
      <x:c r="B520" s="12" t="n">
        <x:v>649</x:v>
      </x:c>
      <x:c r="C520" s="14" t="n">
        <x:v>46180</x:v>
      </x:c>
      <x:c r="D520" s="12" t="str">
        <x:v>Minggu</x:v>
      </x:c>
      <x:c r="E520" s="12" t="str">
        <x:v>19:12:00</x:v>
      </x:c>
      <x:c r="F520" s="12" t="str">
        <x:v>All Shift Night</x:v>
      </x:c>
      <x:c r="G520" s="12" t="str">
        <x:v>BDKM85G040</x:v>
      </x:c>
      <x:c r="H520" s="12" t="str">
        <x:v>Dozer</x:v>
      </x:c>
      <x:c r="I520" s="12" t="str">
        <x:v>BULDOZER KOMATSU D85ESS-2</x:v>
      </x:c>
      <x:c r="J520" s="16" t="n">
        <x:v>105</x:v>
      </x:c>
      <x:c r="K520" s="16" t="n">
        <x:v>6228.8</x:v>
      </x:c>
      <x:c r="L520" s="16" t="n">
        <x:v>6235.2</x:v>
      </x:c>
      <x:c r="M520" s="16" t="n">
        <x:v>6.399999999999636</x:v>
      </x:c>
      <x:c r="N520" s="16" t="n">
        <x:v>16.40625000000093</x:v>
      </x:c>
      <x:c r="O520" s="12" t="str">
        <x:v>FTRL44G004</x:v>
      </x:c>
      <x:c r="P520" s="12" t="str">
        <x:v>BDKM85G040</x:v>
      </x:c>
      <x:c r="Q520" s="12" t="str"/>
      <x:c r="R520" s="12" t="str"/>
      <x:c r="S520" s="12" t="str"/>
      <x:c r="T520" s="12" t="str">
        <x:v>ABM</x:v>
      </x:c>
      <x:c r="U520" s="12" t="str"/>
      <x:c r="V520" s="12" t="str"/>
      <x:c r="W520" s="12" t="str"/>
      <x:c r="X520" s="12" t="str">
        <x:v>BDKM85</x:v>
      </x:c>
      <x:c r="Y520" s="12" t="str">
        <x:v>BADRI &amp; KAMRAN</x:v>
      </x:c>
      <x:c r="Z520" s="12" t="str"/>
      <x:c r="AA520" s="32" t="n">
        <x:f>IFERROR(VLOOKUP(G520,Master_Unit!$A$2:$N$78,7,FALSE),"")</x:f>
        <x:v>30</x:v>
      </x:c>
      <x:c r="AB520" s="32" t="n">
        <x:f>IF(OR(N520="",AA520=""),"",N520-AA520)</x:f>
        <x:v>-13.59374999999907</x:v>
      </x:c>
      <x:c r="AC520" s="20" t="n">
        <x:f>IF(OR(N520="",AA520="",AA520=0),"",AB520/AA520)</x:f>
        <x:v>-0.45312499999996897</x:v>
      </x:c>
      <x:c r="AD520" t="str">
        <x:f>IF(AA520="","NO STANDARD",IF(AC520&lt;=Config_Status!$B$2,"EFFICIENT",IF(AC520&lt;=Config_Status!$B$3,"NORMAL",IF(AC520&lt;=Config_Status!$B$4,"WARNING","OVER CONSUMPTION"))))</x:f>
        <x:v>EFFICIENT</x:v>
      </x:c>
      <x:c r="AE520" t="str">
        <x:f>IFERROR(VLOOKUP(G520,Master_Unit!$A$2:$N$78,13,FALSE),"UNIT NOT FOUND")</x:f>
        <x:v>Matched</x:v>
      </x:c>
    </x:row>
    <x:row r="521">
      <x:c r="A521" s="12" t="str">
        <x:v>FU-20260607-00520</x:v>
      </x:c>
      <x:c r="B521" s="12" t="n">
        <x:v>650</x:v>
      </x:c>
      <x:c r="C521" s="14" t="n">
        <x:v>46180</x:v>
      </x:c>
      <x:c r="D521" s="12" t="str">
        <x:v>Minggu</x:v>
      </x:c>
      <x:c r="E521" s="12" t="str">
        <x:v>19:15:00</x:v>
      </x:c>
      <x:c r="F521" s="12" t="str">
        <x:v>All Shift Night</x:v>
      </x:c>
      <x:c r="G521" s="12" t="str">
        <x:v>STRL44G136</x:v>
      </x:c>
      <x:c r="H521" s="12" t="str">
        <x:v>Dump Truck</x:v>
      </x:c>
      <x:c r="I521" s="12" t="str">
        <x:v>DUMP TRUCK RENAULT KRANGE440-P6X4 A/T</x:v>
      </x:c>
      <x:c r="J521" s="16" t="n">
        <x:v>73</x:v>
      </x:c>
      <x:c r="K521" s="16" t="n">
        <x:v>5833</x:v>
      </x:c>
      <x:c r="L521" s="16" t="n">
        <x:v>5841</x:v>
      </x:c>
      <x:c r="M521" s="16" t="n">
        <x:v>8</x:v>
      </x:c>
      <x:c r="N521" s="16" t="n">
        <x:v>9.125</x:v>
      </x:c>
      <x:c r="O521" s="12" t="str">
        <x:v>FTRL44G004</x:v>
      </x:c>
      <x:c r="P521" s="12" t="str">
        <x:v>STRL44G136</x:v>
      </x:c>
      <x:c r="Q521" s="12" t="str"/>
      <x:c r="R521" s="12" t="str"/>
      <x:c r="S521" s="12" t="str"/>
      <x:c r="T521" s="12" t="str">
        <x:v>ABM</x:v>
      </x:c>
      <x:c r="U521" s="12" t="str"/>
      <x:c r="V521" s="12" t="str"/>
      <x:c r="W521" s="12" t="str"/>
      <x:c r="X521" s="12" t="str">
        <x:v>STRL44</x:v>
      </x:c>
      <x:c r="Y521" s="12" t="str">
        <x:v>BADRI &amp; KAMRAN</x:v>
      </x:c>
      <x:c r="Z521" s="12" t="str"/>
      <x:c r="AA521" s="32" t="n">
        <x:f>IFERROR(VLOOKUP(G521,Master_Unit!$A$2:$N$78,7,FALSE),"")</x:f>
        <x:v>20</x:v>
      </x:c>
      <x:c r="AB521" s="32" t="n">
        <x:f>IF(OR(N521="",AA521=""),"",N521-AA521)</x:f>
        <x:v>-10.875</x:v>
      </x:c>
      <x:c r="AC521" s="20" t="n">
        <x:f>IF(OR(N521="",AA521="",AA521=0),"",AB521/AA521)</x:f>
        <x:v>-0.54375</x:v>
      </x:c>
      <x:c r="AD521" t="str">
        <x:f>IF(AA521="","NO STANDARD",IF(AC521&lt;=Config_Status!$B$2,"EFFICIENT",IF(AC521&lt;=Config_Status!$B$3,"NORMAL",IF(AC521&lt;=Config_Status!$B$4,"WARNING","OVER CONSUMPTION"))))</x:f>
        <x:v>EFFICIENT</x:v>
      </x:c>
      <x:c r="AE521" t="str">
        <x:f>IFERROR(VLOOKUP(G521,Master_Unit!$A$2:$N$78,13,FALSE),"UNIT NOT FOUND")</x:f>
        <x:v>Matched</x:v>
      </x:c>
    </x:row>
    <x:row r="522">
      <x:c r="A522" s="12" t="str">
        <x:v>FU-20260607-00521</x:v>
      </x:c>
      <x:c r="B522" s="12" t="n">
        <x:v>651</x:v>
      </x:c>
      <x:c r="C522" s="14" t="n">
        <x:v>46180</x:v>
      </x:c>
      <x:c r="D522" s="12" t="str">
        <x:v>Minggu</x:v>
      </x:c>
      <x:c r="E522" s="12" t="str">
        <x:v>19:28:00</x:v>
      </x:c>
      <x:c r="F522" s="12" t="str">
        <x:v>All Shift Night</x:v>
      </x:c>
      <x:c r="G522" s="12" t="str">
        <x:v>LVTH24R034</x:v>
      </x:c>
      <x:c r="H522" s="12" t="str">
        <x:v>Light Vehicle</x:v>
      </x:c>
      <x:c r="I522" s="12" t="str">
        <x:v>LIGHT VEHICLE TOYOTA HILUX</x:v>
      </x:c>
      <x:c r="J522" s="16" t="n">
        <x:v>19</x:v>
      </x:c>
      <x:c r="K522" s="16" t="n">
        <x:v>48071</x:v>
      </x:c>
      <x:c r="L522" s="16" t="n">
        <x:v>48166</x:v>
      </x:c>
      <x:c r="M522" s="16" t="n">
        <x:v>95</x:v>
      </x:c>
      <x:c r="N522" s="16" t="n">
        <x:v>0.2</x:v>
      </x:c>
      <x:c r="O522" s="12" t="str">
        <x:v>FTRL44G004</x:v>
      </x:c>
      <x:c r="P522" s="12" t="str">
        <x:v>LVTH24R034</x:v>
      </x:c>
      <x:c r="Q522" s="12" t="str"/>
      <x:c r="R522" s="12" t="str"/>
      <x:c r="S522" s="12" t="str"/>
      <x:c r="T522" s="12" t="str">
        <x:v>ABM</x:v>
      </x:c>
      <x:c r="U522" s="12" t="str"/>
      <x:c r="V522" s="12" t="str"/>
      <x:c r="W522" s="12" t="str"/>
      <x:c r="X522" s="12" t="str">
        <x:v>LVTH24</x:v>
      </x:c>
      <x:c r="Y522" s="12" t="str">
        <x:v>BADRI &amp; KAMRAN</x:v>
      </x:c>
      <x:c r="Z522" s="12" t="str"/>
      <x:c r="AA522" s="32" t="n">
        <x:f>IFERROR(VLOOKUP(G522,Master_Unit!$A$2:$N$78,7,FALSE),"")</x:f>
        <x:v>0.2</x:v>
      </x:c>
      <x:c r="AB522" s="32" t="n">
        <x:f>IF(OR(N522="",AA522=""),"",N522-AA522)</x:f>
        <x:v>0</x:v>
      </x:c>
      <x:c r="AC522" s="20" t="n">
        <x:f>IF(OR(N522="",AA522="",AA522=0),"",AB522/AA522)</x:f>
        <x:v>0</x:v>
      </x:c>
      <x:c r="AD522" t="str">
        <x:f>IF(AA522="","NO STANDARD",IF(AC522&lt;=Config_Status!$B$2,"EFFICIENT",IF(AC522&lt;=Config_Status!$B$3,"NORMAL",IF(AC522&lt;=Config_Status!$B$4,"WARNING","OVER CONSUMPTION"))))</x:f>
        <x:v>NORMAL</x:v>
      </x:c>
      <x:c r="AE522" t="str">
        <x:f>IFERROR(VLOOKUP(G522,Master_Unit!$A$2:$N$78,13,FALSE),"UNIT NOT FOUND")</x:f>
        <x:v>Matched</x:v>
      </x:c>
    </x:row>
    <x:row r="523">
      <x:c r="A523" s="12" t="str">
        <x:v>FU-20260607-00522</x:v>
      </x:c>
      <x:c r="B523" s="12" t="n">
        <x:v>652</x:v>
      </x:c>
      <x:c r="C523" s="14" t="n">
        <x:v>46180</x:v>
      </x:c>
      <x:c r="D523" s="12" t="str">
        <x:v>Minggu</x:v>
      </x:c>
      <x:c r="E523" s="12" t="str">
        <x:v>19:34:00</x:v>
      </x:c>
      <x:c r="F523" s="12" t="str">
        <x:v>All Shift Night</x:v>
      </x:c>
      <x:c r="G523" s="12" t="str">
        <x:v>EXVV21G037</x:v>
      </x:c>
      <x:c r="H523" s="12" t="str">
        <x:v>Excavator</x:v>
      </x:c>
      <x:c r="I523" s="12" t="str">
        <x:v>EXCAVATOR VOLVO EC210D</x:v>
      </x:c>
      <x:c r="J523" s="16" t="n">
        <x:v>131</x:v>
      </x:c>
      <x:c r="K523" s="16" t="n">
        <x:v>6827.7</x:v>
      </x:c>
      <x:c r="L523" s="16" t="n">
        <x:v>6834.3</x:v>
      </x:c>
      <x:c r="M523" s="16" t="n">
        <x:v>6.600000000000364</x:v>
      </x:c>
      <x:c r="N523" s="16" t="n">
        <x:v>19.848484848483753</x:v>
      </x:c>
      <x:c r="O523" s="12" t="str">
        <x:v>FTRL44G004</x:v>
      </x:c>
      <x:c r="P523" s="12" t="str">
        <x:v>EXVV21G037</x:v>
      </x:c>
      <x:c r="Q523" s="12" t="str"/>
      <x:c r="R523" s="12" t="str"/>
      <x:c r="S523" s="12" t="str"/>
      <x:c r="T523" s="12" t="str">
        <x:v>ABM</x:v>
      </x:c>
      <x:c r="U523" s="12" t="str"/>
      <x:c r="V523" s="12" t="str"/>
      <x:c r="W523" s="12" t="str"/>
      <x:c r="X523" s="12" t="str">
        <x:v>EXVV21</x:v>
      </x:c>
      <x:c r="Y523" s="12" t="str">
        <x:v>BADRI &amp; KAMRAN</x:v>
      </x:c>
      <x:c r="Z523" s="12" t="str"/>
      <x:c r="AA523" s="32" t="n">
        <x:f>IFERROR(VLOOKUP(G523,Master_Unit!$A$2:$N$78,7,FALSE),"")</x:f>
        <x:v>20</x:v>
      </x:c>
      <x:c r="AB523" s="32" t="n">
        <x:f>IF(OR(N523="",AA523=""),"",N523-AA523)</x:f>
        <x:v>-0.1515151515162465</x:v>
      </x:c>
      <x:c r="AC523" s="20" t="n">
        <x:f>IF(OR(N523="",AA523="",AA523=0),"",AB523/AA523)</x:f>
        <x:v>-0.007575757575812326</x:v>
      </x:c>
      <x:c r="AD523" t="str">
        <x:f>IF(AA523="","NO STANDARD",IF(AC523&lt;=Config_Status!$B$2,"EFFICIENT",IF(AC523&lt;=Config_Status!$B$3,"NORMAL",IF(AC523&lt;=Config_Status!$B$4,"WARNING","OVER CONSUMPTION"))))</x:f>
        <x:v>NORMAL</x:v>
      </x:c>
      <x:c r="AE523" t="str">
        <x:f>IFERROR(VLOOKUP(G523,Master_Unit!$A$2:$N$78,13,FALSE),"UNIT NOT FOUND")</x:f>
        <x:v>Matched</x:v>
      </x:c>
    </x:row>
    <x:row r="524">
      <x:c r="A524" s="12" t="str">
        <x:v>FU-20260607-00523</x:v>
      </x:c>
      <x:c r="B524" s="12" t="n">
        <x:v>653</x:v>
      </x:c>
      <x:c r="C524" s="14" t="n">
        <x:v>46180</x:v>
      </x:c>
      <x:c r="D524" s="12" t="str">
        <x:v>Minggu</x:v>
      </x:c>
      <x:c r="E524" s="12" t="str">
        <x:v>19:44:00</x:v>
      </x:c>
      <x:c r="F524" s="12" t="str">
        <x:v>All Shift Night</x:v>
      </x:c>
      <x:c r="G524" s="12" t="str">
        <x:v>EXVV21G040</x:v>
      </x:c>
      <x:c r="H524" s="12" t="str">
        <x:v>Excavator</x:v>
      </x:c>
      <x:c r="I524" s="12" t="str">
        <x:v>EXCAVATOR VOLVO EC210D</x:v>
      </x:c>
      <x:c r="J524" s="16" t="n">
        <x:v>149</x:v>
      </x:c>
      <x:c r="K524" s="16" t="n">
        <x:v>6544</x:v>
      </x:c>
      <x:c r="L524" s="16" t="n">
        <x:v>6555.2</x:v>
      </x:c>
      <x:c r="M524" s="16" t="n">
        <x:v>11.199999999999818</x:v>
      </x:c>
      <x:c r="N524" s="16" t="n">
        <x:v>13.303571428571644</x:v>
      </x:c>
      <x:c r="O524" s="12" t="str">
        <x:v>FTRL44G004</x:v>
      </x:c>
      <x:c r="P524" s="12" t="str">
        <x:v>EXVV21G040</x:v>
      </x:c>
      <x:c r="Q524" s="12" t="str"/>
      <x:c r="R524" s="12" t="str"/>
      <x:c r="S524" s="12" t="str"/>
      <x:c r="T524" s="12" t="str">
        <x:v>ABM</x:v>
      </x:c>
      <x:c r="U524" s="12" t="str"/>
      <x:c r="V524" s="12" t="str"/>
      <x:c r="W524" s="12" t="str"/>
      <x:c r="X524" s="12" t="str">
        <x:v>EXVV21</x:v>
      </x:c>
      <x:c r="Y524" s="12" t="str">
        <x:v>BADRI &amp; KAMRAN</x:v>
      </x:c>
      <x:c r="Z524" s="12" t="str"/>
      <x:c r="AA524" s="32" t="n">
        <x:f>IFERROR(VLOOKUP(G524,Master_Unit!$A$2:$N$78,7,FALSE),"")</x:f>
        <x:v>20</x:v>
      </x:c>
      <x:c r="AB524" s="32" t="n">
        <x:f>IF(OR(N524="",AA524=""),"",N524-AA524)</x:f>
        <x:v>-6.696428571428356</x:v>
      </x:c>
      <x:c r="AC524" s="20" t="n">
        <x:f>IF(OR(N524="",AA524="",AA524=0),"",AB524/AA524)</x:f>
        <x:v>-0.33482142857141783</x:v>
      </x:c>
      <x:c r="AD524" t="str">
        <x:f>IF(AA524="","NO STANDARD",IF(AC524&lt;=Config_Status!$B$2,"EFFICIENT",IF(AC524&lt;=Config_Status!$B$3,"NORMAL",IF(AC524&lt;=Config_Status!$B$4,"WARNING","OVER CONSUMPTION"))))</x:f>
        <x:v>EFFICIENT</x:v>
      </x:c>
      <x:c r="AE524" t="str">
        <x:f>IFERROR(VLOOKUP(G524,Master_Unit!$A$2:$N$78,13,FALSE),"UNIT NOT FOUND")</x:f>
        <x:v>Matched</x:v>
      </x:c>
    </x:row>
    <x:row r="525">
      <x:c r="A525" s="12" t="str">
        <x:v>FU-20260607-00524</x:v>
      </x:c>
      <x:c r="B525" s="12" t="n">
        <x:v>654</x:v>
      </x:c>
      <x:c r="C525" s="14" t="n">
        <x:v>46180</x:v>
      </x:c>
      <x:c r="D525" s="12" t="str">
        <x:v>Minggu</x:v>
      </x:c>
      <x:c r="E525" s="12" t="str">
        <x:v>23:54:00</x:v>
      </x:c>
      <x:c r="F525" s="12" t="str">
        <x:v>All Shift Night</x:v>
      </x:c>
      <x:c r="G525" s="12" t="str">
        <x:v>EXVV21G032</x:v>
      </x:c>
      <x:c r="H525" s="12" t="str">
        <x:v>Excavator</x:v>
      </x:c>
      <x:c r="I525" s="12" t="str">
        <x:v>EXCAVATOR VOLVO EC210D</x:v>
      </x:c>
      <x:c r="J525" s="16" t="n">
        <x:v>153</x:v>
      </x:c>
      <x:c r="K525" s="16" t="n">
        <x:v>7476.9</x:v>
      </x:c>
      <x:c r="L525" s="16" t="n">
        <x:v>7487.6</x:v>
      </x:c>
      <x:c r="M525" s="16" t="n">
        <x:v>10.700000000000728</x:v>
      </x:c>
      <x:c r="N525" s="16" t="n">
        <x:v>14.299065420559776</x:v>
      </x:c>
      <x:c r="O525" s="12" t="str">
        <x:v>FTRL44G004</x:v>
      </x:c>
      <x:c r="P525" s="12" t="str">
        <x:v>EXVV21G032</x:v>
      </x:c>
      <x:c r="Q525" s="12" t="str"/>
      <x:c r="R525" s="12" t="str"/>
      <x:c r="S525" s="12" t="str"/>
      <x:c r="T525" s="12" t="str">
        <x:v>ABM</x:v>
      </x:c>
      <x:c r="U525" s="12" t="str"/>
      <x:c r="V525" s="12" t="str"/>
      <x:c r="W525" s="12" t="str"/>
      <x:c r="X525" s="12" t="str">
        <x:v>EXVV21</x:v>
      </x:c>
      <x:c r="Y525" s="12" t="str">
        <x:v>BADRI &amp; KAMRAN</x:v>
      </x:c>
      <x:c r="Z525" s="12" t="str"/>
      <x:c r="AA525" s="32" t="n">
        <x:f>IFERROR(VLOOKUP(G525,Master_Unit!$A$2:$N$78,7,FALSE),"")</x:f>
        <x:v>20</x:v>
      </x:c>
      <x:c r="AB525" s="32" t="n">
        <x:f>IF(OR(N525="",AA525=""),"",N525-AA525)</x:f>
        <x:v>-5.700934579440224</x:v>
      </x:c>
      <x:c r="AC525" s="20" t="n">
        <x:f>IF(OR(N525="",AA525="",AA525=0),"",AB525/AA525)</x:f>
        <x:v>-0.2850467289720112</x:v>
      </x:c>
      <x:c r="AD525" t="str">
        <x:f>IF(AA525="","NO STANDARD",IF(AC525&lt;=Config_Status!$B$2,"EFFICIENT",IF(AC525&lt;=Config_Status!$B$3,"NORMAL",IF(AC525&lt;=Config_Status!$B$4,"WARNING","OVER CONSUMPTION"))))</x:f>
        <x:v>EFFICIENT</x:v>
      </x:c>
      <x:c r="AE525" t="str">
        <x:f>IFERROR(VLOOKUP(G525,Master_Unit!$A$2:$N$78,13,FALSE),"UNIT NOT FOUND")</x:f>
        <x:v>Matched</x:v>
      </x:c>
    </x:row>
    <x:row r="526">
      <x:c r="A526" s="12" t="str">
        <x:v>FU-20260607-00525</x:v>
      </x:c>
      <x:c r="B526" s="12" t="n">
        <x:v>655</x:v>
      </x:c>
      <x:c r="C526" s="14" t="n">
        <x:v>46180</x:v>
      </x:c>
      <x:c r="D526" s="12" t="str">
        <x:v>Minggu</x:v>
      </x:c>
      <x:c r="E526" s="12" t="str">
        <x:v>00:01:00</x:v>
      </x:c>
      <x:c r="F526" s="12" t="str">
        <x:v>All Shift Night</x:v>
      </x:c>
      <x:c r="G526" s="12" t="str">
        <x:v>EXVV35G005</x:v>
      </x:c>
      <x:c r="H526" s="12" t="str">
        <x:v>Excavator</x:v>
      </x:c>
      <x:c r="I526" s="12" t="str">
        <x:v>EXCAVATOR VOLVO EC350D</x:v>
      </x:c>
      <x:c r="J526" s="16" t="n">
        <x:v>213</x:v>
      </x:c>
      <x:c r="K526" s="16" t="n">
        <x:v>5163.9</x:v>
      </x:c>
      <x:c r="L526" s="16" t="n">
        <x:v>5172.8</x:v>
      </x:c>
      <x:c r="M526" s="16" t="n">
        <x:v>8.900000000000546</x:v>
      </x:c>
      <x:c r="N526" s="16" t="n">
        <x:v>23.932584269661454</x:v>
      </x:c>
      <x:c r="O526" s="12" t="str">
        <x:v>FTRL44G004</x:v>
      </x:c>
      <x:c r="P526" s="12" t="str">
        <x:v>EXVV35G005</x:v>
      </x:c>
      <x:c r="Q526" s="12" t="str"/>
      <x:c r="R526" s="12" t="str"/>
      <x:c r="S526" s="12" t="str"/>
      <x:c r="T526" s="12" t="str">
        <x:v>ABM</x:v>
      </x:c>
      <x:c r="U526" s="12" t="str"/>
      <x:c r="V526" s="12" t="str"/>
      <x:c r="W526" s="12" t="str"/>
      <x:c r="X526" s="12" t="str">
        <x:v>EXVV35</x:v>
      </x:c>
      <x:c r="Y526" s="12" t="str">
        <x:v>BADRI &amp; KAMRAN</x:v>
      </x:c>
      <x:c r="Z526" s="12" t="str"/>
      <x:c r="AA526" s="32" t="n">
        <x:f>IFERROR(VLOOKUP(G526,Master_Unit!$A$2:$N$78,7,FALSE),"")</x:f>
        <x:v>25</x:v>
      </x:c>
      <x:c r="AB526" s="32" t="n">
        <x:f>IF(OR(N526="",AA526=""),"",N526-AA526)</x:f>
        <x:v>-1.0674157303385456</x:v>
      </x:c>
      <x:c r="AC526" s="20" t="n">
        <x:f>IF(OR(N526="",AA526="",AA526=0),"",AB526/AA526)</x:f>
        <x:v>-0.04269662921354182</x:v>
      </x:c>
      <x:c r="AD526" t="str">
        <x:f>IF(AA526="","NO STANDARD",IF(AC526&lt;=Config_Status!$B$2,"EFFICIENT",IF(AC526&lt;=Config_Status!$B$3,"NORMAL",IF(AC526&lt;=Config_Status!$B$4,"WARNING","OVER CONSUMPTION"))))</x:f>
        <x:v>NORMAL</x:v>
      </x:c>
      <x:c r="AE526" t="str">
        <x:f>IFERROR(VLOOKUP(G526,Master_Unit!$A$2:$N$78,13,FALSE),"UNIT NOT FOUND")</x:f>
        <x:v>Matched</x:v>
      </x:c>
    </x:row>
    <x:row r="527">
      <x:c r="A527" s="12" t="str">
        <x:v>FU-20260607-00526</x:v>
      </x:c>
      <x:c r="B527" s="12" t="n">
        <x:v>656</x:v>
      </x:c>
      <x:c r="C527" s="14" t="n">
        <x:v>46180</x:v>
      </x:c>
      <x:c r="D527" s="12" t="str">
        <x:v>Minggu</x:v>
      </x:c>
      <x:c r="E527" s="12" t="str">
        <x:v>00:11:00</x:v>
      </x:c>
      <x:c r="F527" s="12" t="str">
        <x:v>All Shift Night</x:v>
      </x:c>
      <x:c r="G527" s="12" t="str">
        <x:v>EXVV35G007</x:v>
      </x:c>
      <x:c r="H527" s="12" t="str">
        <x:v>Excavator</x:v>
      </x:c>
      <x:c r="I527" s="12" t="str">
        <x:v>EXCAVATOR VOLVO EC350D</x:v>
      </x:c>
      <x:c r="J527" s="16" t="n">
        <x:v>230</x:v>
      </x:c>
      <x:c r="K527" s="16" t="n">
        <x:v>553.9</x:v>
      </x:c>
      <x:c r="L527" s="16" t="n">
        <x:v>567.1</x:v>
      </x:c>
      <x:c r="M527" s="16" t="n">
        <x:v>13.200000000000045</x:v>
      </x:c>
      <x:c r="N527" s="16" t="n">
        <x:v>17.424242424242365</x:v>
      </x:c>
      <x:c r="O527" s="12" t="str">
        <x:v>FTRL44G004</x:v>
      </x:c>
      <x:c r="P527" s="12" t="str">
        <x:v>EXVV35G007</x:v>
      </x:c>
      <x:c r="Q527" s="12" t="str"/>
      <x:c r="R527" s="12" t="str"/>
      <x:c r="S527" s="12" t="str"/>
      <x:c r="T527" s="12" t="str">
        <x:v>ABM</x:v>
      </x:c>
      <x:c r="U527" s="12" t="str"/>
      <x:c r="V527" s="12" t="str"/>
      <x:c r="W527" s="12" t="str"/>
      <x:c r="X527" s="12" t="str">
        <x:v>EXVV35</x:v>
      </x:c>
      <x:c r="Y527" s="12" t="str">
        <x:v>BADRI &amp; KAMRAN</x:v>
      </x:c>
      <x:c r="Z527" s="12" t="str"/>
      <x:c r="AA527" s="32" t="n">
        <x:f>IFERROR(VLOOKUP(G527,Master_Unit!$A$2:$N$78,7,FALSE),"")</x:f>
        <x:v>25</x:v>
      </x:c>
      <x:c r="AB527" s="32" t="n">
        <x:f>IF(OR(N527="",AA527=""),"",N527-AA527)</x:f>
        <x:v>-7.575757575757635</x:v>
      </x:c>
      <x:c r="AC527" s="20" t="n">
        <x:f>IF(OR(N527="",AA527="",AA527=0),"",AB527/AA527)</x:f>
        <x:v>-0.30303030303030537</x:v>
      </x:c>
      <x:c r="AD527" t="str">
        <x:f>IF(AA527="","NO STANDARD",IF(AC527&lt;=Config_Status!$B$2,"EFFICIENT",IF(AC527&lt;=Config_Status!$B$3,"NORMAL",IF(AC527&lt;=Config_Status!$B$4,"WARNING","OVER CONSUMPTION"))))</x:f>
        <x:v>EFFICIENT</x:v>
      </x:c>
      <x:c r="AE527" t="str">
        <x:f>IFERROR(VLOOKUP(G527,Master_Unit!$A$2:$N$78,13,FALSE),"UNIT NOT FOUND")</x:f>
        <x:v>Matched</x:v>
      </x:c>
    </x:row>
    <x:row r="528">
      <x:c r="A528" s="12" t="str">
        <x:v>FU-20260608-00527</x:v>
      </x:c>
      <x:c r="B528" s="12" t="n">
        <x:v>657</x:v>
      </x:c>
      <x:c r="C528" s="14" t="n">
        <x:v>46181</x:v>
      </x:c>
      <x:c r="D528" s="12" t="str">
        <x:v>Senin</x:v>
      </x:c>
      <x:c r="E528" s="12" t="str">
        <x:v>06:26:00</x:v>
      </x:c>
      <x:c r="F528" s="12" t="str">
        <x:v>All Shift Day</x:v>
      </x:c>
      <x:c r="G528" s="12" t="str">
        <x:v>WTRL44G006</x:v>
      </x:c>
      <x:c r="H528" s="12" t="str">
        <x:v>Water Truck</x:v>
      </x:c>
      <x:c r="I528" s="12" t="str">
        <x:v>WATER TRUCK RENAULT KRANGE440-P6X4 A/T</x:v>
      </x:c>
      <x:c r="J528" s="16" t="n">
        <x:v>100</x:v>
      </x:c>
      <x:c r="K528" s="16" t="n">
        <x:v>2021</x:v>
      </x:c>
      <x:c r="L528" s="16" t="n">
        <x:v>2029</x:v>
      </x:c>
      <x:c r="M528" s="16" t="n">
        <x:v>8</x:v>
      </x:c>
      <x:c r="N528" s="16" t="n">
        <x:v>12.5</x:v>
      </x:c>
      <x:c r="O528" s="12" t="str">
        <x:v>FTRL44G005</x:v>
      </x:c>
      <x:c r="P528" s="12" t="str">
        <x:v>WTRL44G006</x:v>
      </x:c>
      <x:c r="Q528" s="12" t="str"/>
      <x:c r="R528" s="12" t="str"/>
      <x:c r="S528" s="12" t="str"/>
      <x:c r="T528" s="12" t="str">
        <x:v>ABM</x:v>
      </x:c>
      <x:c r="U528" s="12" t="str"/>
      <x:c r="V528" s="12" t="str"/>
      <x:c r="W528" s="12" t="str"/>
      <x:c r="X528" s="12" t="str">
        <x:v>WTRL44</x:v>
      </x:c>
      <x:c r="Y528" s="12" t="str">
        <x:v>ANDI &amp; ANGGI</x:v>
      </x:c>
      <x:c r="Z528" s="12" t="str"/>
      <x:c r="AA528" s="32" t="n">
        <x:f>IFERROR(VLOOKUP(G528,Master_Unit!$A$2:$N$78,7,FALSE),"")</x:f>
        <x:v>20</x:v>
      </x:c>
      <x:c r="AB528" s="32" t="n">
        <x:f>IF(OR(N528="",AA528=""),"",N528-AA528)</x:f>
        <x:v>-7.5</x:v>
      </x:c>
      <x:c r="AC528" s="20" t="n">
        <x:f>IF(OR(N528="",AA528="",AA528=0),"",AB528/AA528)</x:f>
        <x:v>-0.375</x:v>
      </x:c>
      <x:c r="AD528" t="str">
        <x:f>IF(AA528="","NO STANDARD",IF(AC528&lt;=Config_Status!$B$2,"EFFICIENT",IF(AC528&lt;=Config_Status!$B$3,"NORMAL",IF(AC528&lt;=Config_Status!$B$4,"WARNING","OVER CONSUMPTION"))))</x:f>
        <x:v>EFFICIENT</x:v>
      </x:c>
      <x:c r="AE528" t="str">
        <x:f>IFERROR(VLOOKUP(G528,Master_Unit!$A$2:$N$78,13,FALSE),"UNIT NOT FOUND")</x:f>
        <x:v>Matched</x:v>
      </x:c>
    </x:row>
    <x:row r="529">
      <x:c r="A529" s="12" t="str">
        <x:v>FU-20260608-00528</x:v>
      </x:c>
      <x:c r="B529" s="12" t="n">
        <x:v>658</x:v>
      </x:c>
      <x:c r="C529" s="14" t="n">
        <x:v>46181</x:v>
      </x:c>
      <x:c r="D529" s="12" t="str">
        <x:v>Senin</x:v>
      </x:c>
      <x:c r="E529" s="12" t="str">
        <x:v>06:29:00</x:v>
      </x:c>
      <x:c r="F529" s="12" t="str">
        <x:v>All Shift Day</x:v>
      </x:c>
      <x:c r="G529" s="12" t="str">
        <x:v>LVTH24R026</x:v>
      </x:c>
      <x:c r="H529" s="12" t="str">
        <x:v>Light Vehicle</x:v>
      </x:c>
      <x:c r="I529" s="12" t="str">
        <x:v>LIGHT VEHICLE TOYOTA HILUX</x:v>
      </x:c>
      <x:c r="J529" s="16" t="n">
        <x:v>20</x:v>
      </x:c>
      <x:c r="K529" s="16" t="n">
        <x:v>59035</x:v>
      </x:c>
      <x:c r="L529" s="16" t="n">
        <x:v>59178</x:v>
      </x:c>
      <x:c r="M529" s="16" t="n">
        <x:v>143</x:v>
      </x:c>
      <x:c r="N529" s="16" t="n">
        <x:v>0.13986013986013987</x:v>
      </x:c>
      <x:c r="O529" s="12" t="str">
        <x:v>FTRL44G005</x:v>
      </x:c>
      <x:c r="P529" s="12" t="str">
        <x:v>LVTH24R026</x:v>
      </x:c>
      <x:c r="Q529" s="12" t="str"/>
      <x:c r="R529" s="12" t="str"/>
      <x:c r="S529" s="12" t="str"/>
      <x:c r="T529" s="12" t="str">
        <x:v>ABM</x:v>
      </x:c>
      <x:c r="U529" s="12" t="str"/>
      <x:c r="V529" s="12" t="str"/>
      <x:c r="W529" s="12" t="str"/>
      <x:c r="X529" s="12" t="str">
        <x:v>LVTH24</x:v>
      </x:c>
      <x:c r="Y529" s="12" t="str">
        <x:v>ANDI &amp; ANGGI</x:v>
      </x:c>
      <x:c r="Z529" s="12" t="str"/>
      <x:c r="AA529" s="32" t="n">
        <x:f>IFERROR(VLOOKUP(G529,Master_Unit!$A$2:$N$78,7,FALSE),"")</x:f>
        <x:v>0.2</x:v>
      </x:c>
      <x:c r="AB529" s="32" t="n">
        <x:f>IF(OR(N529="",AA529=""),"",N529-AA529)</x:f>
        <x:v>-0.06013986013986014</x:v>
      </x:c>
      <x:c r="AC529" s="20" t="n">
        <x:f>IF(OR(N529="",AA529="",AA529=0),"",AB529/AA529)</x:f>
        <x:v>-0.3006993006993007</x:v>
      </x:c>
      <x:c r="AD529" t="str">
        <x:f>IF(AA529="","NO STANDARD",IF(AC529&lt;=Config_Status!$B$2,"EFFICIENT",IF(AC529&lt;=Config_Status!$B$3,"NORMAL",IF(AC529&lt;=Config_Status!$B$4,"WARNING","OVER CONSUMPTION"))))</x:f>
        <x:v>EFFICIENT</x:v>
      </x:c>
      <x:c r="AE529" t="str">
        <x:f>IFERROR(VLOOKUP(G529,Master_Unit!$A$2:$N$78,13,FALSE),"UNIT NOT FOUND")</x:f>
        <x:v>Matched</x:v>
      </x:c>
    </x:row>
    <x:row r="530">
      <x:c r="A530" s="12" t="str">
        <x:v>FU-20260608-00529</x:v>
      </x:c>
      <x:c r="B530" s="12" t="n">
        <x:v>659</x:v>
      </x:c>
      <x:c r="C530" s="14" t="n">
        <x:v>46181</x:v>
      </x:c>
      <x:c r="D530" s="12" t="str">
        <x:v>Senin</x:v>
      </x:c>
      <x:c r="E530" s="12" t="str">
        <x:v>06:34:00</x:v>
      </x:c>
      <x:c r="F530" s="12" t="str">
        <x:v>All Shift Day</x:v>
      </x:c>
      <x:c r="G530" s="12" t="str">
        <x:v>EXVV21G037</x:v>
      </x:c>
      <x:c r="H530" s="12" t="str">
        <x:v>Excavator</x:v>
      </x:c>
      <x:c r="I530" s="12" t="str">
        <x:v>EXCAVATOR VOLVO EC210D</x:v>
      </x:c>
      <x:c r="J530" s="16" t="n">
        <x:v>131</x:v>
      </x:c>
      <x:c r="K530" s="16" t="n">
        <x:v>6834.3</x:v>
      </x:c>
      <x:c r="L530" s="16" t="n">
        <x:v>6841.9</x:v>
      </x:c>
      <x:c r="M530" s="16" t="n">
        <x:v>7.599999999999454</x:v>
      </x:c>
      <x:c r="N530" s="16" t="n">
        <x:v>17.236842105264394</x:v>
      </x:c>
      <x:c r="O530" s="12" t="str">
        <x:v>FTRL44G005</x:v>
      </x:c>
      <x:c r="P530" s="12" t="str">
        <x:v>EXVV21G037</x:v>
      </x:c>
      <x:c r="Q530" s="12" t="str"/>
      <x:c r="R530" s="12" t="str"/>
      <x:c r="S530" s="12" t="str"/>
      <x:c r="T530" s="12" t="str">
        <x:v>ABM</x:v>
      </x:c>
      <x:c r="U530" s="12" t="str"/>
      <x:c r="V530" s="12" t="str"/>
      <x:c r="W530" s="12" t="str"/>
      <x:c r="X530" s="12" t="str">
        <x:v>EXVV21</x:v>
      </x:c>
      <x:c r="Y530" s="12" t="str">
        <x:v>ANDI &amp; ANGGI</x:v>
      </x:c>
      <x:c r="Z530" s="12" t="str"/>
      <x:c r="AA530" s="32" t="n">
        <x:f>IFERROR(VLOOKUP(G530,Master_Unit!$A$2:$N$78,7,FALSE),"")</x:f>
        <x:v>20</x:v>
      </x:c>
      <x:c r="AB530" s="32" t="n">
        <x:f>IF(OR(N530="",AA530=""),"",N530-AA530)</x:f>
        <x:v>-2.763157894735606</x:v>
      </x:c>
      <x:c r="AC530" s="20" t="n">
        <x:f>IF(OR(N530="",AA530="",AA530=0),"",AB530/AA530)</x:f>
        <x:v>-0.1381578947367803</x:v>
      </x:c>
      <x:c r="AD530" t="str">
        <x:f>IF(AA530="","NO STANDARD",IF(AC530&lt;=Config_Status!$B$2,"EFFICIENT",IF(AC530&lt;=Config_Status!$B$3,"NORMAL",IF(AC530&lt;=Config_Status!$B$4,"WARNING","OVER CONSUMPTION"))))</x:f>
        <x:v>EFFICIENT</x:v>
      </x:c>
      <x:c r="AE530" t="str">
        <x:f>IFERROR(VLOOKUP(G530,Master_Unit!$A$2:$N$78,13,FALSE),"UNIT NOT FOUND")</x:f>
        <x:v>Matched</x:v>
      </x:c>
    </x:row>
    <x:row r="531">
      <x:c r="A531" s="12" t="str">
        <x:v>FU-20260608-00530</x:v>
      </x:c>
      <x:c r="B531" s="12" t="n">
        <x:v>660</x:v>
      </x:c>
      <x:c r="C531" s="14" t="n">
        <x:v>46181</x:v>
      </x:c>
      <x:c r="D531" s="12" t="str">
        <x:v>Senin</x:v>
      </x:c>
      <x:c r="E531" s="12" t="str">
        <x:v>06:46:00</x:v>
      </x:c>
      <x:c r="F531" s="12" t="str">
        <x:v>All Shift Day</x:v>
      </x:c>
      <x:c r="G531" s="12" t="str">
        <x:v>EXVV35G005</x:v>
      </x:c>
      <x:c r="H531" s="12" t="str">
        <x:v>Excavator</x:v>
      </x:c>
      <x:c r="I531" s="12" t="str">
        <x:v>EXCAVATOR VOLVO EC350D</x:v>
      </x:c>
      <x:c r="J531" s="16" t="n">
        <x:v>213</x:v>
      </x:c>
      <x:c r="K531" s="16" t="n">
        <x:v>5172.8</x:v>
      </x:c>
      <x:c r="L531" s="16" t="n">
        <x:v>5176.6</x:v>
      </x:c>
      <x:c r="M531" s="16" t="n">
        <x:v>3.800000000000182</x:v>
      </x:c>
      <x:c r="N531" s="16" t="n">
        <x:v>56.052631578944684</x:v>
      </x:c>
      <x:c r="O531" s="12" t="str">
        <x:v>FTRL44G005</x:v>
      </x:c>
      <x:c r="P531" s="12" t="str">
        <x:v>EXVV35G005</x:v>
      </x:c>
      <x:c r="Q531" s="12" t="str"/>
      <x:c r="R531" s="12" t="str"/>
      <x:c r="S531" s="12" t="str"/>
      <x:c r="T531" s="12" t="str">
        <x:v>ABM</x:v>
      </x:c>
      <x:c r="U531" s="12" t="str"/>
      <x:c r="V531" s="12" t="str"/>
      <x:c r="W531" s="12" t="str"/>
      <x:c r="X531" s="12" t="str">
        <x:v>EXVV35</x:v>
      </x:c>
      <x:c r="Y531" s="12" t="str">
        <x:v>ANDI &amp; ANGGI</x:v>
      </x:c>
      <x:c r="Z531" s="12" t="str"/>
      <x:c r="AA531" s="32" t="n">
        <x:f>IFERROR(VLOOKUP(G531,Master_Unit!$A$2:$N$78,7,FALSE),"")</x:f>
        <x:v>25</x:v>
      </x:c>
      <x:c r="AB531" s="32" t="n">
        <x:f>IF(OR(N531="",AA531=""),"",N531-AA531)</x:f>
        <x:v>31.052631578944684</x:v>
      </x:c>
      <x:c r="AC531" s="20" t="n">
        <x:f>IF(OR(N531="",AA531="",AA531=0),"",AB531/AA531)</x:f>
        <x:v>1.2421052631577874</x:v>
      </x:c>
      <x:c r="AD531" t="str">
        <x:f>IF(AA531="","NO STANDARD",IF(AC531&lt;=Config_Status!$B$2,"EFFICIENT",IF(AC531&lt;=Config_Status!$B$3,"NORMAL",IF(AC531&lt;=Config_Status!$B$4,"WARNING","OVER CONSUMPTION"))))</x:f>
        <x:v>OVER CONSUMPTION</x:v>
      </x:c>
      <x:c r="AE531" t="str">
        <x:f>IFERROR(VLOOKUP(G531,Master_Unit!$A$2:$N$78,13,FALSE),"UNIT NOT FOUND")</x:f>
        <x:v>Matched</x:v>
      </x:c>
    </x:row>
    <x:row r="532">
      <x:c r="A532" s="12" t="str">
        <x:v>FU-20260608-00531</x:v>
      </x:c>
      <x:c r="B532" s="12" t="n">
        <x:v>661</x:v>
      </x:c>
      <x:c r="C532" s="14" t="n">
        <x:v>46181</x:v>
      </x:c>
      <x:c r="D532" s="12" t="str">
        <x:v>Senin</x:v>
      </x:c>
      <x:c r="E532" s="12" t="str">
        <x:v>06:55:00</x:v>
      </x:c>
      <x:c r="F532" s="12" t="str">
        <x:v>All Shift Day</x:v>
      </x:c>
      <x:c r="G532" s="12" t="str">
        <x:v>EXVV21G042</x:v>
      </x:c>
      <x:c r="H532" s="12" t="str">
        <x:v>Excavator</x:v>
      </x:c>
      <x:c r="I532" s="12" t="str">
        <x:v>EXCAVATOR VOLVO EC210D</x:v>
      </x:c>
      <x:c r="J532" s="16" t="n">
        <x:v>153</x:v>
      </x:c>
      <x:c r="K532" s="16" t="n">
        <x:v>7701.1</x:v>
      </x:c>
      <x:c r="L532" s="16" t="n">
        <x:v>7711.5</x:v>
      </x:c>
      <x:c r="M532" s="16" t="n">
        <x:v>10.399999999999636</x:v>
      </x:c>
      <x:c r="N532" s="16" t="n">
        <x:v>14.711538461538977</x:v>
      </x:c>
      <x:c r="O532" s="12" t="str">
        <x:v>FTRL44G005</x:v>
      </x:c>
      <x:c r="P532" s="12" t="str">
        <x:v>EXVV21G042</x:v>
      </x:c>
      <x:c r="Q532" s="12" t="str"/>
      <x:c r="R532" s="12" t="str"/>
      <x:c r="S532" s="12" t="str"/>
      <x:c r="T532" s="12" t="str">
        <x:v>ABM</x:v>
      </x:c>
      <x:c r="U532" s="12" t="str"/>
      <x:c r="V532" s="12" t="str"/>
      <x:c r="W532" s="12" t="str"/>
      <x:c r="X532" s="12" t="str">
        <x:v>EXVV21</x:v>
      </x:c>
      <x:c r="Y532" s="12" t="str">
        <x:v>ANDI &amp; ANGGI</x:v>
      </x:c>
      <x:c r="Z532" s="12" t="str"/>
      <x:c r="AA532" s="32" t="n">
        <x:f>IFERROR(VLOOKUP(G532,Master_Unit!$A$2:$N$78,7,FALSE),"")</x:f>
        <x:v>20</x:v>
      </x:c>
      <x:c r="AB532" s="32" t="n">
        <x:f>IF(OR(N532="",AA532=""),"",N532-AA532)</x:f>
        <x:v>-5.288461538461023</x:v>
      </x:c>
      <x:c r="AC532" s="20" t="n">
        <x:f>IF(OR(N532="",AA532="",AA532=0),"",AB532/AA532)</x:f>
        <x:v>-0.26442307692305117</x:v>
      </x:c>
      <x:c r="AD532" t="str">
        <x:f>IF(AA532="","NO STANDARD",IF(AC532&lt;=Config_Status!$B$2,"EFFICIENT",IF(AC532&lt;=Config_Status!$B$3,"NORMAL",IF(AC532&lt;=Config_Status!$B$4,"WARNING","OVER CONSUMPTION"))))</x:f>
        <x:v>EFFICIENT</x:v>
      </x:c>
      <x:c r="AE532" t="str">
        <x:f>IFERROR(VLOOKUP(G532,Master_Unit!$A$2:$N$78,13,FALSE),"UNIT NOT FOUND")</x:f>
        <x:v>Matched</x:v>
      </x:c>
    </x:row>
    <x:row r="533">
      <x:c r="A533" s="12" t="str">
        <x:v>FU-20260608-00532</x:v>
      </x:c>
      <x:c r="B533" s="12" t="n">
        <x:v>662</x:v>
      </x:c>
      <x:c r="C533" s="14" t="n">
        <x:v>46181</x:v>
      </x:c>
      <x:c r="D533" s="12" t="str">
        <x:v>Senin</x:v>
      </x:c>
      <x:c r="E533" s="12" t="str">
        <x:v>06:59:00</x:v>
      </x:c>
      <x:c r="F533" s="12" t="str">
        <x:v>All Shift Day</x:v>
      </x:c>
      <x:c r="G533" s="12" t="str">
        <x:v>GSHT10G001</x:v>
      </x:c>
      <x:c r="H533" s="12" t="str">
        <x:v>Genset</x:v>
      </x:c>
      <x:c r="I533" s="12" t="str">
        <x:v>GENSET HARTECH HT-10</x:v>
      </x:c>
      <x:c r="J533" s="16" t="n">
        <x:v>13</x:v>
      </x:c>
      <x:c r="K533" s="16" t="n">
        <x:v>5927.3</x:v>
      </x:c>
      <x:c r="L533" s="16" t="n">
        <x:v>5938.15</x:v>
      </x:c>
      <x:c r="M533" s="16" t="n">
        <x:v>10.849999999999454</x:v>
      </x:c>
      <x:c r="N533" s="16" t="n">
        <x:v>1.19815668202771</x:v>
      </x:c>
      <x:c r="O533" s="12" t="str">
        <x:v>FTRL44G005</x:v>
      </x:c>
      <x:c r="P533" s="12" t="str">
        <x:v>GSHT10G001</x:v>
      </x:c>
      <x:c r="Q533" s="12" t="str"/>
      <x:c r="R533" s="12" t="str"/>
      <x:c r="S533" s="12" t="str"/>
      <x:c r="T533" s="12" t="str">
        <x:v>ABM</x:v>
      </x:c>
      <x:c r="U533" s="12" t="str"/>
      <x:c r="V533" s="12" t="str"/>
      <x:c r="W533" s="12" t="str"/>
      <x:c r="X533" s="12" t="str">
        <x:v>GSHT10</x:v>
      </x:c>
      <x:c r="Y533" s="12" t="str">
        <x:v>ANDI &amp; ANGGI</x:v>
      </x:c>
      <x:c r="Z533" s="12" t="str"/>
      <x:c r="AA533" s="32" t="n">
        <x:f>IFERROR(VLOOKUP(G533,Master_Unit!$A$2:$N$78,7,FALSE),"")</x:f>
        <x:v>3</x:v>
      </x:c>
      <x:c r="AB533" s="32" t="n">
        <x:f>IF(OR(N533="",AA533=""),"",N533-AA533)</x:f>
        <x:v>-1.80184331797229</x:v>
      </x:c>
      <x:c r="AC533" s="20" t="n">
        <x:f>IF(OR(N533="",AA533="",AA533=0),"",AB533/AA533)</x:f>
        <x:v>-0.6006144393240966</x:v>
      </x:c>
      <x:c r="AD533" t="str">
        <x:f>IF(AA533="","NO STANDARD",IF(AC533&lt;=Config_Status!$B$2,"EFFICIENT",IF(AC533&lt;=Config_Status!$B$3,"NORMAL",IF(AC533&lt;=Config_Status!$B$4,"WARNING","OVER CONSUMPTION"))))</x:f>
        <x:v>EFFICIENT</x:v>
      </x:c>
      <x:c r="AE533" t="str">
        <x:f>IFERROR(VLOOKUP(G533,Master_Unit!$A$2:$N$78,13,FALSE),"UNIT NOT FOUND")</x:f>
        <x:v>Matched</x:v>
      </x:c>
    </x:row>
    <x:row r="534">
      <x:c r="A534" s="12" t="str">
        <x:v>FU-20260608-00533</x:v>
      </x:c>
      <x:c r="B534" s="12" t="n">
        <x:v>663</x:v>
      </x:c>
      <x:c r="C534" s="14" t="n">
        <x:v>46181</x:v>
      </x:c>
      <x:c r="D534" s="12" t="str">
        <x:v>Senin</x:v>
      </x:c>
      <x:c r="E534" s="12" t="str">
        <x:v>07:00:00</x:v>
      </x:c>
      <x:c r="F534" s="12" t="str">
        <x:v>All Shift Day</x:v>
      </x:c>
      <x:c r="G534" s="12" t="str">
        <x:v>LVTH24R024</x:v>
      </x:c>
      <x:c r="H534" s="12" t="str">
        <x:v>Light Vehicle</x:v>
      </x:c>
      <x:c r="I534" s="12" t="str">
        <x:v>LIGHT VEHICLE TOYOTA HILUX</x:v>
      </x:c>
      <x:c r="J534" s="16" t="n">
        <x:v>20</x:v>
      </x:c>
      <x:c r="K534" s="16" t="n">
        <x:v>46244</x:v>
      </x:c>
      <x:c r="L534" s="16" t="n">
        <x:v>46324</x:v>
      </x:c>
      <x:c r="M534" s="16" t="n">
        <x:v>80</x:v>
      </x:c>
      <x:c r="N534" s="16" t="n">
        <x:v>0.25</x:v>
      </x:c>
      <x:c r="O534" s="12" t="str">
        <x:v>FTRL44G005</x:v>
      </x:c>
      <x:c r="P534" s="12" t="str">
        <x:v>LVTH24R024</x:v>
      </x:c>
      <x:c r="Q534" s="12" t="str"/>
      <x:c r="R534" s="12" t="str"/>
      <x:c r="S534" s="12" t="str"/>
      <x:c r="T534" s="12" t="str">
        <x:v>ABM</x:v>
      </x:c>
      <x:c r="U534" s="12" t="str"/>
      <x:c r="V534" s="12" t="str"/>
      <x:c r="W534" s="12" t="str"/>
      <x:c r="X534" s="12" t="str">
        <x:v>LVTH24</x:v>
      </x:c>
      <x:c r="Y534" s="12" t="str">
        <x:v>ANDI &amp; ANGGI</x:v>
      </x:c>
      <x:c r="Z534" s="12" t="str"/>
      <x:c r="AA534" s="32" t="n">
        <x:f>IFERROR(VLOOKUP(G534,Master_Unit!$A$2:$N$78,7,FALSE),"")</x:f>
        <x:v>0.2</x:v>
      </x:c>
      <x:c r="AB534" s="32" t="n">
        <x:f>IF(OR(N534="",AA534=""),"",N534-AA534)</x:f>
        <x:v>0.04999999999999999</x:v>
      </x:c>
      <x:c r="AC534" s="20" t="n">
        <x:f>IF(OR(N534="",AA534="",AA534=0),"",AB534/AA534)</x:f>
        <x:v>0.24999999999999994</x:v>
      </x:c>
      <x:c r="AD534" t="str">
        <x:f>IF(AA534="","NO STANDARD",IF(AC534&lt;=Config_Status!$B$2,"EFFICIENT",IF(AC534&lt;=Config_Status!$B$3,"NORMAL",IF(AC534&lt;=Config_Status!$B$4,"WARNING","OVER CONSUMPTION"))))</x:f>
        <x:v>OVER CONSUMPTION</x:v>
      </x:c>
      <x:c r="AE534" t="str">
        <x:f>IFERROR(VLOOKUP(G534,Master_Unit!$A$2:$N$78,13,FALSE),"UNIT NOT FOUND")</x:f>
        <x:v>Matched</x:v>
      </x:c>
    </x:row>
    <x:row r="535">
      <x:c r="A535" s="12" t="str">
        <x:v>FU-20260608-00534</x:v>
      </x:c>
      <x:c r="B535" s="12" t="n">
        <x:v>664</x:v>
      </x:c>
      <x:c r="C535" s="14" t="n">
        <x:v>46181</x:v>
      </x:c>
      <x:c r="D535" s="12" t="str">
        <x:v>Senin</x:v>
      </x:c>
      <x:c r="E535" s="12" t="str">
        <x:v>07:04:00</x:v>
      </x:c>
      <x:c r="F535" s="12" t="str">
        <x:v>All Shift Day</x:v>
      </x:c>
      <x:c r="G535" s="12" t="str">
        <x:v>BDKM85G040</x:v>
      </x:c>
      <x:c r="H535" s="12" t="str">
        <x:v>Dozer</x:v>
      </x:c>
      <x:c r="I535" s="12" t="str">
        <x:v>BULDOZER KOMATSU D85ESS-2</x:v>
      </x:c>
      <x:c r="J535" s="16" t="n">
        <x:v>163</x:v>
      </x:c>
      <x:c r="K535" s="16" t="n">
        <x:v>6235.2</x:v>
      </x:c>
      <x:c r="L535" s="16" t="n">
        <x:v>6244.9</x:v>
      </x:c>
      <x:c r="M535" s="16" t="n">
        <x:v>9.699999999999818</x:v>
      </x:c>
      <x:c r="N535" s="16" t="n">
        <x:v>16.804123711340523</x:v>
      </x:c>
      <x:c r="O535" s="12" t="str">
        <x:v>FTRL44G005</x:v>
      </x:c>
      <x:c r="P535" s="12" t="str">
        <x:v>BDKM85G040</x:v>
      </x:c>
      <x:c r="Q535" s="12" t="str"/>
      <x:c r="R535" s="12" t="str"/>
      <x:c r="S535" s="12" t="str"/>
      <x:c r="T535" s="12" t="str">
        <x:v>ABM</x:v>
      </x:c>
      <x:c r="U535" s="12" t="str"/>
      <x:c r="V535" s="12" t="str"/>
      <x:c r="W535" s="12" t="str"/>
      <x:c r="X535" s="12" t="str">
        <x:v>BDKM85</x:v>
      </x:c>
      <x:c r="Y535" s="12" t="str">
        <x:v>ANDI &amp; ANGGI</x:v>
      </x:c>
      <x:c r="Z535" s="12" t="str"/>
      <x:c r="AA535" s="32" t="n">
        <x:f>IFERROR(VLOOKUP(G535,Master_Unit!$A$2:$N$78,7,FALSE),"")</x:f>
        <x:v>30</x:v>
      </x:c>
      <x:c r="AB535" s="32" t="n">
        <x:f>IF(OR(N535="",AA535=""),"",N535-AA535)</x:f>
        <x:v>-13.195876288659477</x:v>
      </x:c>
      <x:c r="AC535" s="20" t="n">
        <x:f>IF(OR(N535="",AA535="",AA535=0),"",AB535/AA535)</x:f>
        <x:v>-0.4398625429553159</x:v>
      </x:c>
      <x:c r="AD535" t="str">
        <x:f>IF(AA535="","NO STANDARD",IF(AC535&lt;=Config_Status!$B$2,"EFFICIENT",IF(AC535&lt;=Config_Status!$B$3,"NORMAL",IF(AC535&lt;=Config_Status!$B$4,"WARNING","OVER CONSUMPTION"))))</x:f>
        <x:v>EFFICIENT</x:v>
      </x:c>
      <x:c r="AE535" t="str">
        <x:f>IFERROR(VLOOKUP(G535,Master_Unit!$A$2:$N$78,13,FALSE),"UNIT NOT FOUND")</x:f>
        <x:v>Matched</x:v>
      </x:c>
    </x:row>
    <x:row r="536">
      <x:c r="A536" s="12" t="str">
        <x:v>FU-20260608-00535</x:v>
      </x:c>
      <x:c r="B536" s="12" t="n">
        <x:v>665</x:v>
      </x:c>
      <x:c r="C536" s="14" t="n">
        <x:v>46181</x:v>
      </x:c>
      <x:c r="D536" s="12" t="str">
        <x:v>Senin</x:v>
      </x:c>
      <x:c r="E536" s="12" t="str">
        <x:v>07:07:00</x:v>
      </x:c>
      <x:c r="F536" s="12" t="str">
        <x:v>All Shift Day</x:v>
      </x:c>
      <x:c r="G536" s="12" t="str">
        <x:v>LVTH24R033</x:v>
      </x:c>
      <x:c r="H536" s="12" t="str">
        <x:v>Light Vehicle</x:v>
      </x:c>
      <x:c r="I536" s="12" t="str">
        <x:v>LIGHT VEHICLE TOYOTA HILUX</x:v>
      </x:c>
      <x:c r="J536" s="16" t="n">
        <x:v>30</x:v>
      </x:c>
      <x:c r="K536" s="16" t="n">
        <x:v>138458</x:v>
      </x:c>
      <x:c r="L536" s="16" t="n">
        <x:v>138612</x:v>
      </x:c>
      <x:c r="M536" s="16" t="n">
        <x:v>154</x:v>
      </x:c>
      <x:c r="N536" s="16" t="n">
        <x:v>0.19480519480519481</x:v>
      </x:c>
      <x:c r="O536" s="12" t="str">
        <x:v>FTRL44G005</x:v>
      </x:c>
      <x:c r="P536" s="12" t="str">
        <x:v>LVTH24R033</x:v>
      </x:c>
      <x:c r="Q536" s="12" t="str"/>
      <x:c r="R536" s="12" t="str"/>
      <x:c r="S536" s="12" t="str"/>
      <x:c r="T536" s="12" t="str">
        <x:v>ABM</x:v>
      </x:c>
      <x:c r="U536" s="12" t="str"/>
      <x:c r="V536" s="12" t="str"/>
      <x:c r="W536" s="12" t="str"/>
      <x:c r="X536" s="12" t="str">
        <x:v>LVTH24</x:v>
      </x:c>
      <x:c r="Y536" s="12" t="str">
        <x:v>ANDI &amp; ANGGI</x:v>
      </x:c>
      <x:c r="Z536" s="12" t="str"/>
      <x:c r="AA536" s="32" t="n">
        <x:f>IFERROR(VLOOKUP(G536,Master_Unit!$A$2:$N$78,7,FALSE),"")</x:f>
        <x:v>0.2</x:v>
      </x:c>
      <x:c r="AB536" s="32" t="n">
        <x:f>IF(OR(N536="",AA536=""),"",N536-AA536)</x:f>
        <x:v>-0.0051948051948051965</x:v>
      </x:c>
      <x:c r="AC536" s="20" t="n">
        <x:f>IF(OR(N536="",AA536="",AA536=0),"",AB536/AA536)</x:f>
        <x:v>-0.025974025974025983</x:v>
      </x:c>
      <x:c r="AD536" t="str">
        <x:f>IF(AA536="","NO STANDARD",IF(AC536&lt;=Config_Status!$B$2,"EFFICIENT",IF(AC536&lt;=Config_Status!$B$3,"NORMAL",IF(AC536&lt;=Config_Status!$B$4,"WARNING","OVER CONSUMPTION"))))</x:f>
        <x:v>NORMAL</x:v>
      </x:c>
      <x:c r="AE536" t="str">
        <x:f>IFERROR(VLOOKUP(G536,Master_Unit!$A$2:$N$78,13,FALSE),"UNIT NOT FOUND")</x:f>
        <x:v>Matched</x:v>
      </x:c>
    </x:row>
    <x:row r="537">
      <x:c r="A537" s="12" t="str">
        <x:v>FU-20260608-00536</x:v>
      </x:c>
      <x:c r="B537" s="12" t="n">
        <x:v>666</x:v>
      </x:c>
      <x:c r="C537" s="14" t="n">
        <x:v>46181</x:v>
      </x:c>
      <x:c r="D537" s="12" t="str">
        <x:v>Senin</x:v>
      </x:c>
      <x:c r="E537" s="12" t="str">
        <x:v>07:19:00</x:v>
      </x:c>
      <x:c r="F537" s="12" t="str">
        <x:v>All Shift Day</x:v>
      </x:c>
      <x:c r="G537" s="12" t="str">
        <x:v>EXVV21G035</x:v>
      </x:c>
      <x:c r="H537" s="12" t="str">
        <x:v>Excavator</x:v>
      </x:c>
      <x:c r="I537" s="12" t="str">
        <x:v>EXCAVATOR VOLVO EC210D</x:v>
      </x:c>
      <x:c r="J537" s="16" t="n">
        <x:v>155</x:v>
      </x:c>
      <x:c r="K537" s="16" t="n">
        <x:v>8370.9</x:v>
      </x:c>
      <x:c r="L537" s="16" t="n">
        <x:v>8379.2</x:v>
      </x:c>
      <x:c r="M537" s="16" t="n">
        <x:v>8.300000000001091</x:v>
      </x:c>
      <x:c r="N537" s="16" t="n">
        <x:v>18.674698795178266</x:v>
      </x:c>
      <x:c r="O537" s="12" t="str">
        <x:v>FTRL44G005</x:v>
      </x:c>
      <x:c r="P537" s="12" t="str">
        <x:v>EXVV21G035</x:v>
      </x:c>
      <x:c r="Q537" s="12" t="str"/>
      <x:c r="R537" s="12" t="str"/>
      <x:c r="S537" s="12" t="str"/>
      <x:c r="T537" s="12" t="str">
        <x:v>ABM</x:v>
      </x:c>
      <x:c r="U537" s="12" t="str"/>
      <x:c r="V537" s="12" t="str"/>
      <x:c r="W537" s="12" t="str"/>
      <x:c r="X537" s="12" t="str">
        <x:v>EXVV21</x:v>
      </x:c>
      <x:c r="Y537" s="12" t="str">
        <x:v>ANDI &amp; ANGGI</x:v>
      </x:c>
      <x:c r="Z537" s="12" t="str"/>
      <x:c r="AA537" s="32" t="n">
        <x:f>IFERROR(VLOOKUP(G537,Master_Unit!$A$2:$N$78,7,FALSE),"")</x:f>
        <x:v>20</x:v>
      </x:c>
      <x:c r="AB537" s="32" t="n">
        <x:f>IF(OR(N537="",AA537=""),"",N537-AA537)</x:f>
        <x:v>-1.3253012048217343</x:v>
      </x:c>
      <x:c r="AC537" s="20" t="n">
        <x:f>IF(OR(N537="",AA537="",AA537=0),"",AB537/AA537)</x:f>
        <x:v>-0.06626506024108672</x:v>
      </x:c>
      <x:c r="AD537" t="str">
        <x:f>IF(AA537="","NO STANDARD",IF(AC537&lt;=Config_Status!$B$2,"EFFICIENT",IF(AC537&lt;=Config_Status!$B$3,"NORMAL",IF(AC537&lt;=Config_Status!$B$4,"WARNING","OVER CONSUMPTION"))))</x:f>
        <x:v>NORMAL</x:v>
      </x:c>
      <x:c r="AE537" t="str">
        <x:f>IFERROR(VLOOKUP(G537,Master_Unit!$A$2:$N$78,13,FALSE),"UNIT NOT FOUND")</x:f>
        <x:v>Matched</x:v>
      </x:c>
    </x:row>
    <x:row r="538">
      <x:c r="A538" s="12" t="str">
        <x:v>FU-20260608-00537</x:v>
      </x:c>
      <x:c r="B538" s="12" t="n">
        <x:v>667</x:v>
      </x:c>
      <x:c r="C538" s="14" t="n">
        <x:v>46181</x:v>
      </x:c>
      <x:c r="D538" s="12" t="str">
        <x:v>Senin</x:v>
      </x:c>
      <x:c r="E538" s="12" t="str">
        <x:v>07:30:00</x:v>
      </x:c>
      <x:c r="F538" s="12" t="str">
        <x:v>All Shift Day</x:v>
      </x:c>
      <x:c r="G538" s="12" t="str">
        <x:v>BDKM85G039</x:v>
      </x:c>
      <x:c r="H538" s="12" t="str">
        <x:v>Dozer</x:v>
      </x:c>
      <x:c r="I538" s="12" t="str">
        <x:v>BULDOZER KOMATSU D85ESS-2</x:v>
      </x:c>
      <x:c r="J538" s="16" t="n">
        <x:v>140</x:v>
      </x:c>
      <x:c r="K538" s="16" t="n">
        <x:v>7052.9</x:v>
      </x:c>
      <x:c r="L538" s="16" t="n">
        <x:v>7063.1</x:v>
      </x:c>
      <x:c r="M538" s="16" t="n">
        <x:v>10.200000000000728</x:v>
      </x:c>
      <x:c r="N538" s="16" t="n">
        <x:v>13.725490196077452</x:v>
      </x:c>
      <x:c r="O538" s="12" t="str">
        <x:v>FTRL44G005</x:v>
      </x:c>
      <x:c r="P538" s="12" t="str">
        <x:v>BDKM85G039</x:v>
      </x:c>
      <x:c r="Q538" s="12" t="str"/>
      <x:c r="R538" s="12" t="str"/>
      <x:c r="S538" s="12" t="str"/>
      <x:c r="T538" s="12" t="str">
        <x:v>ABM</x:v>
      </x:c>
      <x:c r="U538" s="12" t="str"/>
      <x:c r="V538" s="12" t="str"/>
      <x:c r="W538" s="12" t="str"/>
      <x:c r="X538" s="12" t="str">
        <x:v>BDKM85</x:v>
      </x:c>
      <x:c r="Y538" s="12" t="str">
        <x:v>ANDI &amp; ANGGI</x:v>
      </x:c>
      <x:c r="Z538" s="12" t="str"/>
      <x:c r="AA538" s="32" t="n">
        <x:f>IFERROR(VLOOKUP(G538,Master_Unit!$A$2:$N$78,7,FALSE),"")</x:f>
        <x:v>30</x:v>
      </x:c>
      <x:c r="AB538" s="32" t="n">
        <x:f>IF(OR(N538="",AA538=""),"",N538-AA538)</x:f>
        <x:v>-16.274509803922548</x:v>
      </x:c>
      <x:c r="AC538" s="20" t="n">
        <x:f>IF(OR(N538="",AA538="",AA538=0),"",AB538/AA538)</x:f>
        <x:v>-0.5424836601307516</x:v>
      </x:c>
      <x:c r="AD538" t="str">
        <x:f>IF(AA538="","NO STANDARD",IF(AC538&lt;=Config_Status!$B$2,"EFFICIENT",IF(AC538&lt;=Config_Status!$B$3,"NORMAL",IF(AC538&lt;=Config_Status!$B$4,"WARNING","OVER CONSUMPTION"))))</x:f>
        <x:v>EFFICIENT</x:v>
      </x:c>
      <x:c r="AE538" t="str">
        <x:f>IFERROR(VLOOKUP(G538,Master_Unit!$A$2:$N$78,13,FALSE),"UNIT NOT FOUND")</x:f>
        <x:v>Matched</x:v>
      </x:c>
    </x:row>
    <x:row r="539">
      <x:c r="A539" s="12" t="str">
        <x:v>FU-20260608-00538</x:v>
      </x:c>
      <x:c r="B539" s="12" t="n">
        <x:v>668</x:v>
      </x:c>
      <x:c r="C539" s="14" t="n">
        <x:v>46181</x:v>
      </x:c>
      <x:c r="D539" s="12" t="str">
        <x:v>Senin</x:v>
      </x:c>
      <x:c r="E539" s="12" t="str">
        <x:v>07:31:00</x:v>
      </x:c>
      <x:c r="F539" s="12" t="str">
        <x:v>All Shift Day</x:v>
      </x:c>
      <x:c r="G539" s="12" t="str">
        <x:v>GSHT10G002</x:v>
      </x:c>
      <x:c r="H539" s="12" t="str">
        <x:v>Genset</x:v>
      </x:c>
      <x:c r="I539" s="12" t="str">
        <x:v>GENSET HARTECH HT-10</x:v>
      </x:c>
      <x:c r="J539" s="16" t="n">
        <x:v>15</x:v>
      </x:c>
      <x:c r="K539" s="16" t="n">
        <x:v>8483.16</x:v>
      </x:c>
      <x:c r="L539" s="16" t="n">
        <x:v>8495.43</x:v>
      </x:c>
      <x:c r="M539" s="16" t="n">
        <x:v>12.270000000000437</x:v>
      </x:c>
      <x:c r="N539" s="16" t="n">
        <x:v>1.222493887530519</x:v>
      </x:c>
      <x:c r="O539" s="12" t="str">
        <x:v>FTRL44G005</x:v>
      </x:c>
      <x:c r="P539" s="12" t="str">
        <x:v>GSHT10G002</x:v>
      </x:c>
      <x:c r="Q539" s="12" t="str"/>
      <x:c r="R539" s="12" t="str"/>
      <x:c r="S539" s="12" t="str"/>
      <x:c r="T539" s="12" t="str">
        <x:v>ABM</x:v>
      </x:c>
      <x:c r="U539" s="12" t="str"/>
      <x:c r="V539" s="12" t="str"/>
      <x:c r="W539" s="12" t="str"/>
      <x:c r="X539" s="12" t="str">
        <x:v>GSHT10</x:v>
      </x:c>
      <x:c r="Y539" s="12" t="str">
        <x:v>ANDI &amp; ANGGI</x:v>
      </x:c>
      <x:c r="Z539" s="12" t="str"/>
      <x:c r="AA539" s="32" t="n">
        <x:f>IFERROR(VLOOKUP(G539,Master_Unit!$A$2:$N$78,7,FALSE),"")</x:f>
        <x:v>3</x:v>
      </x:c>
      <x:c r="AB539" s="32" t="n">
        <x:f>IF(OR(N539="",AA539=""),"",N539-AA539)</x:f>
        <x:v>-1.777506112469481</x:v>
      </x:c>
      <x:c r="AC539" s="20" t="n">
        <x:f>IF(OR(N539="",AA539="",AA539=0),"",AB539/AA539)</x:f>
        <x:v>-0.592502037489827</x:v>
      </x:c>
      <x:c r="AD539" t="str">
        <x:f>IF(AA539="","NO STANDARD",IF(AC539&lt;=Config_Status!$B$2,"EFFICIENT",IF(AC539&lt;=Config_Status!$B$3,"NORMAL",IF(AC539&lt;=Config_Status!$B$4,"WARNING","OVER CONSUMPTION"))))</x:f>
        <x:v>EFFICIENT</x:v>
      </x:c>
      <x:c r="AE539" t="str">
        <x:f>IFERROR(VLOOKUP(G539,Master_Unit!$A$2:$N$78,13,FALSE),"UNIT NOT FOUND")</x:f>
        <x:v>Matched</x:v>
      </x:c>
    </x:row>
    <x:row r="540">
      <x:c r="A540" s="12" t="str">
        <x:v>FU-20260608-00539</x:v>
      </x:c>
      <x:c r="B540" s="12" t="n">
        <x:v>669</x:v>
      </x:c>
      <x:c r="C540" s="14" t="n">
        <x:v>46181</x:v>
      </x:c>
      <x:c r="D540" s="12" t="str">
        <x:v>Senin</x:v>
      </x:c>
      <x:c r="E540" s="12" t="str">
        <x:v>07:36:00</x:v>
      </x:c>
      <x:c r="F540" s="12" t="str">
        <x:v>All Shift Day</x:v>
      </x:c>
      <x:c r="G540" s="12" t="str">
        <x:v>EXVV21G043</x:v>
      </x:c>
      <x:c r="H540" s="12" t="str">
        <x:v>Excavator</x:v>
      </x:c>
      <x:c r="I540" s="12" t="str">
        <x:v>EXCAVATOR VOLVO EC210D</x:v>
      </x:c>
      <x:c r="J540" s="16" t="n">
        <x:v>121</x:v>
      </x:c>
      <x:c r="K540" s="16" t="n">
        <x:v>5316.7</x:v>
      </x:c>
      <x:c r="L540" s="16" t="n">
        <x:v>5317.2</x:v>
      </x:c>
      <x:c r="M540" s="16" t="n">
        <x:v>0.5</x:v>
      </x:c>
      <x:c r="N540" s="16" t="n">
        <x:v>242</x:v>
      </x:c>
      <x:c r="O540" s="12" t="str">
        <x:v>FTRL44G005</x:v>
      </x:c>
      <x:c r="P540" s="12" t="str">
        <x:v>EXVV21G043</x:v>
      </x:c>
      <x:c r="Q540" s="12" t="str"/>
      <x:c r="R540" s="12" t="str"/>
      <x:c r="S540" s="12" t="str"/>
      <x:c r="T540" s="12" t="str">
        <x:v>ABM</x:v>
      </x:c>
      <x:c r="U540" s="12" t="str"/>
      <x:c r="V540" s="12" t="str"/>
      <x:c r="W540" s="12" t="str"/>
      <x:c r="X540" s="12" t="str">
        <x:v>EXVV21</x:v>
      </x:c>
      <x:c r="Y540" s="12" t="str">
        <x:v>ANDI &amp; ANGGI</x:v>
      </x:c>
      <x:c r="Z540" s="12" t="str"/>
      <x:c r="AA540" s="32" t="n">
        <x:f>IFERROR(VLOOKUP(G540,Master_Unit!$A$2:$N$78,7,FALSE),"")</x:f>
        <x:v>20</x:v>
      </x:c>
      <x:c r="AB540" s="32" t="n">
        <x:f>IF(OR(N540="",AA540=""),"",N540-AA540)</x:f>
        <x:v>222</x:v>
      </x:c>
      <x:c r="AC540" s="20" t="n">
        <x:f>IF(OR(N540="",AA540="",AA540=0),"",AB540/AA540)</x:f>
        <x:v>11.1</x:v>
      </x:c>
      <x:c r="AD540" t="str">
        <x:f>IF(AA540="","NO STANDARD",IF(AC540&lt;=Config_Status!$B$2,"EFFICIENT",IF(AC540&lt;=Config_Status!$B$3,"NORMAL",IF(AC540&lt;=Config_Status!$B$4,"WARNING","OVER CONSUMPTION"))))</x:f>
        <x:v>OVER CONSUMPTION</x:v>
      </x:c>
      <x:c r="AE540" t="str">
        <x:f>IFERROR(VLOOKUP(G540,Master_Unit!$A$2:$N$78,13,FALSE),"UNIT NOT FOUND")</x:f>
        <x:v>Matched</x:v>
      </x:c>
    </x:row>
    <x:row r="541">
      <x:c r="A541" s="12" t="str">
        <x:v>FU-20260608-00540</x:v>
      </x:c>
      <x:c r="B541" s="12" t="n">
        <x:v>670</x:v>
      </x:c>
      <x:c r="C541" s="14" t="n">
        <x:v>46181</x:v>
      </x:c>
      <x:c r="D541" s="12" t="str">
        <x:v>Senin</x:v>
      </x:c>
      <x:c r="E541" s="12" t="str">
        <x:v>07:41:00</x:v>
      </x:c>
      <x:c r="F541" s="12" t="str">
        <x:v>All Shift Day</x:v>
      </x:c>
      <x:c r="G541" s="12" t="str">
        <x:v>EXVV21G040</x:v>
      </x:c>
      <x:c r="H541" s="12" t="str">
        <x:v>Excavator</x:v>
      </x:c>
      <x:c r="I541" s="12" t="str">
        <x:v>EXCAVATOR VOLVO EC210D</x:v>
      </x:c>
      <x:c r="J541" s="16" t="n">
        <x:v>149</x:v>
      </x:c>
      <x:c r="K541" s="16" t="n">
        <x:v>6555.2</x:v>
      </x:c>
      <x:c r="L541" s="16" t="n">
        <x:v>6562.6</x:v>
      </x:c>
      <x:c r="M541" s="16" t="n">
        <x:v>7.400000000000546</x:v>
      </x:c>
      <x:c r="N541" s="16" t="n">
        <x:v>20.135135135133652</x:v>
      </x:c>
      <x:c r="O541" s="12" t="str">
        <x:v>FTRL44G005</x:v>
      </x:c>
      <x:c r="P541" s="12" t="str">
        <x:v>EXVV21G040</x:v>
      </x:c>
      <x:c r="Q541" s="12" t="str"/>
      <x:c r="R541" s="12" t="str"/>
      <x:c r="S541" s="12" t="str"/>
      <x:c r="T541" s="12" t="str">
        <x:v>ABM</x:v>
      </x:c>
      <x:c r="U541" s="12" t="str"/>
      <x:c r="V541" s="12" t="str"/>
      <x:c r="W541" s="12" t="str"/>
      <x:c r="X541" s="12" t="str">
        <x:v>EXVV21</x:v>
      </x:c>
      <x:c r="Y541" s="12" t="str">
        <x:v>ANDI &amp; ANGGI</x:v>
      </x:c>
      <x:c r="Z541" s="12" t="str"/>
      <x:c r="AA541" s="32" t="n">
        <x:f>IFERROR(VLOOKUP(G541,Master_Unit!$A$2:$N$78,7,FALSE),"")</x:f>
        <x:v>20</x:v>
      </x:c>
      <x:c r="AB541" s="32" t="n">
        <x:f>IF(OR(N541="",AA541=""),"",N541-AA541)</x:f>
        <x:v>0.13513513513365183</x:v>
      </x:c>
      <x:c r="AC541" s="20" t="n">
        <x:f>IF(OR(N541="",AA541="",AA541=0),"",AB541/AA541)</x:f>
        <x:v>0.006756756756682592</x:v>
      </x:c>
      <x:c r="AD541" t="str">
        <x:f>IF(AA541="","NO STANDARD",IF(AC541&lt;=Config_Status!$B$2,"EFFICIENT",IF(AC541&lt;=Config_Status!$B$3,"NORMAL",IF(AC541&lt;=Config_Status!$B$4,"WARNING","OVER CONSUMPTION"))))</x:f>
        <x:v>NORMAL</x:v>
      </x:c>
      <x:c r="AE541" t="str">
        <x:f>IFERROR(VLOOKUP(G541,Master_Unit!$A$2:$N$78,13,FALSE),"UNIT NOT FOUND")</x:f>
        <x:v>Matched</x:v>
      </x:c>
    </x:row>
    <x:row r="542">
      <x:c r="A542" s="12" t="str">
        <x:v>FU-20260608-00541</x:v>
      </x:c>
      <x:c r="B542" s="12" t="n">
        <x:v>671</x:v>
      </x:c>
      <x:c r="C542" s="14" t="n">
        <x:v>46181</x:v>
      </x:c>
      <x:c r="D542" s="12" t="str">
        <x:v>Senin</x:v>
      </x:c>
      <x:c r="E542" s="12" t="str">
        <x:v>07:46:00</x:v>
      </x:c>
      <x:c r="F542" s="12" t="str">
        <x:v>All Shift Day</x:v>
      </x:c>
      <x:c r="G542" s="12" t="str">
        <x:v>WTRL44G007</x:v>
      </x:c>
      <x:c r="H542" s="12" t="str">
        <x:v>Water Truck</x:v>
      </x:c>
      <x:c r="I542" s="12" t="str">
        <x:v>WATER TRUCK RENAULT KRANGE440-P6X4 A/T</x:v>
      </x:c>
      <x:c r="J542" s="16" t="n">
        <x:v>100</x:v>
      </x:c>
      <x:c r="K542" s="16" t="n">
        <x:v>1610</x:v>
      </x:c>
      <x:c r="L542" s="16" t="n">
        <x:v>1615</x:v>
      </x:c>
      <x:c r="M542" s="16" t="n">
        <x:v>5</x:v>
      </x:c>
      <x:c r="N542" s="16" t="n">
        <x:v>20</x:v>
      </x:c>
      <x:c r="O542" s="12" t="str">
        <x:v>FTRL44G005</x:v>
      </x:c>
      <x:c r="P542" s="12" t="str">
        <x:v>WTRL44G007</x:v>
      </x:c>
      <x:c r="Q542" s="12" t="str"/>
      <x:c r="R542" s="12" t="str"/>
      <x:c r="S542" s="12" t="str"/>
      <x:c r="T542" s="12" t="str">
        <x:v>ABM</x:v>
      </x:c>
      <x:c r="U542" s="12" t="str"/>
      <x:c r="V542" s="12" t="str"/>
      <x:c r="W542" s="12" t="str"/>
      <x:c r="X542" s="12" t="str">
        <x:v>WTRL44</x:v>
      </x:c>
      <x:c r="Y542" s="12" t="str">
        <x:v>ANDI &amp; ANGGI</x:v>
      </x:c>
      <x:c r="Z542" s="12" t="str"/>
      <x:c r="AA542" s="32" t="n">
        <x:f>IFERROR(VLOOKUP(G542,Master_Unit!$A$2:$N$78,7,FALSE),"")</x:f>
        <x:v>20</x:v>
      </x:c>
      <x:c r="AB542" s="32" t="n">
        <x:f>IF(OR(N542="",AA542=""),"",N542-AA542)</x:f>
        <x:v>0</x:v>
      </x:c>
      <x:c r="AC542" s="20" t="n">
        <x:f>IF(OR(N542="",AA542="",AA542=0),"",AB542/AA542)</x:f>
        <x:v>0</x:v>
      </x:c>
      <x:c r="AD542" t="str">
        <x:f>IF(AA542="","NO STANDARD",IF(AC542&lt;=Config_Status!$B$2,"EFFICIENT",IF(AC542&lt;=Config_Status!$B$3,"NORMAL",IF(AC542&lt;=Config_Status!$B$4,"WARNING","OVER CONSUMPTION"))))</x:f>
        <x:v>NORMAL</x:v>
      </x:c>
      <x:c r="AE542" t="str">
        <x:f>IFERROR(VLOOKUP(G542,Master_Unit!$A$2:$N$78,13,FALSE),"UNIT NOT FOUND")</x:f>
        <x:v>Matched</x:v>
      </x:c>
    </x:row>
    <x:row r="543">
      <x:c r="A543" s="12" t="str">
        <x:v>FU-20260608-00542</x:v>
      </x:c>
      <x:c r="B543" s="12" t="n">
        <x:v>672</x:v>
      </x:c>
      <x:c r="C543" s="14" t="n">
        <x:v>46181</x:v>
      </x:c>
      <x:c r="D543" s="12" t="str">
        <x:v>Senin</x:v>
      </x:c>
      <x:c r="E543" s="12" t="str">
        <x:v>07:48:00</x:v>
      </x:c>
      <x:c r="F543" s="12" t="str">
        <x:v>All Shift Day</x:v>
      </x:c>
      <x:c r="G543" s="12" t="str">
        <x:v>WFIZ15G001</x:v>
      </x:c>
      <x:c r="H543" s="12" t="str">
        <x:v>Other</x:v>
      </x:c>
      <x:c r="I543" s="12" t="str">
        <x:v>WATERFILL ISUZU ELF-150</x:v>
      </x:c>
      <x:c r="J543" s="16" t="n">
        <x:v>5</x:v>
      </x:c>
      <x:c r="K543" s="16" t="n">
        <x:v>439</x:v>
      </x:c>
      <x:c r="L543" s="16" t="n">
        <x:v>445</x:v>
      </x:c>
      <x:c r="M543" s="16" t="n">
        <x:v>6</x:v>
      </x:c>
      <x:c r="N543" s="16" t="n">
        <x:v>0.8333333333333334</x:v>
      </x:c>
      <x:c r="O543" s="12" t="str">
        <x:v>FTRL44G005</x:v>
      </x:c>
      <x:c r="P543" s="12" t="str">
        <x:v>WFIZ15G001</x:v>
      </x:c>
      <x:c r="Q543" s="12" t="str"/>
      <x:c r="R543" s="12" t="str"/>
      <x:c r="S543" s="12" t="str"/>
      <x:c r="T543" s="12" t="str">
        <x:v>ABM</x:v>
      </x:c>
      <x:c r="U543" s="12" t="str"/>
      <x:c r="V543" s="12" t="str"/>
      <x:c r="W543" s="12" t="str"/>
      <x:c r="X543" s="12" t="str">
        <x:v>WFIZ15</x:v>
      </x:c>
      <x:c r="Y543" s="12" t="str">
        <x:v>ANDI &amp; ANGGI</x:v>
      </x:c>
      <x:c r="Z543" s="12" t="str"/>
      <x:c r="AA543" s="32" t="str">
        <x:f>IFERROR(VLOOKUP(G543,Master_Unit!$A$2:$N$78,7,FALSE),"")</x:f>
      </x:c>
      <x:c r="AB543" s="32" t="str">
        <x:f>IF(OR(N543="",AA543=""),"",N543-AA543)</x:f>
      </x:c>
      <x:c r="AC543" s="20" t="str">
        <x:f>IF(OR(N543="",AA543="",AA543=0),"",AB543/AA543)</x:f>
      </x:c>
      <x:c r="AD543" t="str">
        <x:f>IF(AA543="","NO STANDARD",IF(AC543&lt;=Config_Status!$B$2,"EFFICIENT",IF(AC543&lt;=Config_Status!$B$3,"NORMAL",IF(AC543&lt;=Config_Status!$B$4,"WARNING","OVER CONSUMPTION"))))</x:f>
        <x:v>NO STANDARD</x:v>
      </x:c>
      <x:c r="AE543" t="str">
        <x:f>IFERROR(VLOOKUP(G543,Master_Unit!$A$2:$N$78,13,FALSE),"UNIT NOT FOUND")</x:f>
        <x:v>No Standard</x:v>
      </x:c>
    </x:row>
    <x:row r="544">
      <x:c r="A544" s="12" t="str">
        <x:v>FU-20260608-00543</x:v>
      </x:c>
      <x:c r="B544" s="12" t="n">
        <x:v>673</x:v>
      </x:c>
      <x:c r="C544" s="14" t="n">
        <x:v>46181</x:v>
      </x:c>
      <x:c r="D544" s="12" t="str">
        <x:v>Senin</x:v>
      </x:c>
      <x:c r="E544" s="12" t="str">
        <x:v>07:51:00</x:v>
      </x:c>
      <x:c r="F544" s="12" t="str">
        <x:v>All Shift Day</x:v>
      </x:c>
      <x:c r="G544" s="12" t="str">
        <x:v>SLRL48G001</x:v>
      </x:c>
      <x:c r="H544" s="12" t="str">
        <x:v>Self Loader</x:v>
      </x:c>
      <x:c r="I544" s="12" t="str">
        <x:v>SELF LOADER RENAULT KRANGE480-P8X4 A/T</x:v>
      </x:c>
      <x:c r="J544" s="16" t="n">
        <x:v>40</x:v>
      </x:c>
      <x:c r="K544" s="16" t="n">
        <x:v>168</x:v>
      </x:c>
      <x:c r="L544" s="16" t="n">
        <x:v>175</x:v>
      </x:c>
      <x:c r="M544" s="16" t="n">
        <x:v>7</x:v>
      </x:c>
      <x:c r="N544" s="16" t="n">
        <x:v>5.714285714285714</x:v>
      </x:c>
      <x:c r="O544" s="12" t="str">
        <x:v>FTRL44G005</x:v>
      </x:c>
      <x:c r="P544" s="12" t="str">
        <x:v>SLRL48G001</x:v>
      </x:c>
      <x:c r="Q544" s="12" t="str"/>
      <x:c r="R544" s="12" t="str"/>
      <x:c r="S544" s="12" t="str"/>
      <x:c r="T544" s="12" t="str">
        <x:v>ABM</x:v>
      </x:c>
      <x:c r="U544" s="12" t="str"/>
      <x:c r="V544" s="12" t="str"/>
      <x:c r="W544" s="12" t="str"/>
      <x:c r="X544" s="12" t="str">
        <x:v>SLRL48</x:v>
      </x:c>
      <x:c r="Y544" s="12" t="str">
        <x:v>ANDI &amp; ANGGI</x:v>
      </x:c>
      <x:c r="Z544" s="12" t="str"/>
      <x:c r="AA544" s="32" t="n">
        <x:f>IFERROR(VLOOKUP(G544,Master_Unit!$A$2:$N$78,7,FALSE),"")</x:f>
        <x:v>20</x:v>
      </x:c>
      <x:c r="AB544" s="32" t="n">
        <x:f>IF(OR(N544="",AA544=""),"",N544-AA544)</x:f>
        <x:v>-14.285714285714285</x:v>
      </x:c>
      <x:c r="AC544" s="20" t="n">
        <x:f>IF(OR(N544="",AA544="",AA544=0),"",AB544/AA544)</x:f>
        <x:v>-0.7142857142857142</x:v>
      </x:c>
      <x:c r="AD544" t="str">
        <x:f>IF(AA544="","NO STANDARD",IF(AC544&lt;=Config_Status!$B$2,"EFFICIENT",IF(AC544&lt;=Config_Status!$B$3,"NORMAL",IF(AC544&lt;=Config_Status!$B$4,"WARNING","OVER CONSUMPTION"))))</x:f>
        <x:v>EFFICIENT</x:v>
      </x:c>
      <x:c r="AE544" t="str">
        <x:f>IFERROR(VLOOKUP(G544,Master_Unit!$A$2:$N$78,13,FALSE),"UNIT NOT FOUND")</x:f>
        <x:v>Matched</x:v>
      </x:c>
    </x:row>
    <x:row r="545">
      <x:c r="A545" s="12" t="str">
        <x:v>FU-20260608-00544</x:v>
      </x:c>
      <x:c r="B545" s="12" t="n">
        <x:v>674</x:v>
      </x:c>
      <x:c r="C545" s="14" t="n">
        <x:v>46181</x:v>
      </x:c>
      <x:c r="D545" s="12" t="str">
        <x:v>Senin</x:v>
      </x:c>
      <x:c r="E545" s="12" t="str">
        <x:v>08:09:00</x:v>
      </x:c>
      <x:c r="F545" s="12" t="str">
        <x:v>All Shift Day</x:v>
      </x:c>
      <x:c r="G545" s="12" t="str">
        <x:v>STRL44G134</x:v>
      </x:c>
      <x:c r="H545" s="12" t="str">
        <x:v>Dump Truck</x:v>
      </x:c>
      <x:c r="I545" s="12" t="str">
        <x:v>DUMP TRUCK RENAULT KRANGE440-P6X4 A/T</x:v>
      </x:c>
      <x:c r="J545" s="16" t="n">
        <x:v>115</x:v>
      </x:c>
      <x:c r="K545" s="16" t="n">
        <x:v>5652</x:v>
      </x:c>
      <x:c r="L545" s="16" t="n">
        <x:v>5662</x:v>
      </x:c>
      <x:c r="M545" s="16" t="n">
        <x:v>10</x:v>
      </x:c>
      <x:c r="N545" s="16" t="n">
        <x:v>11.5</x:v>
      </x:c>
      <x:c r="O545" s="12" t="str">
        <x:v>FTRL44G005</x:v>
      </x:c>
      <x:c r="P545" s="12" t="str">
        <x:v>STRL44G134</x:v>
      </x:c>
      <x:c r="Q545" s="12" t="str"/>
      <x:c r="R545" s="12" t="str"/>
      <x:c r="S545" s="12" t="str"/>
      <x:c r="T545" s="12" t="str">
        <x:v>ABM</x:v>
      </x:c>
      <x:c r="U545" s="12" t="str"/>
      <x:c r="V545" s="12" t="str"/>
      <x:c r="W545" s="12" t="str"/>
      <x:c r="X545" s="12" t="str">
        <x:v>STRL44</x:v>
      </x:c>
      <x:c r="Y545" s="12" t="str">
        <x:v>ANDI &amp; ANGGI</x:v>
      </x:c>
      <x:c r="Z545" s="12" t="str"/>
      <x:c r="AA545" s="32" t="n">
        <x:f>IFERROR(VLOOKUP(G545,Master_Unit!$A$2:$N$78,7,FALSE),"")</x:f>
        <x:v>20</x:v>
      </x:c>
      <x:c r="AB545" s="32" t="n">
        <x:f>IF(OR(N545="",AA545=""),"",N545-AA545)</x:f>
        <x:v>-8.5</x:v>
      </x:c>
      <x:c r="AC545" s="20" t="n">
        <x:f>IF(OR(N545="",AA545="",AA545=0),"",AB545/AA545)</x:f>
        <x:v>-0.425</x:v>
      </x:c>
      <x:c r="AD545" t="str">
        <x:f>IF(AA545="","NO STANDARD",IF(AC545&lt;=Config_Status!$B$2,"EFFICIENT",IF(AC545&lt;=Config_Status!$B$3,"NORMAL",IF(AC545&lt;=Config_Status!$B$4,"WARNING","OVER CONSUMPTION"))))</x:f>
        <x:v>EFFICIENT</x:v>
      </x:c>
      <x:c r="AE545" t="str">
        <x:f>IFERROR(VLOOKUP(G545,Master_Unit!$A$2:$N$78,13,FALSE),"UNIT NOT FOUND")</x:f>
        <x:v>Matched</x:v>
      </x:c>
    </x:row>
    <x:row r="546">
      <x:c r="A546" s="12" t="str">
        <x:v>FU-20260608-00545</x:v>
      </x:c>
      <x:c r="B546" s="12" t="n">
        <x:v>675</x:v>
      </x:c>
      <x:c r="C546" s="14" t="n">
        <x:v>46181</x:v>
      </x:c>
      <x:c r="D546" s="12" t="str">
        <x:v>Senin</x:v>
      </x:c>
      <x:c r="E546" s="12" t="str">
        <x:v>08:22:00</x:v>
      </x:c>
      <x:c r="F546" s="12" t="str">
        <x:v>All Shift Day</x:v>
      </x:c>
      <x:c r="G546" s="12" t="str">
        <x:v>STRL44G137</x:v>
      </x:c>
      <x:c r="H546" s="12" t="str">
        <x:v>Dump Truck</x:v>
      </x:c>
      <x:c r="I546" s="12" t="str">
        <x:v>DUMP TRUCK RENAULT KRANGE440-P6X4 A/T</x:v>
      </x:c>
      <x:c r="J546" s="16" t="n">
        <x:v>121</x:v>
      </x:c>
      <x:c r="K546" s="16" t="n">
        <x:v>6386</x:v>
      </x:c>
      <x:c r="L546" s="16" t="n">
        <x:v>6397</x:v>
      </x:c>
      <x:c r="M546" s="16" t="n">
        <x:v>11</x:v>
      </x:c>
      <x:c r="N546" s="16" t="n">
        <x:v>11</x:v>
      </x:c>
      <x:c r="O546" s="12" t="str">
        <x:v>FTRL44G005</x:v>
      </x:c>
      <x:c r="P546" s="12" t="str">
        <x:v>STRL44G137</x:v>
      </x:c>
      <x:c r="Q546" s="12" t="str"/>
      <x:c r="R546" s="12" t="str"/>
      <x:c r="S546" s="12" t="str"/>
      <x:c r="T546" s="12" t="str">
        <x:v>ABM</x:v>
      </x:c>
      <x:c r="U546" s="12" t="str"/>
      <x:c r="V546" s="12" t="str"/>
      <x:c r="W546" s="12" t="str"/>
      <x:c r="X546" s="12" t="str">
        <x:v>STRL44</x:v>
      </x:c>
      <x:c r="Y546" s="12" t="str">
        <x:v>ANDI &amp; ANGGI</x:v>
      </x:c>
      <x:c r="Z546" s="12" t="str"/>
      <x:c r="AA546" s="32" t="n">
        <x:f>IFERROR(VLOOKUP(G546,Master_Unit!$A$2:$N$78,7,FALSE),"")</x:f>
        <x:v>20</x:v>
      </x:c>
      <x:c r="AB546" s="32" t="n">
        <x:f>IF(OR(N546="",AA546=""),"",N546-AA546)</x:f>
        <x:v>-9</x:v>
      </x:c>
      <x:c r="AC546" s="20" t="n">
        <x:f>IF(OR(N546="",AA546="",AA546=0),"",AB546/AA546)</x:f>
        <x:v>-0.45</x:v>
      </x:c>
      <x:c r="AD546" t="str">
        <x:f>IF(AA546="","NO STANDARD",IF(AC546&lt;=Config_Status!$B$2,"EFFICIENT",IF(AC546&lt;=Config_Status!$B$3,"NORMAL",IF(AC546&lt;=Config_Status!$B$4,"WARNING","OVER CONSUMPTION"))))</x:f>
        <x:v>EFFICIENT</x:v>
      </x:c>
      <x:c r="AE546" t="str">
        <x:f>IFERROR(VLOOKUP(G546,Master_Unit!$A$2:$N$78,13,FALSE),"UNIT NOT FOUND")</x:f>
        <x:v>Matched</x:v>
      </x:c>
    </x:row>
    <x:row r="547">
      <x:c r="A547" s="12" t="str">
        <x:v>FU-20260608-00546</x:v>
      </x:c>
      <x:c r="B547" s="12" t="n">
        <x:v>676</x:v>
      </x:c>
      <x:c r="C547" s="14" t="n">
        <x:v>46181</x:v>
      </x:c>
      <x:c r="D547" s="12" t="str">
        <x:v>Senin</x:v>
      </x:c>
      <x:c r="E547" s="12" t="str">
        <x:v>08:30:00</x:v>
      </x:c>
      <x:c r="F547" s="12" t="str">
        <x:v>All Shift Day</x:v>
      </x:c>
      <x:c r="G547" s="12" t="str">
        <x:v>MGSD20G007</x:v>
      </x:c>
      <x:c r="H547" s="12" t="str">
        <x:v>Other</x:v>
      </x:c>
      <x:c r="I547" s="12" t="str">
        <x:v>MOTOR GRADER SDLG GD9220F</x:v>
      </x:c>
      <x:c r="J547" s="16" t="n">
        <x:v>92</x:v>
      </x:c>
      <x:c r="K547" s="16" t="n">
        <x:v>3718.3</x:v>
      </x:c>
      <x:c r="L547" s="16" t="n">
        <x:v>3724.9</x:v>
      </x:c>
      <x:c r="M547" s="16" t="n">
        <x:v>6.599999999999909</x:v>
      </x:c>
      <x:c r="N547" s="16" t="n">
        <x:v>13.939393939394131</x:v>
      </x:c>
      <x:c r="O547" s="12" t="str">
        <x:v>FTRL44G005</x:v>
      </x:c>
      <x:c r="P547" s="12" t="str">
        <x:v>MGSD20G007</x:v>
      </x:c>
      <x:c r="Q547" s="12" t="str"/>
      <x:c r="R547" s="12" t="str"/>
      <x:c r="S547" s="12" t="str"/>
      <x:c r="T547" s="12" t="str">
        <x:v>ABM</x:v>
      </x:c>
      <x:c r="U547" s="12" t="str"/>
      <x:c r="V547" s="12" t="str"/>
      <x:c r="W547" s="12" t="str"/>
      <x:c r="X547" s="12" t="str">
        <x:v>MGSD20</x:v>
      </x:c>
      <x:c r="Y547" s="12" t="str">
        <x:v>ANDI &amp; ANGGI</x:v>
      </x:c>
      <x:c r="Z547" s="12" t="str"/>
      <x:c r="AA547" s="32" t="n">
        <x:f>IFERROR(VLOOKUP(G547,Master_Unit!$A$2:$N$78,7,FALSE),"")</x:f>
        <x:v>20</x:v>
      </x:c>
      <x:c r="AB547" s="32" t="n">
        <x:f>IF(OR(N547="",AA547=""),"",N547-AA547)</x:f>
        <x:v>-6.060606060605869</x:v>
      </x:c>
      <x:c r="AC547" s="20" t="n">
        <x:f>IF(OR(N547="",AA547="",AA547=0),"",AB547/AA547)</x:f>
        <x:v>-0.30303030303029344</x:v>
      </x:c>
      <x:c r="AD547" t="str">
        <x:f>IF(AA547="","NO STANDARD",IF(AC547&lt;=Config_Status!$B$2,"EFFICIENT",IF(AC547&lt;=Config_Status!$B$3,"NORMAL",IF(AC547&lt;=Config_Status!$B$4,"WARNING","OVER CONSUMPTION"))))</x:f>
        <x:v>EFFICIENT</x:v>
      </x:c>
      <x:c r="AE547" t="str">
        <x:f>IFERROR(VLOOKUP(G547,Master_Unit!$A$2:$N$78,13,FALSE),"UNIT NOT FOUND")</x:f>
        <x:v>Matched</x:v>
      </x:c>
    </x:row>
    <x:row r="548">
      <x:c r="A548" s="12" t="str">
        <x:v>FU-20260608-00547</x:v>
      </x:c>
      <x:c r="B548" s="12" t="n">
        <x:v>677</x:v>
      </x:c>
      <x:c r="C548" s="14" t="n">
        <x:v>46181</x:v>
      </x:c>
      <x:c r="D548" s="12" t="str">
        <x:v>Senin</x:v>
      </x:c>
      <x:c r="E548" s="12" t="str">
        <x:v>08:36:00</x:v>
      </x:c>
      <x:c r="F548" s="12" t="str">
        <x:v>All Shift Day</x:v>
      </x:c>
      <x:c r="G548" s="12" t="str">
        <x:v>LVTH24R036</x:v>
      </x:c>
      <x:c r="H548" s="12" t="str">
        <x:v>Light Vehicle</x:v>
      </x:c>
      <x:c r="I548" s="12" t="str">
        <x:v>LIGHT VEHICLE TOYOTA HILUX</x:v>
      </x:c>
      <x:c r="J548" s="16" t="n">
        <x:v>20</x:v>
      </x:c>
      <x:c r="K548" s="16" t="n">
        <x:v>63013</x:v>
      </x:c>
      <x:c r="L548" s="16" t="n">
        <x:v>63058</x:v>
      </x:c>
      <x:c r="M548" s="16" t="n">
        <x:v>45</x:v>
      </x:c>
      <x:c r="N548" s="16" t="n">
        <x:v>0.4444444444444444</x:v>
      </x:c>
      <x:c r="O548" s="12" t="str">
        <x:v>FTRL44G005</x:v>
      </x:c>
      <x:c r="P548" s="12" t="str">
        <x:v>LVTH24R036</x:v>
      </x:c>
      <x:c r="Q548" s="12" t="str"/>
      <x:c r="R548" s="12" t="str"/>
      <x:c r="S548" s="12" t="str"/>
      <x:c r="T548" s="12" t="str">
        <x:v>ABM</x:v>
      </x:c>
      <x:c r="U548" s="12" t="str"/>
      <x:c r="V548" s="12" t="str"/>
      <x:c r="W548" s="12" t="str"/>
      <x:c r="X548" s="12" t="str">
        <x:v>LVTH24</x:v>
      </x:c>
      <x:c r="Y548" s="12" t="str">
        <x:v>ANDI &amp; ANGGI</x:v>
      </x:c>
      <x:c r="Z548" s="12" t="str"/>
      <x:c r="AA548" s="32" t="n">
        <x:f>IFERROR(VLOOKUP(G548,Master_Unit!$A$2:$N$78,7,FALSE),"")</x:f>
        <x:v>0.2</x:v>
      </x:c>
      <x:c r="AB548" s="32" t="n">
        <x:f>IF(OR(N548="",AA548=""),"",N548-AA548)</x:f>
        <x:v>0.2444444444444444</x:v>
      </x:c>
      <x:c r="AC548" s="20" t="n">
        <x:f>IF(OR(N548="",AA548="",AA548=0),"",AB548/AA548)</x:f>
        <x:v>1.2222222222222219</x:v>
      </x:c>
      <x:c r="AD548" t="str">
        <x:f>IF(AA548="","NO STANDARD",IF(AC548&lt;=Config_Status!$B$2,"EFFICIENT",IF(AC548&lt;=Config_Status!$B$3,"NORMAL",IF(AC548&lt;=Config_Status!$B$4,"WARNING","OVER CONSUMPTION"))))</x:f>
        <x:v>OVER CONSUMPTION</x:v>
      </x:c>
      <x:c r="AE548" t="str">
        <x:f>IFERROR(VLOOKUP(G548,Master_Unit!$A$2:$N$78,13,FALSE),"UNIT NOT FOUND")</x:f>
        <x:v>Matched</x:v>
      </x:c>
    </x:row>
    <x:row r="549">
      <x:c r="A549" s="12" t="str">
        <x:v>FU-20260608-00548</x:v>
      </x:c>
      <x:c r="B549" s="12" t="n">
        <x:v>678</x:v>
      </x:c>
      <x:c r="C549" s="14" t="n">
        <x:v>46181</x:v>
      </x:c>
      <x:c r="D549" s="12" t="str">
        <x:v>Senin</x:v>
      </x:c>
      <x:c r="E549" s="12" t="str">
        <x:v>08:42:00</x:v>
      </x:c>
      <x:c r="F549" s="12" t="str">
        <x:v>All Shift Day</x:v>
      </x:c>
      <x:c r="G549" s="12" t="str">
        <x:v>STRL44G141</x:v>
      </x:c>
      <x:c r="H549" s="12" t="str">
        <x:v>Dump Truck</x:v>
      </x:c>
      <x:c r="I549" s="12" t="str">
        <x:v>DUMP TRUCK RENAULT KRANGE440-P6X4 A/T</x:v>
      </x:c>
      <x:c r="J549" s="16" t="n">
        <x:v>141</x:v>
      </x:c>
      <x:c r="K549" s="16" t="n">
        <x:v>3157</x:v>
      </x:c>
      <x:c r="L549" s="16" t="n">
        <x:v>3171</x:v>
      </x:c>
      <x:c r="M549" s="16" t="n">
        <x:v>14</x:v>
      </x:c>
      <x:c r="N549" s="16" t="n">
        <x:v>10.071428571428571</x:v>
      </x:c>
      <x:c r="O549" s="12" t="str">
        <x:v>FTRL44G005</x:v>
      </x:c>
      <x:c r="P549" s="12" t="str">
        <x:v>STRL44G141</x:v>
      </x:c>
      <x:c r="Q549" s="12" t="str"/>
      <x:c r="R549" s="12" t="str"/>
      <x:c r="S549" s="12" t="str"/>
      <x:c r="T549" s="12" t="str">
        <x:v>ABM</x:v>
      </x:c>
      <x:c r="U549" s="12" t="str"/>
      <x:c r="V549" s="12" t="str"/>
      <x:c r="W549" s="12" t="str"/>
      <x:c r="X549" s="12" t="str">
        <x:v>STRL44</x:v>
      </x:c>
      <x:c r="Y549" s="12" t="str">
        <x:v>ANDI &amp; ANGGI</x:v>
      </x:c>
      <x:c r="Z549" s="12" t="str"/>
      <x:c r="AA549" s="32" t="n">
        <x:f>IFERROR(VLOOKUP(G549,Master_Unit!$A$2:$N$78,7,FALSE),"")</x:f>
        <x:v>20</x:v>
      </x:c>
      <x:c r="AB549" s="32" t="n">
        <x:f>IF(OR(N549="",AA549=""),"",N549-AA549)</x:f>
        <x:v>-9.928571428571429</x:v>
      </x:c>
      <x:c r="AC549" s="20" t="n">
        <x:f>IF(OR(N549="",AA549="",AA549=0),"",AB549/AA549)</x:f>
        <x:v>-0.49642857142857144</x:v>
      </x:c>
      <x:c r="AD549" t="str">
        <x:f>IF(AA549="","NO STANDARD",IF(AC549&lt;=Config_Status!$B$2,"EFFICIENT",IF(AC549&lt;=Config_Status!$B$3,"NORMAL",IF(AC549&lt;=Config_Status!$B$4,"WARNING","OVER CONSUMPTION"))))</x:f>
        <x:v>EFFICIENT</x:v>
      </x:c>
      <x:c r="AE549" t="str">
        <x:f>IFERROR(VLOOKUP(G549,Master_Unit!$A$2:$N$78,13,FALSE),"UNIT NOT FOUND")</x:f>
        <x:v>Matched</x:v>
      </x:c>
    </x:row>
    <x:row r="550">
      <x:c r="A550" s="12" t="str">
        <x:v>FU-20260608-00549</x:v>
      </x:c>
      <x:c r="B550" s="12" t="n">
        <x:v>679</x:v>
      </x:c>
      <x:c r="C550" s="14" t="n">
        <x:v>46181</x:v>
      </x:c>
      <x:c r="D550" s="12" t="str">
        <x:v>Senin</x:v>
      </x:c>
      <x:c r="E550" s="12" t="str">
        <x:v>09:03:00</x:v>
      </x:c>
      <x:c r="F550" s="12" t="str">
        <x:v>All Shift Day</x:v>
      </x:c>
      <x:c r="G550" s="12" t="str">
        <x:v>STRL44G135</x:v>
      </x:c>
      <x:c r="H550" s="12" t="str">
        <x:v>Dump Truck</x:v>
      </x:c>
      <x:c r="I550" s="12" t="str">
        <x:v>DUMP TRUCK RENAULT KRANGE440-P6X4 A/T</x:v>
      </x:c>
      <x:c r="J550" s="16" t="n">
        <x:v>121</x:v>
      </x:c>
      <x:c r="K550" s="16" t="n">
        <x:v>5817</x:v>
      </x:c>
      <x:c r="L550" s="16" t="n">
        <x:v>5837</x:v>
      </x:c>
      <x:c r="M550" s="16" t="n">
        <x:v>20</x:v>
      </x:c>
      <x:c r="N550" s="16" t="n">
        <x:v>6.05</x:v>
      </x:c>
      <x:c r="O550" s="12" t="str">
        <x:v>FTRL44G005</x:v>
      </x:c>
      <x:c r="P550" s="12" t="str">
        <x:v>STRL44G135</x:v>
      </x:c>
      <x:c r="Q550" s="12" t="str"/>
      <x:c r="R550" s="12" t="str"/>
      <x:c r="S550" s="12" t="str"/>
      <x:c r="T550" s="12" t="str">
        <x:v>ABM</x:v>
      </x:c>
      <x:c r="U550" s="12" t="str"/>
      <x:c r="V550" s="12" t="str"/>
      <x:c r="W550" s="12" t="str"/>
      <x:c r="X550" s="12" t="str">
        <x:v>STRL44</x:v>
      </x:c>
      <x:c r="Y550" s="12" t="str">
        <x:v>ANDI &amp; ANGGI</x:v>
      </x:c>
      <x:c r="Z550" s="12" t="str"/>
      <x:c r="AA550" s="32" t="n">
        <x:f>IFERROR(VLOOKUP(G550,Master_Unit!$A$2:$N$78,7,FALSE),"")</x:f>
        <x:v>20</x:v>
      </x:c>
      <x:c r="AB550" s="32" t="n">
        <x:f>IF(OR(N550="",AA550=""),"",N550-AA550)</x:f>
        <x:v>-13.95</x:v>
      </x:c>
      <x:c r="AC550" s="20" t="n">
        <x:f>IF(OR(N550="",AA550="",AA550=0),"",AB550/AA550)</x:f>
        <x:v>-0.6975</x:v>
      </x:c>
      <x:c r="AD550" t="str">
        <x:f>IF(AA550="","NO STANDARD",IF(AC550&lt;=Config_Status!$B$2,"EFFICIENT",IF(AC550&lt;=Config_Status!$B$3,"NORMAL",IF(AC550&lt;=Config_Status!$B$4,"WARNING","OVER CONSUMPTION"))))</x:f>
        <x:v>EFFICIENT</x:v>
      </x:c>
      <x:c r="AE550" t="str">
        <x:f>IFERROR(VLOOKUP(G550,Master_Unit!$A$2:$N$78,13,FALSE),"UNIT NOT FOUND")</x:f>
        <x:v>Matched</x:v>
      </x:c>
    </x:row>
    <x:row r="551">
      <x:c r="A551" s="12" t="str">
        <x:v>FU-20260608-00550</x:v>
      </x:c>
      <x:c r="B551" s="12" t="n">
        <x:v>680</x:v>
      </x:c>
      <x:c r="C551" s="14" t="n">
        <x:v>46181</x:v>
      </x:c>
      <x:c r="D551" s="12" t="str">
        <x:v>Senin</x:v>
      </x:c>
      <x:c r="E551" s="12" t="str">
        <x:v>06:26:00</x:v>
      </x:c>
      <x:c r="F551" s="12" t="str">
        <x:v>All Shift Day</x:v>
      </x:c>
      <x:c r="G551" s="12" t="str">
        <x:v>GSHT40G002</x:v>
      </x:c>
      <x:c r="H551" s="12" t="str">
        <x:v>Genset</x:v>
      </x:c>
      <x:c r="I551" s="12" t="str">
        <x:v>GENSET HARTECH HT-400-V</x:v>
      </x:c>
      <x:c r="J551" s="16" t="n">
        <x:v>613</x:v>
      </x:c>
      <x:c r="K551" s="16" t="n">
        <x:v>14628.1</x:v>
      </x:c>
      <x:c r="L551" s="16" t="n">
        <x:v>14651.38</x:v>
      </x:c>
      <x:c r="M551" s="16" t="n">
        <x:v>23.279999999998836</x:v>
      </x:c>
      <x:c r="N551" s="16" t="n">
        <x:v>26.33161512027623</x:v>
      </x:c>
      <x:c r="O551" s="12" t="str">
        <x:v>FTRL44G004</x:v>
      </x:c>
      <x:c r="P551" s="12" t="str">
        <x:v>GSHT40G002</x:v>
      </x:c>
      <x:c r="Q551" s="12" t="str"/>
      <x:c r="R551" s="12" t="str"/>
      <x:c r="S551" s="12" t="str"/>
      <x:c r="T551" s="12" t="str">
        <x:v>ABM</x:v>
      </x:c>
      <x:c r="U551" s="12" t="str"/>
      <x:c r="V551" s="12" t="str"/>
      <x:c r="W551" s="12" t="str"/>
      <x:c r="X551" s="12" t="str">
        <x:v>GSHT40</x:v>
      </x:c>
      <x:c r="Y551" s="12" t="str">
        <x:v>FANGKI &amp; ACUNG</x:v>
      </x:c>
      <x:c r="Z551" s="12" t="str"/>
      <x:c r="AA551" s="32" t="n">
        <x:f>IFERROR(VLOOKUP(G551,Master_Unit!$A$2:$N$78,7,FALSE),"")</x:f>
        <x:v>25</x:v>
      </x:c>
      <x:c r="AB551" s="32" t="n">
        <x:f>IF(OR(N551="",AA551=""),"",N551-AA551)</x:f>
        <x:v>1.3316151202762292</x:v>
      </x:c>
      <x:c r="AC551" s="20" t="n">
        <x:f>IF(OR(N551="",AA551="",AA551=0),"",AB551/AA551)</x:f>
        <x:v>0.053264604811049165</x:v>
      </x:c>
      <x:c r="AD551" t="str">
        <x:f>IF(AA551="","NO STANDARD",IF(AC551&lt;=Config_Status!$B$2,"EFFICIENT",IF(AC551&lt;=Config_Status!$B$3,"NORMAL",IF(AC551&lt;=Config_Status!$B$4,"WARNING","OVER CONSUMPTION"))))</x:f>
        <x:v>NORMAL</x:v>
      </x:c>
      <x:c r="AE551" t="str">
        <x:f>IFERROR(VLOOKUP(G551,Master_Unit!$A$2:$N$78,13,FALSE),"UNIT NOT FOUND")</x:f>
        <x:v>Matched</x:v>
      </x:c>
    </x:row>
    <x:row r="552">
      <x:c r="A552" s="12" t="str">
        <x:v>FU-20260608-00551</x:v>
      </x:c>
      <x:c r="B552" s="12" t="n">
        <x:v>681</x:v>
      </x:c>
      <x:c r="C552" s="14" t="n">
        <x:v>46181</x:v>
      </x:c>
      <x:c r="D552" s="12" t="str">
        <x:v>Senin</x:v>
      </x:c>
      <x:c r="E552" s="12" t="str">
        <x:v>07:10:00</x:v>
      </x:c>
      <x:c r="F552" s="12" t="str">
        <x:v>All Shift Day</x:v>
      </x:c>
      <x:c r="G552" s="12" t="str">
        <x:v>EXVV21G038</x:v>
      </x:c>
      <x:c r="H552" s="12" t="str">
        <x:v>Excavator</x:v>
      </x:c>
      <x:c r="I552" s="12" t="str">
        <x:v>EXCAVATOR VOLVO EC210D</x:v>
      </x:c>
      <x:c r="J552" s="16" t="n">
        <x:v>154</x:v>
      </x:c>
      <x:c r="K552" s="16" t="n">
        <x:v>4177.7</x:v>
      </x:c>
      <x:c r="L552" s="16" t="n">
        <x:v>4195.4</x:v>
      </x:c>
      <x:c r="M552" s="16" t="n">
        <x:v>17.699999999999818</x:v>
      </x:c>
      <x:c r="N552" s="16" t="n">
        <x:v>8.700564971751502</x:v>
      </x:c>
      <x:c r="O552" s="12" t="str">
        <x:v>FTRL44G004</x:v>
      </x:c>
      <x:c r="P552" s="12" t="str">
        <x:v>EXVV21G038</x:v>
      </x:c>
      <x:c r="Q552" s="12" t="str"/>
      <x:c r="R552" s="12" t="str"/>
      <x:c r="S552" s="12" t="str"/>
      <x:c r="T552" s="12" t="str">
        <x:v>ABM</x:v>
      </x:c>
      <x:c r="U552" s="12" t="str"/>
      <x:c r="V552" s="12" t="str"/>
      <x:c r="W552" s="12" t="str"/>
      <x:c r="X552" s="12" t="str">
        <x:v>EXVV21</x:v>
      </x:c>
      <x:c r="Y552" s="12" t="str">
        <x:v>FANGKI &amp; ACUNG</x:v>
      </x:c>
      <x:c r="Z552" s="12" t="str"/>
      <x:c r="AA552" s="32" t="n">
        <x:f>IFERROR(VLOOKUP(G552,Master_Unit!$A$2:$N$78,7,FALSE),"")</x:f>
        <x:v>20</x:v>
      </x:c>
      <x:c r="AB552" s="32" t="n">
        <x:f>IF(OR(N552="",AA552=""),"",N552-AA552)</x:f>
        <x:v>-11.299435028248498</x:v>
      </x:c>
      <x:c r="AC552" s="20" t="n">
        <x:f>IF(OR(N552="",AA552="",AA552=0),"",AB552/AA552)</x:f>
        <x:v>-0.5649717514124248</x:v>
      </x:c>
      <x:c r="AD552" t="str">
        <x:f>IF(AA552="","NO STANDARD",IF(AC552&lt;=Config_Status!$B$2,"EFFICIENT",IF(AC552&lt;=Config_Status!$B$3,"NORMAL",IF(AC552&lt;=Config_Status!$B$4,"WARNING","OVER CONSUMPTION"))))</x:f>
        <x:v>EFFICIENT</x:v>
      </x:c>
      <x:c r="AE552" t="str">
        <x:f>IFERROR(VLOOKUP(G552,Master_Unit!$A$2:$N$78,13,FALSE),"UNIT NOT FOUND")</x:f>
        <x:v>Matched</x:v>
      </x:c>
    </x:row>
    <x:row r="553">
      <x:c r="A553" s="12" t="str">
        <x:v>FU-20260608-00552</x:v>
      </x:c>
      <x:c r="B553" s="12" t="n">
        <x:v>682</x:v>
      </x:c>
      <x:c r="C553" s="14" t="n">
        <x:v>46181</x:v>
      </x:c>
      <x:c r="D553" s="12" t="str">
        <x:v>Senin</x:v>
      </x:c>
      <x:c r="E553" s="12" t="str">
        <x:v>07:14:00</x:v>
      </x:c>
      <x:c r="F553" s="12" t="str">
        <x:v>All Shift Day</x:v>
      </x:c>
      <x:c r="G553" s="12" t="str">
        <x:v>EXVV21G041</x:v>
      </x:c>
      <x:c r="H553" s="12" t="str">
        <x:v>Excavator</x:v>
      </x:c>
      <x:c r="I553" s="12" t="str">
        <x:v>EXCAVATOR VOLVO EC210D</x:v>
      </x:c>
      <x:c r="J553" s="16" t="n">
        <x:v>151</x:v>
      </x:c>
      <x:c r="K553" s="16" t="n">
        <x:v>4498.8</x:v>
      </x:c>
      <x:c r="L553" s="16" t="n">
        <x:v>4507.7</x:v>
      </x:c>
      <x:c r="M553" s="16" t="n">
        <x:v>8.899999999999636</x:v>
      </x:c>
      <x:c r="N553" s="16" t="n">
        <x:v>16.966292134832155</x:v>
      </x:c>
      <x:c r="O553" s="12" t="str">
        <x:v>FTRL44G004</x:v>
      </x:c>
      <x:c r="P553" s="12" t="str">
        <x:v>EXVV21G041</x:v>
      </x:c>
      <x:c r="Q553" s="12" t="str"/>
      <x:c r="R553" s="12" t="str"/>
      <x:c r="S553" s="12" t="str"/>
      <x:c r="T553" s="12" t="str">
        <x:v>ABM</x:v>
      </x:c>
      <x:c r="U553" s="12" t="str"/>
      <x:c r="V553" s="12" t="str"/>
      <x:c r="W553" s="12" t="str"/>
      <x:c r="X553" s="12" t="str">
        <x:v>EXVV21</x:v>
      </x:c>
      <x:c r="Y553" s="12" t="str">
        <x:v>FANGKI &amp; ACUNG</x:v>
      </x:c>
      <x:c r="Z553" s="12" t="str"/>
      <x:c r="AA553" s="32" t="n">
        <x:f>IFERROR(VLOOKUP(G553,Master_Unit!$A$2:$N$78,7,FALSE),"")</x:f>
        <x:v>20</x:v>
      </x:c>
      <x:c r="AB553" s="32" t="n">
        <x:f>IF(OR(N553="",AA553=""),"",N553-AA553)</x:f>
        <x:v>-3.0337078651678446</x:v>
      </x:c>
      <x:c r="AC553" s="20" t="n">
        <x:f>IF(OR(N553="",AA553="",AA553=0),"",AB553/AA553)</x:f>
        <x:v>-0.15168539325839223</x:v>
      </x:c>
      <x:c r="AD553" t="str">
        <x:f>IF(AA553="","NO STANDARD",IF(AC553&lt;=Config_Status!$B$2,"EFFICIENT",IF(AC553&lt;=Config_Status!$B$3,"NORMAL",IF(AC553&lt;=Config_Status!$B$4,"WARNING","OVER CONSUMPTION"))))</x:f>
        <x:v>EFFICIENT</x:v>
      </x:c>
      <x:c r="AE553" t="str">
        <x:f>IFERROR(VLOOKUP(G553,Master_Unit!$A$2:$N$78,13,FALSE),"UNIT NOT FOUND")</x:f>
        <x:v>Matched</x:v>
      </x:c>
    </x:row>
    <x:row r="554">
      <x:c r="A554" s="12" t="str">
        <x:v>FU-20260608-00553</x:v>
      </x:c>
      <x:c r="B554" s="12" t="n">
        <x:v>683</x:v>
      </x:c>
      <x:c r="C554" s="14" t="n">
        <x:v>46181</x:v>
      </x:c>
      <x:c r="D554" s="12" t="str">
        <x:v>Senin</x:v>
      </x:c>
      <x:c r="E554" s="12" t="str">
        <x:v>07:21:00</x:v>
      </x:c>
      <x:c r="F554" s="12" t="str">
        <x:v>All Shift Day</x:v>
      </x:c>
      <x:c r="G554" s="12" t="str">
        <x:v>LVTH24R035</x:v>
      </x:c>
      <x:c r="H554" s="12" t="str">
        <x:v>Light Vehicle</x:v>
      </x:c>
      <x:c r="I554" s="12" t="str">
        <x:v>LIGHT VEHICLE TOYOTA HILUX</x:v>
      </x:c>
      <x:c r="J554" s="16" t="n">
        <x:v>31</x:v>
      </x:c>
      <x:c r="K554" s="16" t="n">
        <x:v>69569</x:v>
      </x:c>
      <x:c r="L554" s="16" t="n">
        <x:v>69725</x:v>
      </x:c>
      <x:c r="M554" s="16" t="n">
        <x:v>156</x:v>
      </x:c>
      <x:c r="N554" s="16" t="n">
        <x:v>0.1987179487179487</x:v>
      </x:c>
      <x:c r="O554" s="12" t="str">
        <x:v>FTRL44G004</x:v>
      </x:c>
      <x:c r="P554" s="12" t="str">
        <x:v>LVTH24R035</x:v>
      </x:c>
      <x:c r="Q554" s="12" t="str"/>
      <x:c r="R554" s="12" t="str"/>
      <x:c r="S554" s="12" t="str"/>
      <x:c r="T554" s="12" t="str">
        <x:v>ABM</x:v>
      </x:c>
      <x:c r="U554" s="12" t="str"/>
      <x:c r="V554" s="12" t="str"/>
      <x:c r="W554" s="12" t="str"/>
      <x:c r="X554" s="12" t="str">
        <x:v>LVTH24</x:v>
      </x:c>
      <x:c r="Y554" s="12" t="str">
        <x:v>FANGKI &amp; ACUNG</x:v>
      </x:c>
      <x:c r="Z554" s="12" t="str"/>
      <x:c r="AA554" s="32" t="n">
        <x:f>IFERROR(VLOOKUP(G554,Master_Unit!$A$2:$N$78,7,FALSE),"")</x:f>
        <x:v>0.2</x:v>
      </x:c>
      <x:c r="AB554" s="32" t="n">
        <x:f>IF(OR(N554="",AA554=""),"",N554-AA554)</x:f>
        <x:v>-0.0012820512820513053</x:v>
      </x:c>
      <x:c r="AC554" s="20" t="n">
        <x:f>IF(OR(N554="",AA554="",AA554=0),"",AB554/AA554)</x:f>
        <x:v>-0.006410256410256526</x:v>
      </x:c>
      <x:c r="AD554" t="str">
        <x:f>IF(AA554="","NO STANDARD",IF(AC554&lt;=Config_Status!$B$2,"EFFICIENT",IF(AC554&lt;=Config_Status!$B$3,"NORMAL",IF(AC554&lt;=Config_Status!$B$4,"WARNING","OVER CONSUMPTION"))))</x:f>
        <x:v>NORMAL</x:v>
      </x:c>
      <x:c r="AE554" t="str">
        <x:f>IFERROR(VLOOKUP(G554,Master_Unit!$A$2:$N$78,13,FALSE),"UNIT NOT FOUND")</x:f>
        <x:v>Matched</x:v>
      </x:c>
    </x:row>
    <x:row r="555">
      <x:c r="A555" s="12" t="str">
        <x:v>FU-20260608-00554</x:v>
      </x:c>
      <x:c r="B555" s="12" t="n">
        <x:v>684</x:v>
      </x:c>
      <x:c r="C555" s="14" t="n">
        <x:v>46181</x:v>
      </x:c>
      <x:c r="D555" s="12" t="str">
        <x:v>Senin</x:v>
      </x:c>
      <x:c r="E555" s="12" t="str">
        <x:v>07:41:00</x:v>
      </x:c>
      <x:c r="F555" s="12" t="str">
        <x:v>All Shift Day</x:v>
      </x:c>
      <x:c r="G555" s="12" t="str">
        <x:v>STRL44G143</x:v>
      </x:c>
      <x:c r="H555" s="12" t="str">
        <x:v>Dump Truck</x:v>
      </x:c>
      <x:c r="I555" s="12" t="str">
        <x:v>DUMP TRUCK RENAULT KRANGE440-P6X4 A/T</x:v>
      </x:c>
      <x:c r="J555" s="16" t="n">
        <x:v>153</x:v>
      </x:c>
      <x:c r="K555" s="16" t="n">
        <x:v>5224</x:v>
      </x:c>
      <x:c r="L555" s="16" t="n">
        <x:v>5231</x:v>
      </x:c>
      <x:c r="M555" s="16" t="n">
        <x:v>7</x:v>
      </x:c>
      <x:c r="N555" s="16" t="n">
        <x:v>21.857142857142858</x:v>
      </x:c>
      <x:c r="O555" s="12" t="str">
        <x:v>FTRL44G004</x:v>
      </x:c>
      <x:c r="P555" s="12" t="str">
        <x:v>STRL44G143</x:v>
      </x:c>
      <x:c r="Q555" s="12" t="str"/>
      <x:c r="R555" s="12" t="str"/>
      <x:c r="S555" s="12" t="str"/>
      <x:c r="T555" s="12" t="str">
        <x:v>ABM</x:v>
      </x:c>
      <x:c r="U555" s="12" t="str"/>
      <x:c r="V555" s="12" t="str"/>
      <x:c r="W555" s="12" t="str"/>
      <x:c r="X555" s="12" t="str">
        <x:v>STRL44</x:v>
      </x:c>
      <x:c r="Y555" s="12" t="str">
        <x:v>FANGKI &amp; ACUNG</x:v>
      </x:c>
      <x:c r="Z555" s="12" t="str"/>
      <x:c r="AA555" s="32" t="n">
        <x:f>IFERROR(VLOOKUP(G555,Master_Unit!$A$2:$N$78,7,FALSE),"")</x:f>
        <x:v>20</x:v>
      </x:c>
      <x:c r="AB555" s="32" t="n">
        <x:f>IF(OR(N555="",AA555=""),"",N555-AA555)</x:f>
        <x:v>1.8571428571428577</x:v>
      </x:c>
      <x:c r="AC555" s="20" t="n">
        <x:f>IF(OR(N555="",AA555="",AA555=0),"",AB555/AA555)</x:f>
        <x:v>0.09285714285714289</x:v>
      </x:c>
      <x:c r="AD555" t="str">
        <x:f>IF(AA555="","NO STANDARD",IF(AC555&lt;=Config_Status!$B$2,"EFFICIENT",IF(AC555&lt;=Config_Status!$B$3,"NORMAL",IF(AC555&lt;=Config_Status!$B$4,"WARNING","OVER CONSUMPTION"))))</x:f>
        <x:v>NORMAL</x:v>
      </x:c>
      <x:c r="AE555" t="str">
        <x:f>IFERROR(VLOOKUP(G555,Master_Unit!$A$2:$N$78,13,FALSE),"UNIT NOT FOUND")</x:f>
        <x:v>Matched</x:v>
      </x:c>
    </x:row>
    <x:row r="556">
      <x:c r="A556" s="12" t="str">
        <x:v>FU-20260608-00555</x:v>
      </x:c>
      <x:c r="B556" s="12" t="n">
        <x:v>685</x:v>
      </x:c>
      <x:c r="C556" s="14" t="n">
        <x:v>46181</x:v>
      </x:c>
      <x:c r="D556" s="12" t="str">
        <x:v>Senin</x:v>
      </x:c>
      <x:c r="E556" s="12" t="str">
        <x:v>07:44:00</x:v>
      </x:c>
      <x:c r="F556" s="12" t="str">
        <x:v>All Shift Day</x:v>
      </x:c>
      <x:c r="G556" s="12" t="str">
        <x:v>STRL44G153</x:v>
      </x:c>
      <x:c r="H556" s="12" t="str">
        <x:v>Dump Truck</x:v>
      </x:c>
      <x:c r="I556" s="12" t="str">
        <x:v>DUMP TRUCK RENAULT KRANGE440-P6X4 A/T</x:v>
      </x:c>
      <x:c r="J556" s="16" t="n">
        <x:v>153</x:v>
      </x:c>
      <x:c r="K556" s="16" t="n">
        <x:v>3980</x:v>
      </x:c>
      <x:c r="L556" s="16" t="n">
        <x:v>3988</x:v>
      </x:c>
      <x:c r="M556" s="16" t="n">
        <x:v>8</x:v>
      </x:c>
      <x:c r="N556" s="16" t="n">
        <x:v>19.125</x:v>
      </x:c>
      <x:c r="O556" s="12" t="str">
        <x:v>FTRL44G004</x:v>
      </x:c>
      <x:c r="P556" s="12" t="str">
        <x:v>STRL44G153</x:v>
      </x:c>
      <x:c r="Q556" s="12" t="str"/>
      <x:c r="R556" s="12" t="str"/>
      <x:c r="S556" s="12" t="str"/>
      <x:c r="T556" s="12" t="str">
        <x:v>ABM</x:v>
      </x:c>
      <x:c r="U556" s="12" t="str"/>
      <x:c r="V556" s="12" t="str"/>
      <x:c r="W556" s="12" t="str"/>
      <x:c r="X556" s="12" t="str">
        <x:v>STRL44</x:v>
      </x:c>
      <x:c r="Y556" s="12" t="str">
        <x:v>FANGKI &amp; ACUNG</x:v>
      </x:c>
      <x:c r="Z556" s="12" t="str"/>
      <x:c r="AA556" s="32" t="n">
        <x:f>IFERROR(VLOOKUP(G556,Master_Unit!$A$2:$N$78,7,FALSE),"")</x:f>
        <x:v>20</x:v>
      </x:c>
      <x:c r="AB556" s="32" t="n">
        <x:f>IF(OR(N556="",AA556=""),"",N556-AA556)</x:f>
        <x:v>-0.875</x:v>
      </x:c>
      <x:c r="AC556" s="20" t="n">
        <x:f>IF(OR(N556="",AA556="",AA556=0),"",AB556/AA556)</x:f>
        <x:v>-0.04375</x:v>
      </x:c>
      <x:c r="AD556" t="str">
        <x:f>IF(AA556="","NO STANDARD",IF(AC556&lt;=Config_Status!$B$2,"EFFICIENT",IF(AC556&lt;=Config_Status!$B$3,"NORMAL",IF(AC556&lt;=Config_Status!$B$4,"WARNING","OVER CONSUMPTION"))))</x:f>
        <x:v>NORMAL</x:v>
      </x:c>
      <x:c r="AE556" t="str">
        <x:f>IFERROR(VLOOKUP(G556,Master_Unit!$A$2:$N$78,13,FALSE),"UNIT NOT FOUND")</x:f>
        <x:v>Matched</x:v>
      </x:c>
    </x:row>
    <x:row r="557">
      <x:c r="A557" s="12" t="str">
        <x:v>FU-20260608-00556</x:v>
      </x:c>
      <x:c r="B557" s="12" t="n">
        <x:v>686</x:v>
      </x:c>
      <x:c r="C557" s="14" t="n">
        <x:v>46181</x:v>
      </x:c>
      <x:c r="D557" s="12" t="str">
        <x:v>Senin</x:v>
      </x:c>
      <x:c r="E557" s="12" t="str">
        <x:v>07:50:00</x:v>
      </x:c>
      <x:c r="F557" s="12" t="str">
        <x:v>All Shift Day</x:v>
      </x:c>
      <x:c r="G557" s="12" t="str">
        <x:v>STRL44G155</x:v>
      </x:c>
      <x:c r="H557" s="12" t="str">
        <x:v>Dump Truck</x:v>
      </x:c>
      <x:c r="I557" s="12" t="str">
        <x:v>DUMP TRUCK RENAULT KRANGE440-P6X4 A/T</x:v>
      </x:c>
      <x:c r="J557" s="16" t="n">
        <x:v>153</x:v>
      </x:c>
      <x:c r="K557" s="16" t="n">
        <x:v>3951</x:v>
      </x:c>
      <x:c r="L557" s="16" t="n">
        <x:v>3958</x:v>
      </x:c>
      <x:c r="M557" s="16" t="n">
        <x:v>7</x:v>
      </x:c>
      <x:c r="N557" s="16" t="n">
        <x:v>21.857142857142858</x:v>
      </x:c>
      <x:c r="O557" s="12" t="str">
        <x:v>FTRL44G004</x:v>
      </x:c>
      <x:c r="P557" s="12" t="str">
        <x:v>STRL44G155</x:v>
      </x:c>
      <x:c r="Q557" s="12" t="str"/>
      <x:c r="R557" s="12" t="str"/>
      <x:c r="S557" s="12" t="str"/>
      <x:c r="T557" s="12" t="str">
        <x:v>ABM</x:v>
      </x:c>
      <x:c r="U557" s="12" t="str"/>
      <x:c r="V557" s="12" t="str"/>
      <x:c r="W557" s="12" t="str"/>
      <x:c r="X557" s="12" t="str">
        <x:v>STRL44</x:v>
      </x:c>
      <x:c r="Y557" s="12" t="str">
        <x:v>FANGKI &amp; ACUNG</x:v>
      </x:c>
      <x:c r="Z557" s="12" t="str"/>
      <x:c r="AA557" s="32" t="n">
        <x:f>IFERROR(VLOOKUP(G557,Master_Unit!$A$2:$N$78,7,FALSE),"")</x:f>
        <x:v>20</x:v>
      </x:c>
      <x:c r="AB557" s="32" t="n">
        <x:f>IF(OR(N557="",AA557=""),"",N557-AA557)</x:f>
        <x:v>1.8571428571428577</x:v>
      </x:c>
      <x:c r="AC557" s="20" t="n">
        <x:f>IF(OR(N557="",AA557="",AA557=0),"",AB557/AA557)</x:f>
        <x:v>0.09285714285714289</x:v>
      </x:c>
      <x:c r="AD557" t="str">
        <x:f>IF(AA557="","NO STANDARD",IF(AC557&lt;=Config_Status!$B$2,"EFFICIENT",IF(AC557&lt;=Config_Status!$B$3,"NORMAL",IF(AC557&lt;=Config_Status!$B$4,"WARNING","OVER CONSUMPTION"))))</x:f>
        <x:v>NORMAL</x:v>
      </x:c>
      <x:c r="AE557" t="str">
        <x:f>IFERROR(VLOOKUP(G557,Master_Unit!$A$2:$N$78,13,FALSE),"UNIT NOT FOUND")</x:f>
        <x:v>Matched</x:v>
      </x:c>
    </x:row>
    <x:row r="558">
      <x:c r="A558" s="12" t="str">
        <x:v>FU-20260608-00557</x:v>
      </x:c>
      <x:c r="B558" s="12" t="n">
        <x:v>687</x:v>
      </x:c>
      <x:c r="C558" s="14" t="n">
        <x:v>46181</x:v>
      </x:c>
      <x:c r="D558" s="12" t="str">
        <x:v>Senin</x:v>
      </x:c>
      <x:c r="E558" s="12" t="str">
        <x:v>07:54:00</x:v>
      </x:c>
      <x:c r="F558" s="12" t="str">
        <x:v>All Shift Day</x:v>
      </x:c>
      <x:c r="G558" s="12" t="str">
        <x:v>STRL44G154</x:v>
      </x:c>
      <x:c r="H558" s="12" t="str">
        <x:v>Dump Truck</x:v>
      </x:c>
      <x:c r="I558" s="12" t="str">
        <x:v>DUMP TRUCK RENAULT KRANGE440-P6X4 A/T</x:v>
      </x:c>
      <x:c r="J558" s="16" t="n">
        <x:v>153</x:v>
      </x:c>
      <x:c r="K558" s="16" t="n">
        <x:v>4080</x:v>
      </x:c>
      <x:c r="L558" s="16" t="n">
        <x:v>4088</x:v>
      </x:c>
      <x:c r="M558" s="16" t="n">
        <x:v>8</x:v>
      </x:c>
      <x:c r="N558" s="16" t="n">
        <x:v>19.125</x:v>
      </x:c>
      <x:c r="O558" s="12" t="str">
        <x:v>FTRL44G004</x:v>
      </x:c>
      <x:c r="P558" s="12" t="str">
        <x:v>STRL44G154</x:v>
      </x:c>
      <x:c r="Q558" s="12" t="str"/>
      <x:c r="R558" s="12" t="str"/>
      <x:c r="S558" s="12" t="str"/>
      <x:c r="T558" s="12" t="str">
        <x:v>ABM</x:v>
      </x:c>
      <x:c r="U558" s="12" t="str"/>
      <x:c r="V558" s="12" t="str"/>
      <x:c r="W558" s="12" t="str"/>
      <x:c r="X558" s="12" t="str">
        <x:v>STRL44</x:v>
      </x:c>
      <x:c r="Y558" s="12" t="str">
        <x:v>FANGKI &amp; ACUNG</x:v>
      </x:c>
      <x:c r="Z558" s="12" t="str"/>
      <x:c r="AA558" s="32" t="n">
        <x:f>IFERROR(VLOOKUP(G558,Master_Unit!$A$2:$N$78,7,FALSE),"")</x:f>
        <x:v>20</x:v>
      </x:c>
      <x:c r="AB558" s="32" t="n">
        <x:f>IF(OR(N558="",AA558=""),"",N558-AA558)</x:f>
        <x:v>-0.875</x:v>
      </x:c>
      <x:c r="AC558" s="20" t="n">
        <x:f>IF(OR(N558="",AA558="",AA558=0),"",AB558/AA558)</x:f>
        <x:v>-0.04375</x:v>
      </x:c>
      <x:c r="AD558" t="str">
        <x:f>IF(AA558="","NO STANDARD",IF(AC558&lt;=Config_Status!$B$2,"EFFICIENT",IF(AC558&lt;=Config_Status!$B$3,"NORMAL",IF(AC558&lt;=Config_Status!$B$4,"WARNING","OVER CONSUMPTION"))))</x:f>
        <x:v>NORMAL</x:v>
      </x:c>
      <x:c r="AE558" t="str">
        <x:f>IFERROR(VLOOKUP(G558,Master_Unit!$A$2:$N$78,13,FALSE),"UNIT NOT FOUND")</x:f>
        <x:v>Matched</x:v>
      </x:c>
    </x:row>
    <x:row r="559">
      <x:c r="A559" s="12" t="str">
        <x:v>FU-20260608-00558</x:v>
      </x:c>
      <x:c r="B559" s="12" t="n">
        <x:v>688</x:v>
      </x:c>
      <x:c r="C559" s="14" t="n">
        <x:v>46181</x:v>
      </x:c>
      <x:c r="D559" s="12" t="str">
        <x:v>Senin</x:v>
      </x:c>
      <x:c r="E559" s="12" t="str">
        <x:v>07:57:00</x:v>
      </x:c>
      <x:c r="F559" s="12" t="str">
        <x:v>All Shift Day</x:v>
      </x:c>
      <x:c r="G559" s="12" t="str">
        <x:v>STRL44G142</x:v>
      </x:c>
      <x:c r="H559" s="12" t="str">
        <x:v>Dump Truck</x:v>
      </x:c>
      <x:c r="I559" s="12" t="str">
        <x:v>DUMP TRUCK RENAULT KRANGE440-P6X4 A/T</x:v>
      </x:c>
      <x:c r="J559" s="16" t="n">
        <x:v>154</x:v>
      </x:c>
      <x:c r="K559" s="16" t="n">
        <x:v>3332</x:v>
      </x:c>
      <x:c r="L559" s="16" t="n">
        <x:v>3339</x:v>
      </x:c>
      <x:c r="M559" s="16" t="n">
        <x:v>7</x:v>
      </x:c>
      <x:c r="N559" s="16" t="n">
        <x:v>22</x:v>
      </x:c>
      <x:c r="O559" s="12" t="str">
        <x:v>FTRL44G004</x:v>
      </x:c>
      <x:c r="P559" s="12" t="str">
        <x:v>STRL44G142</x:v>
      </x:c>
      <x:c r="Q559" s="12" t="str"/>
      <x:c r="R559" s="12" t="str"/>
      <x:c r="S559" s="12" t="str"/>
      <x:c r="T559" s="12" t="str">
        <x:v>ABM</x:v>
      </x:c>
      <x:c r="U559" s="12" t="str"/>
      <x:c r="V559" s="12" t="str"/>
      <x:c r="W559" s="12" t="str"/>
      <x:c r="X559" s="12" t="str">
        <x:v>STRL44</x:v>
      </x:c>
      <x:c r="Y559" s="12" t="str">
        <x:v>FANGKI &amp; ACUNG</x:v>
      </x:c>
      <x:c r="Z559" s="12" t="str"/>
      <x:c r="AA559" s="32" t="n">
        <x:f>IFERROR(VLOOKUP(G559,Master_Unit!$A$2:$N$78,7,FALSE),"")</x:f>
        <x:v>20</x:v>
      </x:c>
      <x:c r="AB559" s="32" t="n">
        <x:f>IF(OR(N559="",AA559=""),"",N559-AA559)</x:f>
        <x:v>2</x:v>
      </x:c>
      <x:c r="AC559" s="20" t="n">
        <x:f>IF(OR(N559="",AA559="",AA559=0),"",AB559/AA559)</x:f>
        <x:v>0.1</x:v>
      </x:c>
      <x:c r="AD559" t="str">
        <x:f>IF(AA559="","NO STANDARD",IF(AC559&lt;=Config_Status!$B$2,"EFFICIENT",IF(AC559&lt;=Config_Status!$B$3,"NORMAL",IF(AC559&lt;=Config_Status!$B$4,"WARNING","OVER CONSUMPTION"))))</x:f>
        <x:v>NORMAL</x:v>
      </x:c>
      <x:c r="AE559" t="str">
        <x:f>IFERROR(VLOOKUP(G559,Master_Unit!$A$2:$N$78,13,FALSE),"UNIT NOT FOUND")</x:f>
        <x:v>Matched</x:v>
      </x:c>
    </x:row>
    <x:row r="560">
      <x:c r="A560" s="12" t="str">
        <x:v>FU-20260608-00559</x:v>
      </x:c>
      <x:c r="B560" s="12" t="n">
        <x:v>689</x:v>
      </x:c>
      <x:c r="C560" s="14" t="n">
        <x:v>46181</x:v>
      </x:c>
      <x:c r="D560" s="12" t="str">
        <x:v>Senin</x:v>
      </x:c>
      <x:c r="E560" s="12" t="str">
        <x:v>08:00:00</x:v>
      </x:c>
      <x:c r="F560" s="12" t="str">
        <x:v>All Shift Day</x:v>
      </x:c>
      <x:c r="G560" s="12" t="str">
        <x:v>STRL44G149</x:v>
      </x:c>
      <x:c r="H560" s="12" t="str">
        <x:v>Dump Truck</x:v>
      </x:c>
      <x:c r="I560" s="12" t="str">
        <x:v>DUMP TRUCK RENAULT KRANGE440-P6X4 A/T</x:v>
      </x:c>
      <x:c r="J560" s="16" t="n">
        <x:v>153</x:v>
      </x:c>
      <x:c r="K560" s="16" t="n">
        <x:v>4283</x:v>
      </x:c>
      <x:c r="L560" s="16" t="n">
        <x:v>4291</x:v>
      </x:c>
      <x:c r="M560" s="16" t="n">
        <x:v>8</x:v>
      </x:c>
      <x:c r="N560" s="16" t="n">
        <x:v>19.125</x:v>
      </x:c>
      <x:c r="O560" s="12" t="str">
        <x:v>FTRL44G004</x:v>
      </x:c>
      <x:c r="P560" s="12" t="str">
        <x:v>STRL44G149</x:v>
      </x:c>
      <x:c r="Q560" s="12" t="str"/>
      <x:c r="R560" s="12" t="str"/>
      <x:c r="S560" s="12" t="str"/>
      <x:c r="T560" s="12" t="str">
        <x:v>ABM</x:v>
      </x:c>
      <x:c r="U560" s="12" t="str"/>
      <x:c r="V560" s="12" t="str"/>
      <x:c r="W560" s="12" t="str"/>
      <x:c r="X560" s="12" t="str">
        <x:v>STRL44</x:v>
      </x:c>
      <x:c r="Y560" s="12" t="str">
        <x:v>FANGKI &amp; ACUNG</x:v>
      </x:c>
      <x:c r="Z560" s="12" t="str"/>
      <x:c r="AA560" s="32" t="n">
        <x:f>IFERROR(VLOOKUP(G560,Master_Unit!$A$2:$N$78,7,FALSE),"")</x:f>
        <x:v>20</x:v>
      </x:c>
      <x:c r="AB560" s="32" t="n">
        <x:f>IF(OR(N560="",AA560=""),"",N560-AA560)</x:f>
        <x:v>-0.875</x:v>
      </x:c>
      <x:c r="AC560" s="20" t="n">
        <x:f>IF(OR(N560="",AA560="",AA560=0),"",AB560/AA560)</x:f>
        <x:v>-0.04375</x:v>
      </x:c>
      <x:c r="AD560" t="str">
        <x:f>IF(AA560="","NO STANDARD",IF(AC560&lt;=Config_Status!$B$2,"EFFICIENT",IF(AC560&lt;=Config_Status!$B$3,"NORMAL",IF(AC560&lt;=Config_Status!$B$4,"WARNING","OVER CONSUMPTION"))))</x:f>
        <x:v>NORMAL</x:v>
      </x:c>
      <x:c r="AE560" t="str">
        <x:f>IFERROR(VLOOKUP(G560,Master_Unit!$A$2:$N$78,13,FALSE),"UNIT NOT FOUND")</x:f>
        <x:v>Matched</x:v>
      </x:c>
    </x:row>
    <x:row r="561">
      <x:c r="A561" s="12" t="str">
        <x:v>FU-20260608-00560</x:v>
      </x:c>
      <x:c r="B561" s="12" t="n">
        <x:v>690</x:v>
      </x:c>
      <x:c r="C561" s="14" t="n">
        <x:v>46181</x:v>
      </x:c>
      <x:c r="D561" s="12" t="str">
        <x:v>Senin</x:v>
      </x:c>
      <x:c r="E561" s="12" t="str">
        <x:v>08:07:00</x:v>
      </x:c>
      <x:c r="F561" s="12" t="str">
        <x:v>All Shift Day</x:v>
      </x:c>
      <x:c r="G561" s="12" t="str">
        <x:v>STRL44G138</x:v>
      </x:c>
      <x:c r="H561" s="12" t="str">
        <x:v>Dump Truck</x:v>
      </x:c>
      <x:c r="I561" s="12" t="str">
        <x:v>DUMP TRUCK RENAULT KRANGE440-P6X4 A/T</x:v>
      </x:c>
      <x:c r="J561" s="16" t="n">
        <x:v>153</x:v>
      </x:c>
      <x:c r="K561" s="16" t="n">
        <x:v>5293</x:v>
      </x:c>
      <x:c r="L561" s="16" t="n">
        <x:v>5301</x:v>
      </x:c>
      <x:c r="M561" s="16" t="n">
        <x:v>8</x:v>
      </x:c>
      <x:c r="N561" s="16" t="n">
        <x:v>19.125</x:v>
      </x:c>
      <x:c r="O561" s="12" t="str">
        <x:v>FTRL44G004</x:v>
      </x:c>
      <x:c r="P561" s="12" t="str">
        <x:v>STRL44G138</x:v>
      </x:c>
      <x:c r="Q561" s="12" t="str"/>
      <x:c r="R561" s="12" t="str"/>
      <x:c r="S561" s="12" t="str"/>
      <x:c r="T561" s="12" t="str">
        <x:v>ABM</x:v>
      </x:c>
      <x:c r="U561" s="12" t="str"/>
      <x:c r="V561" s="12" t="str"/>
      <x:c r="W561" s="12" t="str"/>
      <x:c r="X561" s="12" t="str">
        <x:v>STRL44</x:v>
      </x:c>
      <x:c r="Y561" s="12" t="str">
        <x:v>FANGKI &amp; ACUNG</x:v>
      </x:c>
      <x:c r="Z561" s="12" t="str"/>
      <x:c r="AA561" s="32" t="n">
        <x:f>IFERROR(VLOOKUP(G561,Master_Unit!$A$2:$N$78,7,FALSE),"")</x:f>
        <x:v>20</x:v>
      </x:c>
      <x:c r="AB561" s="32" t="n">
        <x:f>IF(OR(N561="",AA561=""),"",N561-AA561)</x:f>
        <x:v>-0.875</x:v>
      </x:c>
      <x:c r="AC561" s="20" t="n">
        <x:f>IF(OR(N561="",AA561="",AA561=0),"",AB561/AA561)</x:f>
        <x:v>-0.04375</x:v>
      </x:c>
      <x:c r="AD561" t="str">
        <x:f>IF(AA561="","NO STANDARD",IF(AC561&lt;=Config_Status!$B$2,"EFFICIENT",IF(AC561&lt;=Config_Status!$B$3,"NORMAL",IF(AC561&lt;=Config_Status!$B$4,"WARNING","OVER CONSUMPTION"))))</x:f>
        <x:v>NORMAL</x:v>
      </x:c>
      <x:c r="AE561" t="str">
        <x:f>IFERROR(VLOOKUP(G561,Master_Unit!$A$2:$N$78,13,FALSE),"UNIT NOT FOUND")</x:f>
        <x:v>Matched</x:v>
      </x:c>
    </x:row>
    <x:row r="562">
      <x:c r="A562" s="12" t="str">
        <x:v>FU-20260608-00561</x:v>
      </x:c>
      <x:c r="B562" s="12" t="n">
        <x:v>691</x:v>
      </x:c>
      <x:c r="C562" s="14" t="n">
        <x:v>46181</x:v>
      </x:c>
      <x:c r="D562" s="12" t="str">
        <x:v>Senin</x:v>
      </x:c>
      <x:c r="E562" s="12" t="str">
        <x:v>08:16:00</x:v>
      </x:c>
      <x:c r="F562" s="12" t="str">
        <x:v>All Shift Day</x:v>
      </x:c>
      <x:c r="G562" s="12" t="str">
        <x:v>STRL44G139</x:v>
      </x:c>
      <x:c r="H562" s="12" t="str">
        <x:v>Dump Truck</x:v>
      </x:c>
      <x:c r="I562" s="12" t="str">
        <x:v>DUMP TRUCK RENAULT KRANGE440-P6X4 A/T</x:v>
      </x:c>
      <x:c r="J562" s="16" t="n">
        <x:v>152</x:v>
      </x:c>
      <x:c r="K562" s="16" t="n">
        <x:v>4958</x:v>
      </x:c>
      <x:c r="L562" s="16" t="n">
        <x:v>4967</x:v>
      </x:c>
      <x:c r="M562" s="16" t="n">
        <x:v>9</x:v>
      </x:c>
      <x:c r="N562" s="16" t="n">
        <x:v>16.88888888888889</x:v>
      </x:c>
      <x:c r="O562" s="12" t="str">
        <x:v>FTRL44G004</x:v>
      </x:c>
      <x:c r="P562" s="12" t="str">
        <x:v>STRL44G139</x:v>
      </x:c>
      <x:c r="Q562" s="12" t="str"/>
      <x:c r="R562" s="12" t="str"/>
      <x:c r="S562" s="12" t="str"/>
      <x:c r="T562" s="12" t="str">
        <x:v>ABM</x:v>
      </x:c>
      <x:c r="U562" s="12" t="str"/>
      <x:c r="V562" s="12" t="str"/>
      <x:c r="W562" s="12" t="str"/>
      <x:c r="X562" s="12" t="str">
        <x:v>STRL44</x:v>
      </x:c>
      <x:c r="Y562" s="12" t="str">
        <x:v>FANGKI &amp; ACUNG</x:v>
      </x:c>
      <x:c r="Z562" s="12" t="str"/>
      <x:c r="AA562" s="32" t="n">
        <x:f>IFERROR(VLOOKUP(G562,Master_Unit!$A$2:$N$78,7,FALSE),"")</x:f>
        <x:v>20</x:v>
      </x:c>
      <x:c r="AB562" s="32" t="n">
        <x:f>IF(OR(N562="",AA562=""),"",N562-AA562)</x:f>
        <x:v>-3.1111111111111107</x:v>
      </x:c>
      <x:c r="AC562" s="20" t="n">
        <x:f>IF(OR(N562="",AA562="",AA562=0),"",AB562/AA562)</x:f>
        <x:v>-0.15555555555555553</x:v>
      </x:c>
      <x:c r="AD562" t="str">
        <x:f>IF(AA562="","NO STANDARD",IF(AC562&lt;=Config_Status!$B$2,"EFFICIENT",IF(AC562&lt;=Config_Status!$B$3,"NORMAL",IF(AC562&lt;=Config_Status!$B$4,"WARNING","OVER CONSUMPTION"))))</x:f>
        <x:v>EFFICIENT</x:v>
      </x:c>
      <x:c r="AE562" t="str">
        <x:f>IFERROR(VLOOKUP(G562,Master_Unit!$A$2:$N$78,13,FALSE),"UNIT NOT FOUND")</x:f>
        <x:v>Matched</x:v>
      </x:c>
    </x:row>
    <x:row r="563">
      <x:c r="A563" s="12" t="str">
        <x:v>FU-20260608-00562</x:v>
      </x:c>
      <x:c r="B563" s="12" t="n">
        <x:v>692</x:v>
      </x:c>
      <x:c r="C563" s="14" t="n">
        <x:v>46181</x:v>
      </x:c>
      <x:c r="D563" s="12" t="str">
        <x:v>Senin</x:v>
      </x:c>
      <x:c r="E563" s="12" t="str">
        <x:v>08:24:00</x:v>
      </x:c>
      <x:c r="F563" s="12" t="str">
        <x:v>All Shift Day</x:v>
      </x:c>
      <x:c r="G563" s="12" t="str">
        <x:v>STRL44G145</x:v>
      </x:c>
      <x:c r="H563" s="12" t="str">
        <x:v>Dump Truck</x:v>
      </x:c>
      <x:c r="I563" s="12" t="str">
        <x:v>DUMP TRUCK RENAULT KRANGE440-P6X4 A/T</x:v>
      </x:c>
      <x:c r="J563" s="16" t="n">
        <x:v>153</x:v>
      </x:c>
      <x:c r="K563" s="16" t="n">
        <x:v>4933</x:v>
      </x:c>
      <x:c r="L563" s="16" t="n">
        <x:v>4941</x:v>
      </x:c>
      <x:c r="M563" s="16" t="n">
        <x:v>8</x:v>
      </x:c>
      <x:c r="N563" s="16" t="n">
        <x:v>19.125</x:v>
      </x:c>
      <x:c r="O563" s="12" t="str">
        <x:v>FTRL44G004</x:v>
      </x:c>
      <x:c r="P563" s="12" t="str">
        <x:v>STRL44G145</x:v>
      </x:c>
      <x:c r="Q563" s="12" t="str"/>
      <x:c r="R563" s="12" t="str"/>
      <x:c r="S563" s="12" t="str"/>
      <x:c r="T563" s="12" t="str">
        <x:v>ABM</x:v>
      </x:c>
      <x:c r="U563" s="12" t="str"/>
      <x:c r="V563" s="12" t="str"/>
      <x:c r="W563" s="12" t="str"/>
      <x:c r="X563" s="12" t="str">
        <x:v>STRL44</x:v>
      </x:c>
      <x:c r="Y563" s="12" t="str">
        <x:v>FANGKI &amp; ACUNG</x:v>
      </x:c>
      <x:c r="Z563" s="12" t="str"/>
      <x:c r="AA563" s="32" t="n">
        <x:f>IFERROR(VLOOKUP(G563,Master_Unit!$A$2:$N$78,7,FALSE),"")</x:f>
        <x:v>20</x:v>
      </x:c>
      <x:c r="AB563" s="32" t="n">
        <x:f>IF(OR(N563="",AA563=""),"",N563-AA563)</x:f>
        <x:v>-0.875</x:v>
      </x:c>
      <x:c r="AC563" s="20" t="n">
        <x:f>IF(OR(N563="",AA563="",AA563=0),"",AB563/AA563)</x:f>
        <x:v>-0.04375</x:v>
      </x:c>
      <x:c r="AD563" t="str">
        <x:f>IF(AA563="","NO STANDARD",IF(AC563&lt;=Config_Status!$B$2,"EFFICIENT",IF(AC563&lt;=Config_Status!$B$3,"NORMAL",IF(AC563&lt;=Config_Status!$B$4,"WARNING","OVER CONSUMPTION"))))</x:f>
        <x:v>NORMAL</x:v>
      </x:c>
      <x:c r="AE563" t="str">
        <x:f>IFERROR(VLOOKUP(G563,Master_Unit!$A$2:$N$78,13,FALSE),"UNIT NOT FOUND")</x:f>
        <x:v>Matched</x:v>
      </x:c>
    </x:row>
    <x:row r="564">
      <x:c r="A564" s="12" t="str">
        <x:v>FU-20260608-00563</x:v>
      </x:c>
      <x:c r="B564" s="12" t="n">
        <x:v>693</x:v>
      </x:c>
      <x:c r="C564" s="14" t="n">
        <x:v>46181</x:v>
      </x:c>
      <x:c r="D564" s="12" t="str">
        <x:v>Senin</x:v>
      </x:c>
      <x:c r="E564" s="12" t="str">
        <x:v>08:32:00</x:v>
      </x:c>
      <x:c r="F564" s="12" t="str">
        <x:v>All Shift Day</x:v>
      </x:c>
      <x:c r="G564" s="12" t="str">
        <x:v>STRL44G140</x:v>
      </x:c>
      <x:c r="H564" s="12" t="str">
        <x:v>Dump Truck</x:v>
      </x:c>
      <x:c r="I564" s="12" t="str">
        <x:v>DUMP TRUCK RENAULT KRANGE440-P6X4 A/T</x:v>
      </x:c>
      <x:c r="J564" s="16" t="n">
        <x:v>142</x:v>
      </x:c>
      <x:c r="K564" s="16" t="n">
        <x:v>5098</x:v>
      </x:c>
      <x:c r="L564" s="16" t="n">
        <x:v>5106</x:v>
      </x:c>
      <x:c r="M564" s="16" t="n">
        <x:v>8</x:v>
      </x:c>
      <x:c r="N564" s="16" t="n">
        <x:v>17.75</x:v>
      </x:c>
      <x:c r="O564" s="12" t="str">
        <x:v>FTRL44G004</x:v>
      </x:c>
      <x:c r="P564" s="12" t="str">
        <x:v>STRL44G140</x:v>
      </x:c>
      <x:c r="Q564" s="12" t="str"/>
      <x:c r="R564" s="12" t="str"/>
      <x:c r="S564" s="12" t="str"/>
      <x:c r="T564" s="12" t="str">
        <x:v>ABM</x:v>
      </x:c>
      <x:c r="U564" s="12" t="str"/>
      <x:c r="V564" s="12" t="str"/>
      <x:c r="W564" s="12" t="str"/>
      <x:c r="X564" s="12" t="str">
        <x:v>STRL44</x:v>
      </x:c>
      <x:c r="Y564" s="12" t="str">
        <x:v>FANGKI &amp; ACUNG</x:v>
      </x:c>
      <x:c r="Z564" s="12" t="str"/>
      <x:c r="AA564" s="32" t="n">
        <x:f>IFERROR(VLOOKUP(G564,Master_Unit!$A$2:$N$78,7,FALSE),"")</x:f>
        <x:v>20</x:v>
      </x:c>
      <x:c r="AB564" s="32" t="n">
        <x:f>IF(OR(N564="",AA564=""),"",N564-AA564)</x:f>
        <x:v>-2.25</x:v>
      </x:c>
      <x:c r="AC564" s="20" t="n">
        <x:f>IF(OR(N564="",AA564="",AA564=0),"",AB564/AA564)</x:f>
        <x:v>-0.1125</x:v>
      </x:c>
      <x:c r="AD564" t="str">
        <x:f>IF(AA564="","NO STANDARD",IF(AC564&lt;=Config_Status!$B$2,"EFFICIENT",IF(AC564&lt;=Config_Status!$B$3,"NORMAL",IF(AC564&lt;=Config_Status!$B$4,"WARNING","OVER CONSUMPTION"))))</x:f>
        <x:v>EFFICIENT</x:v>
      </x:c>
      <x:c r="AE564" t="str">
        <x:f>IFERROR(VLOOKUP(G564,Master_Unit!$A$2:$N$78,13,FALSE),"UNIT NOT FOUND")</x:f>
        <x:v>Matched</x:v>
      </x:c>
    </x:row>
    <x:row r="565">
      <x:c r="A565" s="12" t="str">
        <x:v>FU-20260608-00564</x:v>
      </x:c>
      <x:c r="B565" s="12" t="n">
        <x:v>694</x:v>
      </x:c>
      <x:c r="C565" s="14" t="n">
        <x:v>46181</x:v>
      </x:c>
      <x:c r="D565" s="12" t="str">
        <x:v>Senin</x:v>
      </x:c>
      <x:c r="E565" s="12" t="str">
        <x:v>08:39:00</x:v>
      </x:c>
      <x:c r="F565" s="12" t="str">
        <x:v>All Shift Day</x:v>
      </x:c>
      <x:c r="G565" s="12" t="str">
        <x:v>STRL44G144</x:v>
      </x:c>
      <x:c r="H565" s="12" t="str">
        <x:v>Dump Truck</x:v>
      </x:c>
      <x:c r="I565" s="12" t="str">
        <x:v>DUMP TRUCK RENAULT KRANGE440-P6X4 A/T</x:v>
      </x:c>
      <x:c r="J565" s="16" t="n">
        <x:v>140</x:v>
      </x:c>
      <x:c r="K565" s="16" t="n">
        <x:v>1518</x:v>
      </x:c>
      <x:c r="L565" s="16" t="n">
        <x:v>1526</x:v>
      </x:c>
      <x:c r="M565" s="16" t="n">
        <x:v>8</x:v>
      </x:c>
      <x:c r="N565" s="16" t="n">
        <x:v>17.5</x:v>
      </x:c>
      <x:c r="O565" s="12" t="str">
        <x:v>FTRL44G004</x:v>
      </x:c>
      <x:c r="P565" s="12" t="str">
        <x:v>STRL44G144</x:v>
      </x:c>
      <x:c r="Q565" s="12" t="str"/>
      <x:c r="R565" s="12" t="str"/>
      <x:c r="S565" s="12" t="str"/>
      <x:c r="T565" s="12" t="str">
        <x:v>ABM</x:v>
      </x:c>
      <x:c r="U565" s="12" t="str"/>
      <x:c r="V565" s="12" t="str"/>
      <x:c r="W565" s="12" t="str"/>
      <x:c r="X565" s="12" t="str">
        <x:v>STRL44</x:v>
      </x:c>
      <x:c r="Y565" s="12" t="str">
        <x:v>FANGKI &amp; ACUNG</x:v>
      </x:c>
      <x:c r="Z565" s="12" t="str"/>
      <x:c r="AA565" s="32" t="n">
        <x:f>IFERROR(VLOOKUP(G565,Master_Unit!$A$2:$N$78,7,FALSE),"")</x:f>
        <x:v>20</x:v>
      </x:c>
      <x:c r="AB565" s="32" t="n">
        <x:f>IF(OR(N565="",AA565=""),"",N565-AA565)</x:f>
        <x:v>-2.5</x:v>
      </x:c>
      <x:c r="AC565" s="20" t="n">
        <x:f>IF(OR(N565="",AA565="",AA565=0),"",AB565/AA565)</x:f>
        <x:v>-0.125</x:v>
      </x:c>
      <x:c r="AD565" t="str">
        <x:f>IF(AA565="","NO STANDARD",IF(AC565&lt;=Config_Status!$B$2,"EFFICIENT",IF(AC565&lt;=Config_Status!$B$3,"NORMAL",IF(AC565&lt;=Config_Status!$B$4,"WARNING","OVER CONSUMPTION"))))</x:f>
        <x:v>EFFICIENT</x:v>
      </x:c>
      <x:c r="AE565" t="str">
        <x:f>IFERROR(VLOOKUP(G565,Master_Unit!$A$2:$N$78,13,FALSE),"UNIT NOT FOUND")</x:f>
        <x:v>Matched</x:v>
      </x:c>
    </x:row>
    <x:row r="566">
      <x:c r="A566" s="12" t="str">
        <x:v>FU-20260608-00565</x:v>
      </x:c>
      <x:c r="B566" s="12" t="n">
        <x:v>695</x:v>
      </x:c>
      <x:c r="C566" s="14" t="n">
        <x:v>46181</x:v>
      </x:c>
      <x:c r="D566" s="12" t="str">
        <x:v>Senin</x:v>
      </x:c>
      <x:c r="E566" s="12" t="str">
        <x:v>08:42:00</x:v>
      </x:c>
      <x:c r="F566" s="12" t="str">
        <x:v>All Shift Day</x:v>
      </x:c>
      <x:c r="G566" s="12" t="str">
        <x:v>STRL44G156</x:v>
      </x:c>
      <x:c r="H566" s="12" t="str">
        <x:v>Dump Truck</x:v>
      </x:c>
      <x:c r="I566" s="12" t="str">
        <x:v>DUMP TRUCK RENAULT KRANGE440-P6X4 A/T</x:v>
      </x:c>
      <x:c r="J566" s="16" t="n">
        <x:v>153</x:v>
      </x:c>
      <x:c r="K566" s="16" t="n">
        <x:v>3763</x:v>
      </x:c>
      <x:c r="L566" s="16" t="n">
        <x:v>3771</x:v>
      </x:c>
      <x:c r="M566" s="16" t="n">
        <x:v>8</x:v>
      </x:c>
      <x:c r="N566" s="16" t="n">
        <x:v>19.125</x:v>
      </x:c>
      <x:c r="O566" s="12" t="str">
        <x:v>FTRL44G004</x:v>
      </x:c>
      <x:c r="P566" s="12" t="str">
        <x:v>STRL44G156</x:v>
      </x:c>
      <x:c r="Q566" s="12" t="str"/>
      <x:c r="R566" s="12" t="str"/>
      <x:c r="S566" s="12" t="str"/>
      <x:c r="T566" s="12" t="str">
        <x:v>ABM</x:v>
      </x:c>
      <x:c r="U566" s="12" t="str"/>
      <x:c r="V566" s="12" t="str"/>
      <x:c r="W566" s="12" t="str"/>
      <x:c r="X566" s="12" t="str">
        <x:v>STRL44</x:v>
      </x:c>
      <x:c r="Y566" s="12" t="str">
        <x:v>FANGKI &amp; ACUNG</x:v>
      </x:c>
      <x:c r="Z566" s="12" t="str"/>
      <x:c r="AA566" s="32" t="n">
        <x:f>IFERROR(VLOOKUP(G566,Master_Unit!$A$2:$N$78,7,FALSE),"")</x:f>
        <x:v>20</x:v>
      </x:c>
      <x:c r="AB566" s="32" t="n">
        <x:f>IF(OR(N566="",AA566=""),"",N566-AA566)</x:f>
        <x:v>-0.875</x:v>
      </x:c>
      <x:c r="AC566" s="20" t="n">
        <x:f>IF(OR(N566="",AA566="",AA566=0),"",AB566/AA566)</x:f>
        <x:v>-0.04375</x:v>
      </x:c>
      <x:c r="AD566" t="str">
        <x:f>IF(AA566="","NO STANDARD",IF(AC566&lt;=Config_Status!$B$2,"EFFICIENT",IF(AC566&lt;=Config_Status!$B$3,"NORMAL",IF(AC566&lt;=Config_Status!$B$4,"WARNING","OVER CONSUMPTION"))))</x:f>
        <x:v>NORMAL</x:v>
      </x:c>
      <x:c r="AE566" t="str">
        <x:f>IFERROR(VLOOKUP(G566,Master_Unit!$A$2:$N$78,13,FALSE),"UNIT NOT FOUND")</x:f>
        <x:v>Matched</x:v>
      </x:c>
    </x:row>
    <x:row r="567">
      <x:c r="A567" s="12" t="str">
        <x:v>FU-20260608-00566</x:v>
      </x:c>
      <x:c r="B567" s="12" t="n">
        <x:v>696</x:v>
      </x:c>
      <x:c r="C567" s="14" t="n">
        <x:v>46181</x:v>
      </x:c>
      <x:c r="D567" s="12" t="str">
        <x:v>Senin</x:v>
      </x:c>
      <x:c r="E567" s="12" t="str">
        <x:v>08:45:00</x:v>
      </x:c>
      <x:c r="F567" s="12" t="str">
        <x:v>All Shift Day</x:v>
      </x:c>
      <x:c r="G567" s="12" t="str">
        <x:v>STRL44G151</x:v>
      </x:c>
      <x:c r="H567" s="12" t="str">
        <x:v>Dump Truck</x:v>
      </x:c>
      <x:c r="I567" s="12" t="str">
        <x:v>DUMP TRUCK RENAULT KRANGE440-P6X4 A/T</x:v>
      </x:c>
      <x:c r="J567" s="16" t="n">
        <x:v>148</x:v>
      </x:c>
      <x:c r="K567" s="16" t="n">
        <x:v>4385</x:v>
      </x:c>
      <x:c r="L567" s="16" t="n">
        <x:v>4393</x:v>
      </x:c>
      <x:c r="M567" s="16" t="n">
        <x:v>8</x:v>
      </x:c>
      <x:c r="N567" s="16" t="n">
        <x:v>18.5</x:v>
      </x:c>
      <x:c r="O567" s="12" t="str">
        <x:v>FTRL44G004</x:v>
      </x:c>
      <x:c r="P567" s="12" t="str">
        <x:v>STRL44G151</x:v>
      </x:c>
      <x:c r="Q567" s="12" t="str"/>
      <x:c r="R567" s="12" t="str"/>
      <x:c r="S567" s="12" t="str"/>
      <x:c r="T567" s="12" t="str">
        <x:v>ABM</x:v>
      </x:c>
      <x:c r="U567" s="12" t="str"/>
      <x:c r="V567" s="12" t="str"/>
      <x:c r="W567" s="12" t="str"/>
      <x:c r="X567" s="12" t="str">
        <x:v>STRL44</x:v>
      </x:c>
      <x:c r="Y567" s="12" t="str">
        <x:v>FANGKI &amp; ACUNG</x:v>
      </x:c>
      <x:c r="Z567" s="12" t="str"/>
      <x:c r="AA567" s="32" t="n">
        <x:f>IFERROR(VLOOKUP(G567,Master_Unit!$A$2:$N$78,7,FALSE),"")</x:f>
        <x:v>20</x:v>
      </x:c>
      <x:c r="AB567" s="32" t="n">
        <x:f>IF(OR(N567="",AA567=""),"",N567-AA567)</x:f>
        <x:v>-1.5</x:v>
      </x:c>
      <x:c r="AC567" s="20" t="n">
        <x:f>IF(OR(N567="",AA567="",AA567=0),"",AB567/AA567)</x:f>
        <x:v>-0.075</x:v>
      </x:c>
      <x:c r="AD567" t="str">
        <x:f>IF(AA567="","NO STANDARD",IF(AC567&lt;=Config_Status!$B$2,"EFFICIENT",IF(AC567&lt;=Config_Status!$B$3,"NORMAL",IF(AC567&lt;=Config_Status!$B$4,"WARNING","OVER CONSUMPTION"))))</x:f>
        <x:v>NORMAL</x:v>
      </x:c>
      <x:c r="AE567" t="str">
        <x:f>IFERROR(VLOOKUP(G567,Master_Unit!$A$2:$N$78,13,FALSE),"UNIT NOT FOUND")</x:f>
        <x:v>Matched</x:v>
      </x:c>
    </x:row>
    <x:row r="568">
      <x:c r="A568" s="12" t="str">
        <x:v>FU-20260608-00567</x:v>
      </x:c>
      <x:c r="B568" s="12" t="n">
        <x:v>697</x:v>
      </x:c>
      <x:c r="C568" s="14" t="n">
        <x:v>46181</x:v>
      </x:c>
      <x:c r="D568" s="12" t="str">
        <x:v>Senin</x:v>
      </x:c>
      <x:c r="E568" s="12" t="str">
        <x:v>08:48:00</x:v>
      </x:c>
      <x:c r="F568" s="12" t="str">
        <x:v>All Shift Day</x:v>
      </x:c>
      <x:c r="G568" s="12" t="str">
        <x:v>STRL44G147</x:v>
      </x:c>
      <x:c r="H568" s="12" t="str">
        <x:v>Dump Truck</x:v>
      </x:c>
      <x:c r="I568" s="12" t="str">
        <x:v>DUMP TRUCK RENAULT KRANGE440-P6X4 A/T</x:v>
      </x:c>
      <x:c r="J568" s="16" t="n">
        <x:v>112</x:v>
      </x:c>
      <x:c r="K568" s="16" t="n">
        <x:v>5005</x:v>
      </x:c>
      <x:c r="L568" s="16" t="n">
        <x:v>5011</x:v>
      </x:c>
      <x:c r="M568" s="16" t="n">
        <x:v>6</x:v>
      </x:c>
      <x:c r="N568" s="16" t="n">
        <x:v>18.666666666666668</x:v>
      </x:c>
      <x:c r="O568" s="12" t="str">
        <x:v>FTRL44G004</x:v>
      </x:c>
      <x:c r="P568" s="12" t="str">
        <x:v>STRL44G147</x:v>
      </x:c>
      <x:c r="Q568" s="12" t="str"/>
      <x:c r="R568" s="12" t="str"/>
      <x:c r="S568" s="12" t="str"/>
      <x:c r="T568" s="12" t="str">
        <x:v>ABM</x:v>
      </x:c>
      <x:c r="U568" s="12" t="str"/>
      <x:c r="V568" s="12" t="str"/>
      <x:c r="W568" s="12" t="str"/>
      <x:c r="X568" s="12" t="str">
        <x:v>STRL44</x:v>
      </x:c>
      <x:c r="Y568" s="12" t="str">
        <x:v>FANGKI &amp; ACUNG</x:v>
      </x:c>
      <x:c r="Z568" s="12" t="str"/>
      <x:c r="AA568" s="32" t="n">
        <x:f>IFERROR(VLOOKUP(G568,Master_Unit!$A$2:$N$78,7,FALSE),"")</x:f>
        <x:v>20</x:v>
      </x:c>
      <x:c r="AB568" s="32" t="n">
        <x:f>IF(OR(N568="",AA568=""),"",N568-AA568)</x:f>
        <x:v>-1.3333333333333321</x:v>
      </x:c>
      <x:c r="AC568" s="20" t="n">
        <x:f>IF(OR(N568="",AA568="",AA568=0),"",AB568/AA568)</x:f>
        <x:v>-0.06666666666666661</x:v>
      </x:c>
      <x:c r="AD568" t="str">
        <x:f>IF(AA568="","NO STANDARD",IF(AC568&lt;=Config_Status!$B$2,"EFFICIENT",IF(AC568&lt;=Config_Status!$B$3,"NORMAL",IF(AC568&lt;=Config_Status!$B$4,"WARNING","OVER CONSUMPTION"))))</x:f>
        <x:v>NORMAL</x:v>
      </x:c>
      <x:c r="AE568" t="str">
        <x:f>IFERROR(VLOOKUP(G568,Master_Unit!$A$2:$N$78,13,FALSE),"UNIT NOT FOUND")</x:f>
        <x:v>Matched</x:v>
      </x:c>
    </x:row>
    <x:row r="569">
      <x:c r="A569" s="12" t="str">
        <x:v>FU-20260608-00568</x:v>
      </x:c>
      <x:c r="B569" s="12" t="n">
        <x:v>698</x:v>
      </x:c>
      <x:c r="C569" s="14" t="n">
        <x:v>46181</x:v>
      </x:c>
      <x:c r="D569" s="12" t="str">
        <x:v>Senin</x:v>
      </x:c>
      <x:c r="E569" s="12" t="str">
        <x:v>08:59:00</x:v>
      </x:c>
      <x:c r="F569" s="12" t="str">
        <x:v>All Shift Day</x:v>
      </x:c>
      <x:c r="G569" s="12" t="str">
        <x:v>STRL44G146</x:v>
      </x:c>
      <x:c r="H569" s="12" t="str">
        <x:v>Dump Truck</x:v>
      </x:c>
      <x:c r="I569" s="12" t="str">
        <x:v>DUMP TRUCK RENAULT KRANGE440-P6X4 A/T</x:v>
      </x:c>
      <x:c r="J569" s="16" t="n">
        <x:v>148</x:v>
      </x:c>
      <x:c r="K569" s="16" t="n">
        <x:v>4926</x:v>
      </x:c>
      <x:c r="L569" s="16" t="n">
        <x:v>4939</x:v>
      </x:c>
      <x:c r="M569" s="16" t="n">
        <x:v>13</x:v>
      </x:c>
      <x:c r="N569" s="16" t="n">
        <x:v>11.384615384615385</x:v>
      </x:c>
      <x:c r="O569" s="12" t="str">
        <x:v>FTRL44G004</x:v>
      </x:c>
      <x:c r="P569" s="12" t="str">
        <x:v>STRL44G146</x:v>
      </x:c>
      <x:c r="Q569" s="12" t="str"/>
      <x:c r="R569" s="12" t="str"/>
      <x:c r="S569" s="12" t="str"/>
      <x:c r="T569" s="12" t="str">
        <x:v>ABM</x:v>
      </x:c>
      <x:c r="U569" s="12" t="str"/>
      <x:c r="V569" s="12" t="str"/>
      <x:c r="W569" s="12" t="str"/>
      <x:c r="X569" s="12" t="str">
        <x:v>STRL44</x:v>
      </x:c>
      <x:c r="Y569" s="12" t="str">
        <x:v>FANGKI &amp; ACUNG</x:v>
      </x:c>
      <x:c r="Z569" s="12" t="str"/>
      <x:c r="AA569" s="32" t="n">
        <x:f>IFERROR(VLOOKUP(G569,Master_Unit!$A$2:$N$78,7,FALSE),"")</x:f>
        <x:v>20</x:v>
      </x:c>
      <x:c r="AB569" s="32" t="n">
        <x:f>IF(OR(N569="",AA569=""),"",N569-AA569)</x:f>
        <x:v>-8.615384615384615</x:v>
      </x:c>
      <x:c r="AC569" s="20" t="n">
        <x:f>IF(OR(N569="",AA569="",AA569=0),"",AB569/AA569)</x:f>
        <x:v>-0.43076923076923074</x:v>
      </x:c>
      <x:c r="AD569" t="str">
        <x:f>IF(AA569="","NO STANDARD",IF(AC569&lt;=Config_Status!$B$2,"EFFICIENT",IF(AC569&lt;=Config_Status!$B$3,"NORMAL",IF(AC569&lt;=Config_Status!$B$4,"WARNING","OVER CONSUMPTION"))))</x:f>
        <x:v>EFFICIENT</x:v>
      </x:c>
      <x:c r="AE569" t="str">
        <x:f>IFERROR(VLOOKUP(G569,Master_Unit!$A$2:$N$78,13,FALSE),"UNIT NOT FOUND")</x:f>
        <x:v>Matched</x:v>
      </x:c>
    </x:row>
    <x:row r="570">
      <x:c r="A570" s="12" t="str">
        <x:v>FU-20260608-00569</x:v>
      </x:c>
      <x:c r="B570" s="12" t="n">
        <x:v>699</x:v>
      </x:c>
      <x:c r="C570" s="14" t="n">
        <x:v>46181</x:v>
      </x:c>
      <x:c r="D570" s="12" t="str">
        <x:v>Senin</x:v>
      </x:c>
      <x:c r="E570" s="12" t="str">
        <x:v>09:39:00</x:v>
      </x:c>
      <x:c r="F570" s="12" t="str">
        <x:v>All Shift Day</x:v>
      </x:c>
      <x:c r="G570" s="12" t="str">
        <x:v>EXVV35G004</x:v>
      </x:c>
      <x:c r="H570" s="12" t="str">
        <x:v>Excavator</x:v>
      </x:c>
      <x:c r="I570" s="12" t="str">
        <x:v>EXCAVATOR VOLVO EC350D</x:v>
      </x:c>
      <x:c r="J570" s="16" t="n">
        <x:v>214</x:v>
      </x:c>
      <x:c r="K570" s="16" t="n">
        <x:v>2533</x:v>
      </x:c>
      <x:c r="L570" s="16" t="n">
        <x:v>2544.1</x:v>
      </x:c>
      <x:c r="M570" s="16" t="n">
        <x:v>11.099999999999909</x:v>
      </x:c>
      <x:c r="N570" s="16" t="n">
        <x:v>19.279279279279436</x:v>
      </x:c>
      <x:c r="O570" s="12" t="str">
        <x:v>FTRL44G004</x:v>
      </x:c>
      <x:c r="P570" s="12" t="str">
        <x:v>EXVV35G004</x:v>
      </x:c>
      <x:c r="Q570" s="12" t="str"/>
      <x:c r="R570" s="12" t="str"/>
      <x:c r="S570" s="12" t="str"/>
      <x:c r="T570" s="12" t="str">
        <x:v>ABM</x:v>
      </x:c>
      <x:c r="U570" s="12" t="str"/>
      <x:c r="V570" s="12" t="str"/>
      <x:c r="W570" s="12" t="str"/>
      <x:c r="X570" s="12" t="str">
        <x:v>EXVV35</x:v>
      </x:c>
      <x:c r="Y570" s="12" t="str">
        <x:v>FANGKI &amp; ACUNG</x:v>
      </x:c>
      <x:c r="Z570" s="12" t="str"/>
      <x:c r="AA570" s="32" t="n">
        <x:f>IFERROR(VLOOKUP(G570,Master_Unit!$A$2:$N$78,7,FALSE),"")</x:f>
        <x:v>25</x:v>
      </x:c>
      <x:c r="AB570" s="32" t="n">
        <x:f>IF(OR(N570="",AA570=""),"",N570-AA570)</x:f>
        <x:v>-5.720720720720564</x:v>
      </x:c>
      <x:c r="AC570" s="20" t="n">
        <x:f>IF(OR(N570="",AA570="",AA570=0),"",AB570/AA570)</x:f>
        <x:v>-0.22882882882882258</x:v>
      </x:c>
      <x:c r="AD570" t="str">
        <x:f>IF(AA570="","NO STANDARD",IF(AC570&lt;=Config_Status!$B$2,"EFFICIENT",IF(AC570&lt;=Config_Status!$B$3,"NORMAL",IF(AC570&lt;=Config_Status!$B$4,"WARNING","OVER CONSUMPTION"))))</x:f>
        <x:v>EFFICIENT</x:v>
      </x:c>
      <x:c r="AE570" t="str">
        <x:f>IFERROR(VLOOKUP(G570,Master_Unit!$A$2:$N$78,13,FALSE),"UNIT NOT FOUND")</x:f>
        <x:v>Matched</x:v>
      </x:c>
    </x:row>
    <x:row r="571">
      <x:c r="A571" s="12" t="str">
        <x:v>FU-20260608-00570</x:v>
      </x:c>
      <x:c r="B571" s="12" t="n">
        <x:v>700</x:v>
      </x:c>
      <x:c r="C571" s="14" t="n">
        <x:v>46181</x:v>
      </x:c>
      <x:c r="D571" s="12" t="str">
        <x:v>Senin</x:v>
      </x:c>
      <x:c r="E571" s="12" t="str">
        <x:v>09:51:00</x:v>
      </x:c>
      <x:c r="F571" s="12" t="str">
        <x:v>All Shift Day</x:v>
      </x:c>
      <x:c r="G571" s="12" t="str">
        <x:v>STRL44G157</x:v>
      </x:c>
      <x:c r="H571" s="12" t="str">
        <x:v>Dump Truck</x:v>
      </x:c>
      <x:c r="I571" s="12" t="str">
        <x:v>DUMP TRUCK RENAULT KRANGE440-P6X4 A/T</x:v>
      </x:c>
      <x:c r="J571" s="16" t="n">
        <x:v>139</x:v>
      </x:c>
      <x:c r="K571" s="16" t="n">
        <x:v>4052</x:v>
      </x:c>
      <x:c r="L571" s="16" t="n">
        <x:v>4059</x:v>
      </x:c>
      <x:c r="M571" s="16" t="n">
        <x:v>7</x:v>
      </x:c>
      <x:c r="N571" s="16" t="n">
        <x:v>19.857142857142858</x:v>
      </x:c>
      <x:c r="O571" s="12" t="str">
        <x:v>FTRL44G004</x:v>
      </x:c>
      <x:c r="P571" s="12" t="str">
        <x:v>STRL44G157</x:v>
      </x:c>
      <x:c r="Q571" s="12" t="str"/>
      <x:c r="R571" s="12" t="str"/>
      <x:c r="S571" s="12" t="str"/>
      <x:c r="T571" s="12" t="str">
        <x:v>ABM</x:v>
      </x:c>
      <x:c r="U571" s="12" t="str"/>
      <x:c r="V571" s="12" t="str"/>
      <x:c r="W571" s="12" t="str"/>
      <x:c r="X571" s="12" t="str">
        <x:v>STRL44</x:v>
      </x:c>
      <x:c r="Y571" s="12" t="str">
        <x:v>FANGKI &amp; ACUNG</x:v>
      </x:c>
      <x:c r="Z571" s="12" t="str"/>
      <x:c r="AA571" s="32" t="n">
        <x:f>IFERROR(VLOOKUP(G571,Master_Unit!$A$2:$N$78,7,FALSE),"")</x:f>
        <x:v>20</x:v>
      </x:c>
      <x:c r="AB571" s="32" t="n">
        <x:f>IF(OR(N571="",AA571=""),"",N571-AA571)</x:f>
        <x:v>-0.14285714285714235</x:v>
      </x:c>
      <x:c r="AC571" s="20" t="n">
        <x:f>IF(OR(N571="",AA571="",AA571=0),"",AB571/AA571)</x:f>
        <x:v>-0.0071428571428571175</x:v>
      </x:c>
      <x:c r="AD571" t="str">
        <x:f>IF(AA571="","NO STANDARD",IF(AC571&lt;=Config_Status!$B$2,"EFFICIENT",IF(AC571&lt;=Config_Status!$B$3,"NORMAL",IF(AC571&lt;=Config_Status!$B$4,"WARNING","OVER CONSUMPTION"))))</x:f>
        <x:v>NORMAL</x:v>
      </x:c>
      <x:c r="AE571" t="str">
        <x:f>IFERROR(VLOOKUP(G571,Master_Unit!$A$2:$N$78,13,FALSE),"UNIT NOT FOUND")</x:f>
        <x:v>Matched</x:v>
      </x:c>
    </x:row>
    <x:row r="572">
      <x:c r="A572" s="12" t="str">
        <x:v>FU-20260608-00571</x:v>
      </x:c>
      <x:c r="B572" s="12" t="n">
        <x:v>701</x:v>
      </x:c>
      <x:c r="C572" s="14" t="n">
        <x:v>46181</x:v>
      </x:c>
      <x:c r="D572" s="12" t="str">
        <x:v>Senin</x:v>
      </x:c>
      <x:c r="E572" s="12" t="str">
        <x:v>09:55:00</x:v>
      </x:c>
      <x:c r="F572" s="12" t="str">
        <x:v>All Shift Day</x:v>
      </x:c>
      <x:c r="G572" s="12" t="str">
        <x:v>STRL44G152</x:v>
      </x:c>
      <x:c r="H572" s="12" t="str">
        <x:v>Dump Truck</x:v>
      </x:c>
      <x:c r="I572" s="12" t="str">
        <x:v>DUMP TRUCK RENAULT KRANGE440-P6X4 A/T</x:v>
      </x:c>
      <x:c r="J572" s="16" t="n">
        <x:v>104</x:v>
      </x:c>
      <x:c r="K572" s="16" t="n">
        <x:v>3689</x:v>
      </x:c>
      <x:c r="L572" s="16" t="n">
        <x:v>3697</x:v>
      </x:c>
      <x:c r="M572" s="16" t="n">
        <x:v>8</x:v>
      </x:c>
      <x:c r="N572" s="16" t="n">
        <x:v>13</x:v>
      </x:c>
      <x:c r="O572" s="12" t="str">
        <x:v>FTRL44G004</x:v>
      </x:c>
      <x:c r="P572" s="12" t="str">
        <x:v>STRL44G152</x:v>
      </x:c>
      <x:c r="Q572" s="12" t="str"/>
      <x:c r="R572" s="12" t="str"/>
      <x:c r="S572" s="12" t="str"/>
      <x:c r="T572" s="12" t="str">
        <x:v>ABM</x:v>
      </x:c>
      <x:c r="U572" s="12" t="str"/>
      <x:c r="V572" s="12" t="str"/>
      <x:c r="W572" s="12" t="str"/>
      <x:c r="X572" s="12" t="str">
        <x:v>STRL44</x:v>
      </x:c>
      <x:c r="Y572" s="12" t="str">
        <x:v>FANGKI &amp; ACUNG</x:v>
      </x:c>
      <x:c r="Z572" s="12" t="str"/>
      <x:c r="AA572" s="32" t="n">
        <x:f>IFERROR(VLOOKUP(G572,Master_Unit!$A$2:$N$78,7,FALSE),"")</x:f>
        <x:v>20</x:v>
      </x:c>
      <x:c r="AB572" s="32" t="n">
        <x:f>IF(OR(N572="",AA572=""),"",N572-AA572)</x:f>
        <x:v>-7</x:v>
      </x:c>
      <x:c r="AC572" s="20" t="n">
        <x:f>IF(OR(N572="",AA572="",AA572=0),"",AB572/AA572)</x:f>
        <x:v>-0.35</x:v>
      </x:c>
      <x:c r="AD572" t="str">
        <x:f>IF(AA572="","NO STANDARD",IF(AC572&lt;=Config_Status!$B$2,"EFFICIENT",IF(AC572&lt;=Config_Status!$B$3,"NORMAL",IF(AC572&lt;=Config_Status!$B$4,"WARNING","OVER CONSUMPTION"))))</x:f>
        <x:v>EFFICIENT</x:v>
      </x:c>
      <x:c r="AE572" t="str">
        <x:f>IFERROR(VLOOKUP(G572,Master_Unit!$A$2:$N$78,13,FALSE),"UNIT NOT FOUND")</x:f>
        <x:v>Matched</x:v>
      </x:c>
    </x:row>
    <x:row r="573">
      <x:c r="A573" s="12" t="str">
        <x:v>FU-20260608-00572</x:v>
      </x:c>
      <x:c r="B573" s="12" t="n">
        <x:v>702</x:v>
      </x:c>
      <x:c r="C573" s="14" t="n">
        <x:v>46181</x:v>
      </x:c>
      <x:c r="D573" s="12" t="str">
        <x:v>Senin</x:v>
      </x:c>
      <x:c r="E573" s="12" t="str">
        <x:v>11:52:00</x:v>
      </x:c>
      <x:c r="F573" s="12" t="str">
        <x:v>All Shift Day</x:v>
      </x:c>
      <x:c r="G573" s="12" t="str">
        <x:v>EXVV35G006</x:v>
      </x:c>
      <x:c r="H573" s="12" t="str">
        <x:v>Excavator</x:v>
      </x:c>
      <x:c r="I573" s="12" t="str">
        <x:v>EXCAVATOR VOLVO EC350D</x:v>
      </x:c>
      <x:c r="J573" s="16" t="n">
        <x:v>213</x:v>
      </x:c>
      <x:c r="K573" s="16" t="n">
        <x:v>3145.2</x:v>
      </x:c>
      <x:c r="L573" s="16" t="n">
        <x:v>3159</x:v>
      </x:c>
      <x:c r="M573" s="16" t="n">
        <x:v>13.800000000000182</x:v>
      </x:c>
      <x:c r="N573" s="16" t="n">
        <x:v>15.434782608695448</x:v>
      </x:c>
      <x:c r="O573" s="12" t="str">
        <x:v>FTRL44G004</x:v>
      </x:c>
      <x:c r="P573" s="12" t="str">
        <x:v>EXVV35G006</x:v>
      </x:c>
      <x:c r="Q573" s="12" t="str"/>
      <x:c r="R573" s="12" t="str"/>
      <x:c r="S573" s="12" t="str"/>
      <x:c r="T573" s="12" t="str">
        <x:v>ABM</x:v>
      </x:c>
      <x:c r="U573" s="12" t="str"/>
      <x:c r="V573" s="12" t="str"/>
      <x:c r="W573" s="12" t="str"/>
      <x:c r="X573" s="12" t="str">
        <x:v>EXVV35</x:v>
      </x:c>
      <x:c r="Y573" s="12" t="str">
        <x:v>FANGKI &amp; ACUNG</x:v>
      </x:c>
      <x:c r="Z573" s="12" t="str"/>
      <x:c r="AA573" s="32" t="n">
        <x:f>IFERROR(VLOOKUP(G573,Master_Unit!$A$2:$N$78,7,FALSE),"")</x:f>
        <x:v>25</x:v>
      </x:c>
      <x:c r="AB573" s="32" t="n">
        <x:f>IF(OR(N573="",AA573=""),"",N573-AA573)</x:f>
        <x:v>-9.565217391304552</x:v>
      </x:c>
      <x:c r="AC573" s="20" t="n">
        <x:f>IF(OR(N573="",AA573="",AA573=0),"",AB573/AA573)</x:f>
        <x:v>-0.3826086956521821</x:v>
      </x:c>
      <x:c r="AD573" t="str">
        <x:f>IF(AA573="","NO STANDARD",IF(AC573&lt;=Config_Status!$B$2,"EFFICIENT",IF(AC573&lt;=Config_Status!$B$3,"NORMAL",IF(AC573&lt;=Config_Status!$B$4,"WARNING","OVER CONSUMPTION"))))</x:f>
        <x:v>EFFICIENT</x:v>
      </x:c>
      <x:c r="AE573" t="str">
        <x:f>IFERROR(VLOOKUP(G573,Master_Unit!$A$2:$N$78,13,FALSE),"UNIT NOT FOUND")</x:f>
        <x:v>Matched</x:v>
      </x:c>
    </x:row>
    <x:row r="574">
      <x:c r="A574" s="12" t="str">
        <x:v>FU-20260608-00573</x:v>
      </x:c>
      <x:c r="B574" s="12" t="n">
        <x:v>703</x:v>
      </x:c>
      <x:c r="C574" s="14" t="n">
        <x:v>46181</x:v>
      </x:c>
      <x:c r="D574" s="12" t="str">
        <x:v>Senin</x:v>
      </x:c>
      <x:c r="E574" s="12" t="str">
        <x:v>12:03:00</x:v>
      </x:c>
      <x:c r="F574" s="12" t="str">
        <x:v>All Shift Day</x:v>
      </x:c>
      <x:c r="G574" s="12" t="str">
        <x:v>TLPT14G001</x:v>
      </x:c>
      <x:c r="H574" s="12" t="str">
        <x:v>Other</x:v>
      </x:c>
      <x:c r="I574" s="12" t="str">
        <x:v>TOWERLAMP PATRIA LS4-1400</x:v>
      </x:c>
      <x:c r="J574" s="16" t="n">
        <x:v>15</x:v>
      </x:c>
      <x:c r="K574" s="16" t="n">
        <x:v>17729.7</x:v>
      </x:c>
      <x:c r="L574" s="16" t="n">
        <x:v>17762.3</x:v>
      </x:c>
      <x:c r="M574" s="16" t="n">
        <x:v>32.599999999998545</x:v>
      </x:c>
      <x:c r="N574" s="16" t="n">
        <x:v>0.4601226993865236</x:v>
      </x:c>
      <x:c r="O574" s="12" t="str">
        <x:v>FTRL44G004</x:v>
      </x:c>
      <x:c r="P574" s="12" t="str">
        <x:v>TLPT14G001</x:v>
      </x:c>
      <x:c r="Q574" s="12" t="str"/>
      <x:c r="R574" s="12" t="str"/>
      <x:c r="S574" s="12" t="str"/>
      <x:c r="T574" s="12" t="str">
        <x:v>ABM</x:v>
      </x:c>
      <x:c r="U574" s="12" t="str"/>
      <x:c r="V574" s="12" t="str"/>
      <x:c r="W574" s="12" t="str"/>
      <x:c r="X574" s="12" t="str">
        <x:v>TLPT14</x:v>
      </x:c>
      <x:c r="Y574" s="12" t="str">
        <x:v>FANGKI &amp; ACUNG</x:v>
      </x:c>
      <x:c r="Z574" s="12" t="str"/>
      <x:c r="AA574" s="32" t="str">
        <x:f>IFERROR(VLOOKUP(G574,Master_Unit!$A$2:$N$78,7,FALSE),"")</x:f>
      </x:c>
      <x:c r="AB574" s="32" t="str">
        <x:f>IF(OR(N574="",AA574=""),"",N574-AA574)</x:f>
      </x:c>
      <x:c r="AC574" s="20" t="str">
        <x:f>IF(OR(N574="",AA574="",AA574=0),"",AB574/AA574)</x:f>
      </x:c>
      <x:c r="AD574" t="str">
        <x:f>IF(AA574="","NO STANDARD",IF(AC574&lt;=Config_Status!$B$2,"EFFICIENT",IF(AC574&lt;=Config_Status!$B$3,"NORMAL",IF(AC574&lt;=Config_Status!$B$4,"WARNING","OVER CONSUMPTION"))))</x:f>
        <x:v>NO STANDARD</x:v>
      </x:c>
      <x:c r="AE574" t="str">
        <x:f>IFERROR(VLOOKUP(G574,Master_Unit!$A$2:$N$78,13,FALSE),"UNIT NOT FOUND")</x:f>
        <x:v>No Standard</x:v>
      </x:c>
    </x:row>
    <x:row r="575">
      <x:c r="A575" s="12" t="str">
        <x:v>FU-20260608-00574</x:v>
      </x:c>
      <x:c r="B575" s="12" t="n">
        <x:v>704</x:v>
      </x:c>
      <x:c r="C575" s="14" t="n">
        <x:v>46181</x:v>
      </x:c>
      <x:c r="D575" s="12" t="str">
        <x:v>Senin</x:v>
      </x:c>
      <x:c r="E575" s="12" t="str">
        <x:v>12:13:00</x:v>
      </x:c>
      <x:c r="F575" s="12" t="str">
        <x:v>All Shift Day</x:v>
      </x:c>
      <x:c r="G575" s="12" t="str">
        <x:v>TLPT14G003</x:v>
      </x:c>
      <x:c r="H575" s="12" t="str">
        <x:v>Other</x:v>
      </x:c>
      <x:c r="I575" s="12" t="str">
        <x:v>TOWERLAMP PATRIA LS4-1400</x:v>
      </x:c>
      <x:c r="J575" s="16" t="n">
        <x:v>20</x:v>
      </x:c>
      <x:c r="K575" s="16" t="n">
        <x:v>13034.4</x:v>
      </x:c>
      <x:c r="L575" s="16" t="n">
        <x:v>13054.1</x:v>
      </x:c>
      <x:c r="M575" s="16" t="n">
        <x:v>19.700000000000728</x:v>
      </x:c>
      <x:c r="N575" s="16" t="n">
        <x:v>1.0152284263959015</x:v>
      </x:c>
      <x:c r="O575" s="12" t="str">
        <x:v>FTRL44G004</x:v>
      </x:c>
      <x:c r="P575" s="12" t="str">
        <x:v>TLPT14G003</x:v>
      </x:c>
      <x:c r="Q575" s="12" t="str"/>
      <x:c r="R575" s="12" t="str"/>
      <x:c r="S575" s="12" t="str"/>
      <x:c r="T575" s="12" t="str">
        <x:v>ABM</x:v>
      </x:c>
      <x:c r="U575" s="12" t="str"/>
      <x:c r="V575" s="12" t="str"/>
      <x:c r="W575" s="12" t="str"/>
      <x:c r="X575" s="12" t="str">
        <x:v>TLPT14</x:v>
      </x:c>
      <x:c r="Y575" s="12" t="str">
        <x:v>FANGKI &amp; ACUNG</x:v>
      </x:c>
      <x:c r="Z575" s="12" t="str"/>
      <x:c r="AA575" s="32" t="str">
        <x:f>IFERROR(VLOOKUP(G575,Master_Unit!$A$2:$N$78,7,FALSE),"")</x:f>
      </x:c>
      <x:c r="AB575" s="32" t="str">
        <x:f>IF(OR(N575="",AA575=""),"",N575-AA575)</x:f>
      </x:c>
      <x:c r="AC575" s="20" t="str">
        <x:f>IF(OR(N575="",AA575="",AA575=0),"",AB575/AA575)</x:f>
      </x:c>
      <x:c r="AD575" t="str">
        <x:f>IF(AA575="","NO STANDARD",IF(AC575&lt;=Config_Status!$B$2,"EFFICIENT",IF(AC575&lt;=Config_Status!$B$3,"NORMAL",IF(AC575&lt;=Config_Status!$B$4,"WARNING","OVER CONSUMPTION"))))</x:f>
        <x:v>NO STANDARD</x:v>
      </x:c>
      <x:c r="AE575" t="str">
        <x:f>IFERROR(VLOOKUP(G575,Master_Unit!$A$2:$N$78,13,FALSE),"UNIT NOT FOUND")</x:f>
        <x:v>No Standard</x:v>
      </x:c>
    </x:row>
    <x:row r="576">
      <x:c r="A576" s="12" t="str">
        <x:v>FU-20260608-00575</x:v>
      </x:c>
      <x:c r="B576" s="12" t="n">
        <x:v>705</x:v>
      </x:c>
      <x:c r="C576" s="14" t="n">
        <x:v>46181</x:v>
      </x:c>
      <x:c r="D576" s="12" t="str">
        <x:v>Senin</x:v>
      </x:c>
      <x:c r="E576" s="12" t="str">
        <x:v>12:23:00</x:v>
      </x:c>
      <x:c r="F576" s="12" t="str">
        <x:v>All Shift Day</x:v>
      </x:c>
      <x:c r="G576" s="12" t="str">
        <x:v>FTRL44G004</x:v>
      </x:c>
      <x:c r="H576" s="12" t="str">
        <x:v>Fuel Truck</x:v>
      </x:c>
      <x:c r="I576" s="12" t="str">
        <x:v>FUEL TRUCK RENAULT KRANGE440-P6X4 A/T</x:v>
      </x:c>
      <x:c r="J576" s="16" t="n">
        <x:v>135</x:v>
      </x:c>
      <x:c r="K576" s="16" t="n">
        <x:v>3836</x:v>
      </x:c>
      <x:c r="L576" s="16" t="n">
        <x:v>3872</x:v>
      </x:c>
      <x:c r="M576" s="16" t="n">
        <x:v>36</x:v>
      </x:c>
      <x:c r="N576" s="16" t="n">
        <x:v>3.75</x:v>
      </x:c>
      <x:c r="O576" s="12" t="str">
        <x:v>FTRL44G004</x:v>
      </x:c>
      <x:c r="P576" s="12" t="str">
        <x:v>FTRL44G004</x:v>
      </x:c>
      <x:c r="Q576" s="12" t="str"/>
      <x:c r="R576" s="12" t="str"/>
      <x:c r="S576" s="12" t="str"/>
      <x:c r="T576" s="12" t="str">
        <x:v>ABM</x:v>
      </x:c>
      <x:c r="U576" s="12" t="str"/>
      <x:c r="V576" s="12" t="str"/>
      <x:c r="W576" s="12" t="str"/>
      <x:c r="X576" s="12" t="str">
        <x:v>FTRL44</x:v>
      </x:c>
      <x:c r="Y576" s="12" t="str">
        <x:v>FANGKI &amp; ACUNG</x:v>
      </x:c>
      <x:c r="Z576" s="12" t="str"/>
      <x:c r="AA576" s="32" t="n">
        <x:f>IFERROR(VLOOKUP(G576,Master_Unit!$A$2:$N$78,7,FALSE),"")</x:f>
        <x:v>13</x:v>
      </x:c>
      <x:c r="AB576" s="32" t="n">
        <x:f>IF(OR(N576="",AA576=""),"",N576-AA576)</x:f>
        <x:v>-9.25</x:v>
      </x:c>
      <x:c r="AC576" s="20" t="n">
        <x:f>IF(OR(N576="",AA576="",AA576=0),"",AB576/AA576)</x:f>
        <x:v>-0.7115384615384616</x:v>
      </x:c>
      <x:c r="AD576" t="str">
        <x:f>IF(AA576="","NO STANDARD",IF(AC576&lt;=Config_Status!$B$2,"EFFICIENT",IF(AC576&lt;=Config_Status!$B$3,"NORMAL",IF(AC576&lt;=Config_Status!$B$4,"WARNING","OVER CONSUMPTION"))))</x:f>
        <x:v>EFFICIENT</x:v>
      </x:c>
      <x:c r="AE576" t="str">
        <x:f>IFERROR(VLOOKUP(G576,Master_Unit!$A$2:$N$78,13,FALSE),"UNIT NOT FOUND")</x:f>
        <x:v>Matched</x:v>
      </x:c>
    </x:row>
    <x:row r="577">
      <x:c r="A577" s="12" t="str">
        <x:v>FU-20260608-00576</x:v>
      </x:c>
      <x:c r="B577" s="12" t="n">
        <x:v>706</x:v>
      </x:c>
      <x:c r="C577" s="14" t="n">
        <x:v>46181</x:v>
      </x:c>
      <x:c r="D577" s="12" t="str">
        <x:v>Senin</x:v>
      </x:c>
      <x:c r="E577" s="12" t="str">
        <x:v>18:00:00</x:v>
      </x:c>
      <x:c r="F577" s="12" t="str">
        <x:v>All Shift Night</x:v>
      </x:c>
      <x:c r="G577" s="12" t="str">
        <x:v>EXVV21G035</x:v>
      </x:c>
      <x:c r="H577" s="12" t="str">
        <x:v>Excavator</x:v>
      </x:c>
      <x:c r="I577" s="12" t="str">
        <x:v>EXCAVATOR VOLVO EC210D</x:v>
      </x:c>
      <x:c r="J577" s="16" t="n">
        <x:v>103</x:v>
      </x:c>
      <x:c r="K577" s="16" t="n">
        <x:v>8379.2</x:v>
      </x:c>
      <x:c r="L577" s="16" t="n">
        <x:v>8387</x:v>
      </x:c>
      <x:c r="M577" s="16" t="n">
        <x:v>7.799999999999272</x:v>
      </x:c>
      <x:c r="N577" s="16" t="n">
        <x:v>13.205128205129437</x:v>
      </x:c>
      <x:c r="O577" s="12" t="str">
        <x:v>FTRL44G005</x:v>
      </x:c>
      <x:c r="P577" s="12" t="str">
        <x:v>EXVV21G035</x:v>
      </x:c>
      <x:c r="Q577" s="12" t="str"/>
      <x:c r="R577" s="12" t="str"/>
      <x:c r="S577" s="12" t="str"/>
      <x:c r="T577" s="12" t="str">
        <x:v>ABM</x:v>
      </x:c>
      <x:c r="U577" s="12" t="str"/>
      <x:c r="V577" s="12" t="str"/>
      <x:c r="W577" s="12" t="str"/>
      <x:c r="X577" s="12" t="str">
        <x:v>EXVV21</x:v>
      </x:c>
      <x:c r="Y577" s="12" t="str">
        <x:v>RAFIF &amp; YOGI</x:v>
      </x:c>
      <x:c r="Z577" s="12" t="str"/>
      <x:c r="AA577" s="32" t="n">
        <x:f>IFERROR(VLOOKUP(G577,Master_Unit!$A$2:$N$78,7,FALSE),"")</x:f>
        <x:v>20</x:v>
      </x:c>
      <x:c r="AB577" s="32" t="n">
        <x:f>IF(OR(N577="",AA577=""),"",N577-AA577)</x:f>
        <x:v>-6.794871794870563</x:v>
      </x:c>
      <x:c r="AC577" s="20" t="n">
        <x:f>IF(OR(N577="",AA577="",AA577=0),"",AB577/AA577)</x:f>
        <x:v>-0.33974358974352814</x:v>
      </x:c>
      <x:c r="AD577" t="str">
        <x:f>IF(AA577="","NO STANDARD",IF(AC577&lt;=Config_Status!$B$2,"EFFICIENT",IF(AC577&lt;=Config_Status!$B$3,"NORMAL",IF(AC577&lt;=Config_Status!$B$4,"WARNING","OVER CONSUMPTION"))))</x:f>
        <x:v>EFFICIENT</x:v>
      </x:c>
      <x:c r="AE577" t="str">
        <x:f>IFERROR(VLOOKUP(G577,Master_Unit!$A$2:$N$78,13,FALSE),"UNIT NOT FOUND")</x:f>
        <x:v>Matched</x:v>
      </x:c>
    </x:row>
    <x:row r="578">
      <x:c r="A578" s="12" t="str">
        <x:v>FU-20260608-00577</x:v>
      </x:c>
      <x:c r="B578" s="12" t="n">
        <x:v>707</x:v>
      </x:c>
      <x:c r="C578" s="14" t="n">
        <x:v>46181</x:v>
      </x:c>
      <x:c r="D578" s="12" t="str">
        <x:v>Senin</x:v>
      </x:c>
      <x:c r="E578" s="12" t="str">
        <x:v>18:03:00</x:v>
      </x:c>
      <x:c r="F578" s="12" t="str">
        <x:v>All Shift Night</x:v>
      </x:c>
      <x:c r="G578" s="12" t="str">
        <x:v>EXVV21G037</x:v>
      </x:c>
      <x:c r="H578" s="12" t="str">
        <x:v>Excavator</x:v>
      </x:c>
      <x:c r="I578" s="12" t="str">
        <x:v>EXCAVATOR VOLVO EC210D</x:v>
      </x:c>
      <x:c r="J578" s="16" t="n">
        <x:v>131</x:v>
      </x:c>
      <x:c r="K578" s="16" t="n">
        <x:v>6841.9</x:v>
      </x:c>
      <x:c r="L578" s="16" t="n">
        <x:v>6849.2</x:v>
      </x:c>
      <x:c r="M578" s="16" t="n">
        <x:v>7.300000000000182</x:v>
      </x:c>
      <x:c r="N578" s="16" t="n">
        <x:v>17.94520547945161</x:v>
      </x:c>
      <x:c r="O578" s="12" t="str">
        <x:v>FTRL44G005</x:v>
      </x:c>
      <x:c r="P578" s="12" t="str">
        <x:v>EXVV21G037</x:v>
      </x:c>
      <x:c r="Q578" s="12" t="str"/>
      <x:c r="R578" s="12" t="str"/>
      <x:c r="S578" s="12" t="str"/>
      <x:c r="T578" s="12" t="str">
        <x:v>ABM</x:v>
      </x:c>
      <x:c r="U578" s="12" t="str"/>
      <x:c r="V578" s="12" t="str"/>
      <x:c r="W578" s="12" t="str"/>
      <x:c r="X578" s="12" t="str">
        <x:v>EXVV21</x:v>
      </x:c>
      <x:c r="Y578" s="12" t="str">
        <x:v>RAFIF &amp; YOGI</x:v>
      </x:c>
      <x:c r="Z578" s="12" t="str"/>
      <x:c r="AA578" s="32" t="n">
        <x:f>IFERROR(VLOOKUP(G578,Master_Unit!$A$2:$N$78,7,FALSE),"")</x:f>
        <x:v>20</x:v>
      </x:c>
      <x:c r="AB578" s="32" t="n">
        <x:f>IF(OR(N578="",AA578=""),"",N578-AA578)</x:f>
        <x:v>-2.0547945205483913</x:v>
      </x:c>
      <x:c r="AC578" s="20" t="n">
        <x:f>IF(OR(N578="",AA578="",AA578=0),"",AB578/AA578)</x:f>
        <x:v>-0.10273972602741957</x:v>
      </x:c>
      <x:c r="AD578" t="str">
        <x:f>IF(AA578="","NO STANDARD",IF(AC578&lt;=Config_Status!$B$2,"EFFICIENT",IF(AC578&lt;=Config_Status!$B$3,"NORMAL",IF(AC578&lt;=Config_Status!$B$4,"WARNING","OVER CONSUMPTION"))))</x:f>
        <x:v>EFFICIENT</x:v>
      </x:c>
      <x:c r="AE578" t="str">
        <x:f>IFERROR(VLOOKUP(G578,Master_Unit!$A$2:$N$78,13,FALSE),"UNIT NOT FOUND")</x:f>
        <x:v>Matched</x:v>
      </x:c>
    </x:row>
    <x:row r="579">
      <x:c r="A579" s="12" t="str">
        <x:v>FU-20260608-00578</x:v>
      </x:c>
      <x:c r="B579" s="12" t="n">
        <x:v>708</x:v>
      </x:c>
      <x:c r="C579" s="14" t="n">
        <x:v>46181</x:v>
      </x:c>
      <x:c r="D579" s="12" t="str">
        <x:v>Senin</x:v>
      </x:c>
      <x:c r="E579" s="12" t="str">
        <x:v>18:07:00</x:v>
      </x:c>
      <x:c r="F579" s="12" t="str">
        <x:v>All Shift Night</x:v>
      </x:c>
      <x:c r="G579" s="12" t="str">
        <x:v>BDKM85G039</x:v>
      </x:c>
      <x:c r="H579" s="12" t="str">
        <x:v>Dozer</x:v>
      </x:c>
      <x:c r="I579" s="12" t="str">
        <x:v>BULDOZER KOMATSU D85ESS-2</x:v>
      </x:c>
      <x:c r="J579" s="16" t="n">
        <x:v>140</x:v>
      </x:c>
      <x:c r="K579" s="16" t="n">
        <x:v>7063.1</x:v>
      </x:c>
      <x:c r="L579" s="16" t="n">
        <x:v>7070.8</x:v>
      </x:c>
      <x:c r="M579" s="16" t="n">
        <x:v>7.699999999999818</x:v>
      </x:c>
      <x:c r="N579" s="16" t="n">
        <x:v>18.18181818181861</x:v>
      </x:c>
      <x:c r="O579" s="12" t="str">
        <x:v>FTRL44G005</x:v>
      </x:c>
      <x:c r="P579" s="12" t="str">
        <x:v>BDKM85G039</x:v>
      </x:c>
      <x:c r="Q579" s="12" t="str"/>
      <x:c r="R579" s="12" t="str"/>
      <x:c r="S579" s="12" t="str"/>
      <x:c r="T579" s="12" t="str">
        <x:v>ABM</x:v>
      </x:c>
      <x:c r="U579" s="12" t="str"/>
      <x:c r="V579" s="12" t="str"/>
      <x:c r="W579" s="12" t="str"/>
      <x:c r="X579" s="12" t="str">
        <x:v>BDKM85</x:v>
      </x:c>
      <x:c r="Y579" s="12" t="str">
        <x:v>RAFIF &amp; YOGI</x:v>
      </x:c>
      <x:c r="Z579" s="12" t="str"/>
      <x:c r="AA579" s="32" t="n">
        <x:f>IFERROR(VLOOKUP(G579,Master_Unit!$A$2:$N$78,7,FALSE),"")</x:f>
        <x:v>30</x:v>
      </x:c>
      <x:c r="AB579" s="32" t="n">
        <x:f>IF(OR(N579="",AA579=""),"",N579-AA579)</x:f>
        <x:v>-11.81818181818139</x:v>
      </x:c>
      <x:c r="AC579" s="20" t="n">
        <x:f>IF(OR(N579="",AA579="",AA579=0),"",AB579/AA579)</x:f>
        <x:v>-0.39393939393937966</x:v>
      </x:c>
      <x:c r="AD579" t="str">
        <x:f>IF(AA579="","NO STANDARD",IF(AC579&lt;=Config_Status!$B$2,"EFFICIENT",IF(AC579&lt;=Config_Status!$B$3,"NORMAL",IF(AC579&lt;=Config_Status!$B$4,"WARNING","OVER CONSUMPTION"))))</x:f>
        <x:v>EFFICIENT</x:v>
      </x:c>
      <x:c r="AE579" t="str">
        <x:f>IFERROR(VLOOKUP(G579,Master_Unit!$A$2:$N$78,13,FALSE),"UNIT NOT FOUND")</x:f>
        <x:v>Matched</x:v>
      </x:c>
    </x:row>
    <x:row r="580">
      <x:c r="A580" s="12" t="str">
        <x:v>FU-20260608-00579</x:v>
      </x:c>
      <x:c r="B580" s="12" t="n">
        <x:v>709</x:v>
      </x:c>
      <x:c r="C580" s="14" t="n">
        <x:v>46181</x:v>
      </x:c>
      <x:c r="D580" s="12" t="str">
        <x:v>Senin</x:v>
      </x:c>
      <x:c r="E580" s="12" t="str">
        <x:v>18:12:00</x:v>
      </x:c>
      <x:c r="F580" s="12" t="str">
        <x:v>All Shift Night</x:v>
      </x:c>
      <x:c r="G580" s="12" t="str">
        <x:v>BDKM85G040</x:v>
      </x:c>
      <x:c r="H580" s="12" t="str">
        <x:v>Dozer</x:v>
      </x:c>
      <x:c r="I580" s="12" t="str">
        <x:v>BULDOZER KOMATSU D85ESS-2</x:v>
      </x:c>
      <x:c r="J580" s="16" t="n">
        <x:v>163</x:v>
      </x:c>
      <x:c r="K580" s="16" t="n">
        <x:v>6244.9</x:v>
      </x:c>
      <x:c r="L580" s="16" t="n">
        <x:v>6250.1</x:v>
      </x:c>
      <x:c r="M580" s="16" t="n">
        <x:v>5.200000000000728</x:v>
      </x:c>
      <x:c r="N580" s="16" t="n">
        <x:v>31.34615384614946</x:v>
      </x:c>
      <x:c r="O580" s="12" t="str">
        <x:v>FTRL44G005</x:v>
      </x:c>
      <x:c r="P580" s="12" t="str">
        <x:v>BDKM85G040</x:v>
      </x:c>
      <x:c r="Q580" s="12" t="str"/>
      <x:c r="R580" s="12" t="str"/>
      <x:c r="S580" s="12" t="str"/>
      <x:c r="T580" s="12" t="str">
        <x:v>ABM</x:v>
      </x:c>
      <x:c r="U580" s="12" t="str"/>
      <x:c r="V580" s="12" t="str"/>
      <x:c r="W580" s="12" t="str"/>
      <x:c r="X580" s="12" t="str">
        <x:v>BDKM85</x:v>
      </x:c>
      <x:c r="Y580" s="12" t="str">
        <x:v>RAFIF &amp; YOGI</x:v>
      </x:c>
      <x:c r="Z580" s="12" t="str"/>
      <x:c r="AA580" s="32" t="n">
        <x:f>IFERROR(VLOOKUP(G580,Master_Unit!$A$2:$N$78,7,FALSE),"")</x:f>
        <x:v>30</x:v>
      </x:c>
      <x:c r="AB580" s="32" t="n">
        <x:f>IF(OR(N580="",AA580=""),"",N580-AA580)</x:f>
        <x:v>1.346153846149459</x:v>
      </x:c>
      <x:c r="AC580" s="20" t="n">
        <x:f>IF(OR(N580="",AA580="",AA580=0),"",AB580/AA580)</x:f>
        <x:v>0.044871794871648635</x:v>
      </x:c>
      <x:c r="AD580" t="str">
        <x:f>IF(AA580="","NO STANDARD",IF(AC580&lt;=Config_Status!$B$2,"EFFICIENT",IF(AC580&lt;=Config_Status!$B$3,"NORMAL",IF(AC580&lt;=Config_Status!$B$4,"WARNING","OVER CONSUMPTION"))))</x:f>
        <x:v>NORMAL</x:v>
      </x:c>
      <x:c r="AE580" t="str">
        <x:f>IFERROR(VLOOKUP(G580,Master_Unit!$A$2:$N$78,13,FALSE),"UNIT NOT FOUND")</x:f>
        <x:v>Matched</x:v>
      </x:c>
    </x:row>
    <x:row r="581">
      <x:c r="A581" s="12" t="str">
        <x:v>FU-20260608-00580</x:v>
      </x:c>
      <x:c r="B581" s="12" t="n">
        <x:v>710</x:v>
      </x:c>
      <x:c r="C581" s="14" t="n">
        <x:v>46181</x:v>
      </x:c>
      <x:c r="D581" s="12" t="str">
        <x:v>Senin</x:v>
      </x:c>
      <x:c r="E581" s="12" t="str">
        <x:v>18:16:00</x:v>
      </x:c>
      <x:c r="F581" s="12" t="str">
        <x:v>All Shift Night</x:v>
      </x:c>
      <x:c r="G581" s="12" t="str">
        <x:v>EXVV21G043</x:v>
      </x:c>
      <x:c r="H581" s="12" t="str">
        <x:v>Excavator</x:v>
      </x:c>
      <x:c r="I581" s="12" t="str">
        <x:v>EXCAVATOR VOLVO EC210D</x:v>
      </x:c>
      <x:c r="J581" s="16" t="n">
        <x:v>90</x:v>
      </x:c>
      <x:c r="K581" s="16" t="n">
        <x:v>5317.2</x:v>
      </x:c>
      <x:c r="L581" s="16" t="n">
        <x:v>5322.8</x:v>
      </x:c>
      <x:c r="M581" s="16" t="n">
        <x:v>5.600000000000364</x:v>
      </x:c>
      <x:c r="N581" s="16" t="n">
        <x:v>16.07142857142753</x:v>
      </x:c>
      <x:c r="O581" s="12" t="str">
        <x:v>FTRL44G005</x:v>
      </x:c>
      <x:c r="P581" s="12" t="str">
        <x:v>EXVV21G043</x:v>
      </x:c>
      <x:c r="Q581" s="12" t="str"/>
      <x:c r="R581" s="12" t="str"/>
      <x:c r="S581" s="12" t="str"/>
      <x:c r="T581" s="12" t="str">
        <x:v>ABM</x:v>
      </x:c>
      <x:c r="U581" s="12" t="str"/>
      <x:c r="V581" s="12" t="str"/>
      <x:c r="W581" s="12" t="str"/>
      <x:c r="X581" s="12" t="str">
        <x:v>EXVV21</x:v>
      </x:c>
      <x:c r="Y581" s="12" t="str">
        <x:v>RAFIF &amp; YOGI</x:v>
      </x:c>
      <x:c r="Z581" s="12" t="str"/>
      <x:c r="AA581" s="32" t="n">
        <x:f>IFERROR(VLOOKUP(G581,Master_Unit!$A$2:$N$78,7,FALSE),"")</x:f>
        <x:v>20</x:v>
      </x:c>
      <x:c r="AB581" s="32" t="n">
        <x:f>IF(OR(N581="",AA581=""),"",N581-AA581)</x:f>
        <x:v>-3.9285714285724715</x:v>
      </x:c>
      <x:c r="AC581" s="20" t="n">
        <x:f>IF(OR(N581="",AA581="",AA581=0),"",AB581/AA581)</x:f>
        <x:v>-0.19642857142862358</x:v>
      </x:c>
      <x:c r="AD581" t="str">
        <x:f>IF(AA581="","NO STANDARD",IF(AC581&lt;=Config_Status!$B$2,"EFFICIENT",IF(AC581&lt;=Config_Status!$B$3,"NORMAL",IF(AC581&lt;=Config_Status!$B$4,"WARNING","OVER CONSUMPTION"))))</x:f>
        <x:v>EFFICIENT</x:v>
      </x:c>
      <x:c r="AE581" t="str">
        <x:f>IFERROR(VLOOKUP(G581,Master_Unit!$A$2:$N$78,13,FALSE),"UNIT NOT FOUND")</x:f>
        <x:v>Matched</x:v>
      </x:c>
    </x:row>
    <x:row r="582">
      <x:c r="A582" s="12" t="str">
        <x:v>FU-20260608-00581</x:v>
      </x:c>
      <x:c r="B582" s="12" t="n">
        <x:v>711</x:v>
      </x:c>
      <x:c r="C582" s="14" t="n">
        <x:v>46181</x:v>
      </x:c>
      <x:c r="D582" s="12" t="str">
        <x:v>Senin</x:v>
      </x:c>
      <x:c r="E582" s="12" t="str">
        <x:v>18:20:00</x:v>
      </x:c>
      <x:c r="F582" s="12" t="str">
        <x:v>All Shift Night</x:v>
      </x:c>
      <x:c r="G582" s="12" t="str">
        <x:v>EXVV21G039</x:v>
      </x:c>
      <x:c r="H582" s="12" t="str">
        <x:v>Excavator</x:v>
      </x:c>
      <x:c r="I582" s="12" t="str">
        <x:v>EXCAVATOR VOLVO EC210D</x:v>
      </x:c>
      <x:c r="J582" s="16" t="n">
        <x:v>163</x:v>
      </x:c>
      <x:c r="K582" s="16" t="n">
        <x:v>6249.7</x:v>
      </x:c>
      <x:c r="L582" s="16" t="n">
        <x:v>6266.2</x:v>
      </x:c>
      <x:c r="M582" s="16" t="n">
        <x:v>16.5</x:v>
      </x:c>
      <x:c r="N582" s="16" t="n">
        <x:v>9.878787878787879</x:v>
      </x:c>
      <x:c r="O582" s="12" t="str">
        <x:v>FTRL44G005</x:v>
      </x:c>
      <x:c r="P582" s="12" t="str">
        <x:v>EXVV21G039</x:v>
      </x:c>
      <x:c r="Q582" s="12" t="str"/>
      <x:c r="R582" s="12" t="str"/>
      <x:c r="S582" s="12" t="str"/>
      <x:c r="T582" s="12" t="str">
        <x:v>ABM</x:v>
      </x:c>
      <x:c r="U582" s="12" t="str"/>
      <x:c r="V582" s="12" t="str"/>
      <x:c r="W582" s="12" t="str"/>
      <x:c r="X582" s="12" t="str">
        <x:v>EXVV21</x:v>
      </x:c>
      <x:c r="Y582" s="12" t="str">
        <x:v>RAFIF &amp; YOGI</x:v>
      </x:c>
      <x:c r="Z582" s="12" t="str"/>
      <x:c r="AA582" s="32" t="n">
        <x:f>IFERROR(VLOOKUP(G582,Master_Unit!$A$2:$N$78,7,FALSE),"")</x:f>
        <x:v>20</x:v>
      </x:c>
      <x:c r="AB582" s="32" t="n">
        <x:f>IF(OR(N582="",AA582=""),"",N582-AA582)</x:f>
        <x:v>-10.121212121212121</x:v>
      </x:c>
      <x:c r="AC582" s="20" t="n">
        <x:f>IF(OR(N582="",AA582="",AA582=0),"",AB582/AA582)</x:f>
        <x:v>-0.5060606060606061</x:v>
      </x:c>
      <x:c r="AD582" t="str">
        <x:f>IF(AA582="","NO STANDARD",IF(AC582&lt;=Config_Status!$B$2,"EFFICIENT",IF(AC582&lt;=Config_Status!$B$3,"NORMAL",IF(AC582&lt;=Config_Status!$B$4,"WARNING","OVER CONSUMPTION"))))</x:f>
        <x:v>EFFICIENT</x:v>
      </x:c>
      <x:c r="AE582" t="str">
        <x:f>IFERROR(VLOOKUP(G582,Master_Unit!$A$2:$N$78,13,FALSE),"UNIT NOT FOUND")</x:f>
        <x:v>Matched</x:v>
      </x:c>
    </x:row>
    <x:row r="583">
      <x:c r="A583" s="12" t="str">
        <x:v>FU-20260608-00582</x:v>
      </x:c>
      <x:c r="B583" s="12" t="n">
        <x:v>712</x:v>
      </x:c>
      <x:c r="C583" s="14" t="n">
        <x:v>46181</x:v>
      </x:c>
      <x:c r="D583" s="12" t="str">
        <x:v>Senin</x:v>
      </x:c>
      <x:c r="E583" s="12" t="str">
        <x:v>18:23:00</x:v>
      </x:c>
      <x:c r="F583" s="12" t="str">
        <x:v>All Shift Night</x:v>
      </x:c>
      <x:c r="G583" s="12" t="str">
        <x:v>EXVV21G032</x:v>
      </x:c>
      <x:c r="H583" s="12" t="str">
        <x:v>Excavator</x:v>
      </x:c>
      <x:c r="I583" s="12" t="str">
        <x:v>EXCAVATOR VOLVO EC210D</x:v>
      </x:c>
      <x:c r="J583" s="16" t="n">
        <x:v>154</x:v>
      </x:c>
      <x:c r="K583" s="16" t="n">
        <x:v>7487.6</x:v>
      </x:c>
      <x:c r="L583" s="16" t="n">
        <x:v>7500.2</x:v>
      </x:c>
      <x:c r="M583" s="16" t="n">
        <x:v>12.599999999999454</x:v>
      </x:c>
      <x:c r="N583" s="16" t="n">
        <x:v>12.22222222222275</x:v>
      </x:c>
      <x:c r="O583" s="12" t="str">
        <x:v>FTRL44G005</x:v>
      </x:c>
      <x:c r="P583" s="12" t="str">
        <x:v>EXVV21G032</x:v>
      </x:c>
      <x:c r="Q583" s="12" t="str"/>
      <x:c r="R583" s="12" t="str"/>
      <x:c r="S583" s="12" t="str"/>
      <x:c r="T583" s="12" t="str">
        <x:v>ABM</x:v>
      </x:c>
      <x:c r="U583" s="12" t="str"/>
      <x:c r="V583" s="12" t="str"/>
      <x:c r="W583" s="12" t="str"/>
      <x:c r="X583" s="12" t="str">
        <x:v>EXVV21</x:v>
      </x:c>
      <x:c r="Y583" s="12" t="str">
        <x:v>RAFIF &amp; YOGI</x:v>
      </x:c>
      <x:c r="Z583" s="12" t="str"/>
      <x:c r="AA583" s="32" t="n">
        <x:f>IFERROR(VLOOKUP(G583,Master_Unit!$A$2:$N$78,7,FALSE),"")</x:f>
        <x:v>20</x:v>
      </x:c>
      <x:c r="AB583" s="32" t="n">
        <x:f>IF(OR(N583="",AA583=""),"",N583-AA583)</x:f>
        <x:v>-7.777777777777249</x:v>
      </x:c>
      <x:c r="AC583" s="20" t="n">
        <x:f>IF(OR(N583="",AA583="",AA583=0),"",AB583/AA583)</x:f>
        <x:v>-0.38888888888886247</x:v>
      </x:c>
      <x:c r="AD583" t="str">
        <x:f>IF(AA583="","NO STANDARD",IF(AC583&lt;=Config_Status!$B$2,"EFFICIENT",IF(AC583&lt;=Config_Status!$B$3,"NORMAL",IF(AC583&lt;=Config_Status!$B$4,"WARNING","OVER CONSUMPTION"))))</x:f>
        <x:v>EFFICIENT</x:v>
      </x:c>
      <x:c r="AE583" t="str">
        <x:f>IFERROR(VLOOKUP(G583,Master_Unit!$A$2:$N$78,13,FALSE),"UNIT NOT FOUND")</x:f>
        <x:v>Matched</x:v>
      </x:c>
    </x:row>
    <x:row r="584">
      <x:c r="A584" s="12" t="str">
        <x:v>FU-20260608-00583</x:v>
      </x:c>
      <x:c r="B584" s="12" t="n">
        <x:v>713</x:v>
      </x:c>
      <x:c r="C584" s="14" t="n">
        <x:v>46181</x:v>
      </x:c>
      <x:c r="D584" s="12" t="str">
        <x:v>Senin</x:v>
      </x:c>
      <x:c r="E584" s="12" t="str">
        <x:v>18:25:00</x:v>
      </x:c>
      <x:c r="F584" s="12" t="str">
        <x:v>All Shift Night</x:v>
      </x:c>
      <x:c r="G584" s="12" t="str">
        <x:v>EXVV21G042</x:v>
      </x:c>
      <x:c r="H584" s="12" t="str">
        <x:v>Excavator</x:v>
      </x:c>
      <x:c r="I584" s="12" t="str">
        <x:v>EXCAVATOR VOLVO EC210D</x:v>
      </x:c>
      <x:c r="J584" s="16" t="n">
        <x:v>127</x:v>
      </x:c>
      <x:c r="K584" s="16" t="n">
        <x:v>7711.5</x:v>
      </x:c>
      <x:c r="L584" s="16" t="n">
        <x:v>7720.4</x:v>
      </x:c>
      <x:c r="M584" s="16" t="n">
        <x:v>8.899999999999636</x:v>
      </x:c>
      <x:c r="N584" s="16" t="n">
        <x:v>14.269662921348898</x:v>
      </x:c>
      <x:c r="O584" s="12" t="str">
        <x:v>FTRL44G005</x:v>
      </x:c>
      <x:c r="P584" s="12" t="str">
        <x:v>EXVV21G042</x:v>
      </x:c>
      <x:c r="Q584" s="12" t="str"/>
      <x:c r="R584" s="12" t="str"/>
      <x:c r="S584" s="12" t="str"/>
      <x:c r="T584" s="12" t="str">
        <x:v>ABM</x:v>
      </x:c>
      <x:c r="U584" s="12" t="str"/>
      <x:c r="V584" s="12" t="str"/>
      <x:c r="W584" s="12" t="str"/>
      <x:c r="X584" s="12" t="str">
        <x:v>EXVV21</x:v>
      </x:c>
      <x:c r="Y584" s="12" t="str">
        <x:v>RAFIF &amp; YOGI</x:v>
      </x:c>
      <x:c r="Z584" s="12" t="str"/>
      <x:c r="AA584" s="32" t="n">
        <x:f>IFERROR(VLOOKUP(G584,Master_Unit!$A$2:$N$78,7,FALSE),"")</x:f>
        <x:v>20</x:v>
      </x:c>
      <x:c r="AB584" s="32" t="n">
        <x:f>IF(OR(N584="",AA584=""),"",N584-AA584)</x:f>
        <x:v>-5.730337078651102</x:v>
      </x:c>
      <x:c r="AC584" s="20" t="n">
        <x:f>IF(OR(N584="",AA584="",AA584=0),"",AB584/AA584)</x:f>
        <x:v>-0.2865168539325551</x:v>
      </x:c>
      <x:c r="AD584" t="str">
        <x:f>IF(AA584="","NO STANDARD",IF(AC584&lt;=Config_Status!$B$2,"EFFICIENT",IF(AC584&lt;=Config_Status!$B$3,"NORMAL",IF(AC584&lt;=Config_Status!$B$4,"WARNING","OVER CONSUMPTION"))))</x:f>
        <x:v>EFFICIENT</x:v>
      </x:c>
      <x:c r="AE584" t="str">
        <x:f>IFERROR(VLOOKUP(G584,Master_Unit!$A$2:$N$78,13,FALSE),"UNIT NOT FOUND")</x:f>
        <x:v>Matched</x:v>
      </x:c>
    </x:row>
    <x:row r="585">
      <x:c r="A585" s="12" t="str">
        <x:v>FU-20260608-00584</x:v>
      </x:c>
      <x:c r="B585" s="12" t="n">
        <x:v>714</x:v>
      </x:c>
      <x:c r="C585" s="14" t="n">
        <x:v>46181</x:v>
      </x:c>
      <x:c r="D585" s="12" t="str">
        <x:v>Senin</x:v>
      </x:c>
      <x:c r="E585" s="12" t="str">
        <x:v>18:31:00</x:v>
      </x:c>
      <x:c r="F585" s="12" t="str">
        <x:v>All Shift Night</x:v>
      </x:c>
      <x:c r="G585" s="12" t="str">
        <x:v>EXVV35G005</x:v>
      </x:c>
      <x:c r="H585" s="12" t="str">
        <x:v>Excavator</x:v>
      </x:c>
      <x:c r="I585" s="12" t="str">
        <x:v>EXCAVATOR VOLVO EC350D</x:v>
      </x:c>
      <x:c r="J585" s="16" t="n">
        <x:v>218</x:v>
      </x:c>
      <x:c r="K585" s="16" t="n">
        <x:v>5176.6</x:v>
      </x:c>
      <x:c r="L585" s="16" t="n">
        <x:v>5185</x:v>
      </x:c>
      <x:c r="M585" s="16" t="n">
        <x:v>8.399999999999636</x:v>
      </x:c>
      <x:c r="N585" s="16" t="n">
        <x:v>25.952380952382075</x:v>
      </x:c>
      <x:c r="O585" s="12" t="str">
        <x:v>FTRL44G005</x:v>
      </x:c>
      <x:c r="P585" s="12" t="str">
        <x:v>EXVV35G005</x:v>
      </x:c>
      <x:c r="Q585" s="12" t="str"/>
      <x:c r="R585" s="12" t="str"/>
      <x:c r="S585" s="12" t="str"/>
      <x:c r="T585" s="12" t="str">
        <x:v>ABM</x:v>
      </x:c>
      <x:c r="U585" s="12" t="str"/>
      <x:c r="V585" s="12" t="str"/>
      <x:c r="W585" s="12" t="str"/>
      <x:c r="X585" s="12" t="str">
        <x:v>EXVV35</x:v>
      </x:c>
      <x:c r="Y585" s="12" t="str">
        <x:v>RAFIF &amp; YOGI</x:v>
      </x:c>
      <x:c r="Z585" s="12" t="str"/>
      <x:c r="AA585" s="32" t="n">
        <x:f>IFERROR(VLOOKUP(G585,Master_Unit!$A$2:$N$78,7,FALSE),"")</x:f>
        <x:v>25</x:v>
      </x:c>
      <x:c r="AB585" s="32" t="n">
        <x:f>IF(OR(N585="",AA585=""),"",N585-AA585)</x:f>
        <x:v>0.9523809523820752</x:v>
      </x:c>
      <x:c r="AC585" s="20" t="n">
        <x:f>IF(OR(N585="",AA585="",AA585=0),"",AB585/AA585)</x:f>
        <x:v>0.03809523809528301</x:v>
      </x:c>
      <x:c r="AD585" t="str">
        <x:f>IF(AA585="","NO STANDARD",IF(AC585&lt;=Config_Status!$B$2,"EFFICIENT",IF(AC585&lt;=Config_Status!$B$3,"NORMAL",IF(AC585&lt;=Config_Status!$B$4,"WARNING","OVER CONSUMPTION"))))</x:f>
        <x:v>NORMAL</x:v>
      </x:c>
      <x:c r="AE585" t="str">
        <x:f>IFERROR(VLOOKUP(G585,Master_Unit!$A$2:$N$78,13,FALSE),"UNIT NOT FOUND")</x:f>
        <x:v>Matched</x:v>
      </x:c>
    </x:row>
    <x:row r="586">
      <x:c r="A586" s="12" t="str">
        <x:v>FU-20260608-00585</x:v>
      </x:c>
      <x:c r="B586" s="12" t="n">
        <x:v>715</x:v>
      </x:c>
      <x:c r="C586" s="14" t="n">
        <x:v>46181</x:v>
      </x:c>
      <x:c r="D586" s="12" t="str">
        <x:v>Senin</x:v>
      </x:c>
      <x:c r="E586" s="12" t="str">
        <x:v>18:42:00</x:v>
      </x:c>
      <x:c r="F586" s="12" t="str">
        <x:v>All Shift Night</x:v>
      </x:c>
      <x:c r="G586" s="12" t="str">
        <x:v>EXVV21G040</x:v>
      </x:c>
      <x:c r="H586" s="12" t="str">
        <x:v>Excavator</x:v>
      </x:c>
      <x:c r="I586" s="12" t="str">
        <x:v>EXCAVATOR VOLVO EC210D</x:v>
      </x:c>
      <x:c r="J586" s="16" t="n">
        <x:v>102</x:v>
      </x:c>
      <x:c r="K586" s="16" t="n">
        <x:v>6562.6</x:v>
      </x:c>
      <x:c r="L586" s="16" t="n">
        <x:v>6568.7</x:v>
      </x:c>
      <x:c r="M586" s="16" t="n">
        <x:v>6.099999999999454</x:v>
      </x:c>
      <x:c r="N586" s="16" t="n">
        <x:v>16.721311475411333</x:v>
      </x:c>
      <x:c r="O586" s="12" t="str">
        <x:v>FTRL44G005</x:v>
      </x:c>
      <x:c r="P586" s="12" t="str">
        <x:v>EXVV21G040</x:v>
      </x:c>
      <x:c r="Q586" s="12" t="str"/>
      <x:c r="R586" s="12" t="str"/>
      <x:c r="S586" s="12" t="str"/>
      <x:c r="T586" s="12" t="str">
        <x:v>ABM</x:v>
      </x:c>
      <x:c r="U586" s="12" t="str"/>
      <x:c r="V586" s="12" t="str"/>
      <x:c r="W586" s="12" t="str"/>
      <x:c r="X586" s="12" t="str">
        <x:v>EXVV21</x:v>
      </x:c>
      <x:c r="Y586" s="12" t="str">
        <x:v>RAFIF &amp; YOGI</x:v>
      </x:c>
      <x:c r="Z586" s="12" t="str"/>
      <x:c r="AA586" s="32" t="n">
        <x:f>IFERROR(VLOOKUP(G586,Master_Unit!$A$2:$N$78,7,FALSE),"")</x:f>
        <x:v>20</x:v>
      </x:c>
      <x:c r="AB586" s="32" t="n">
        <x:f>IF(OR(N586="",AA586=""),"",N586-AA586)</x:f>
        <x:v>-3.2786885245886666</x:v>
      </x:c>
      <x:c r="AC586" s="20" t="n">
        <x:f>IF(OR(N586="",AA586="",AA586=0),"",AB586/AA586)</x:f>
        <x:v>-0.16393442622943333</x:v>
      </x:c>
      <x:c r="AD586" t="str">
        <x:f>IF(AA586="","NO STANDARD",IF(AC586&lt;=Config_Status!$B$2,"EFFICIENT",IF(AC586&lt;=Config_Status!$B$3,"NORMAL",IF(AC586&lt;=Config_Status!$B$4,"WARNING","OVER CONSUMPTION"))))</x:f>
        <x:v>EFFICIENT</x:v>
      </x:c>
      <x:c r="AE586" t="str">
        <x:f>IFERROR(VLOOKUP(G586,Master_Unit!$A$2:$N$78,13,FALSE),"UNIT NOT FOUND")</x:f>
        <x:v>Matched</x:v>
      </x:c>
    </x:row>
    <x:row r="587">
      <x:c r="A587" s="12" t="str">
        <x:v>FU-20260608-00586</x:v>
      </x:c>
      <x:c r="B587" s="12" t="n">
        <x:v>716</x:v>
      </x:c>
      <x:c r="C587" s="14" t="n">
        <x:v>46181</x:v>
      </x:c>
      <x:c r="D587" s="12" t="str">
        <x:v>Senin</x:v>
      </x:c>
      <x:c r="E587" s="12" t="str">
        <x:v>18:43:00</x:v>
      </x:c>
      <x:c r="F587" s="12" t="str">
        <x:v>All Shift Night</x:v>
      </x:c>
      <x:c r="G587" s="12" t="str">
        <x:v>VRVV11G013</x:v>
      </x:c>
      <x:c r="H587" s="12" t="str">
        <x:v>Compactor</x:v>
      </x:c>
      <x:c r="I587" s="12" t="str">
        <x:v>VIBRO COMPACTOR VOLVO SD110NE</x:v>
      </x:c>
      <x:c r="J587" s="16" t="n">
        <x:v>74</x:v>
      </x:c>
      <x:c r="K587" s="16" t="n">
        <x:v>3191.1</x:v>
      </x:c>
      <x:c r="L587" s="16" t="n">
        <x:v>3198.2</x:v>
      </x:c>
      <x:c r="M587" s="16" t="n">
        <x:v>7.099999999999909</x:v>
      </x:c>
      <x:c r="N587" s="16" t="n">
        <x:v>10.42253521126774</x:v>
      </x:c>
      <x:c r="O587" s="12" t="str">
        <x:v>FTRL44G005</x:v>
      </x:c>
      <x:c r="P587" s="12" t="str">
        <x:v>VRVV11G013</x:v>
      </x:c>
      <x:c r="Q587" s="12" t="str"/>
      <x:c r="R587" s="12" t="str"/>
      <x:c r="S587" s="12" t="str"/>
      <x:c r="T587" s="12" t="str">
        <x:v>ABM</x:v>
      </x:c>
      <x:c r="U587" s="12" t="str"/>
      <x:c r="V587" s="12" t="str"/>
      <x:c r="W587" s="12" t="str"/>
      <x:c r="X587" s="12" t="str">
        <x:v>VRVV11</x:v>
      </x:c>
      <x:c r="Y587" s="12" t="str">
        <x:v>RAFIF &amp; YOGI</x:v>
      </x:c>
      <x:c r="Z587" s="12" t="str"/>
      <x:c r="AA587" s="32" t="n">
        <x:f>IFERROR(VLOOKUP(G587,Master_Unit!$A$2:$N$78,7,FALSE),"")</x:f>
        <x:v>15</x:v>
      </x:c>
      <x:c r="AB587" s="32" t="n">
        <x:f>IF(OR(N587="",AA587=""),"",N587-AA587)</x:f>
        <x:v>-4.577464788732261</x:v>
      </x:c>
      <x:c r="AC587" s="20" t="n">
        <x:f>IF(OR(N587="",AA587="",AA587=0),"",AB587/AA587)</x:f>
        <x:v>-0.3051643192488174</x:v>
      </x:c>
      <x:c r="AD587" t="str">
        <x:f>IF(AA587="","NO STANDARD",IF(AC587&lt;=Config_Status!$B$2,"EFFICIENT",IF(AC587&lt;=Config_Status!$B$3,"NORMAL",IF(AC587&lt;=Config_Status!$B$4,"WARNING","OVER CONSUMPTION"))))</x:f>
        <x:v>EFFICIENT</x:v>
      </x:c>
      <x:c r="AE587" t="str">
        <x:f>IFERROR(VLOOKUP(G587,Master_Unit!$A$2:$N$78,13,FALSE),"UNIT NOT FOUND")</x:f>
        <x:v>Matched</x:v>
      </x:c>
    </x:row>
    <x:row r="588">
      <x:c r="A588" s="12" t="str">
        <x:v>FU-20260608-00587</x:v>
      </x:c>
      <x:c r="B588" s="12" t="n">
        <x:v>717</x:v>
      </x:c>
      <x:c r="C588" s="14" t="n">
        <x:v>46181</x:v>
      </x:c>
      <x:c r="D588" s="12" t="str">
        <x:v>Senin</x:v>
      </x:c>
      <x:c r="E588" s="12" t="str">
        <x:v>18:51:00</x:v>
      </x:c>
      <x:c r="F588" s="12" t="str">
        <x:v>All Shift Night</x:v>
      </x:c>
      <x:c r="G588" s="12" t="str">
        <x:v>MGSD20G007</x:v>
      </x:c>
      <x:c r="H588" s="12" t="str">
        <x:v>Other</x:v>
      </x:c>
      <x:c r="I588" s="12" t="str">
        <x:v>MOTOR GRADER SDLG GD9220F</x:v>
      </x:c>
      <x:c r="J588" s="16" t="n">
        <x:v>59</x:v>
      </x:c>
      <x:c r="K588" s="16" t="n">
        <x:v>3724.9</x:v>
      </x:c>
      <x:c r="L588" s="16" t="n">
        <x:v>3729.8</x:v>
      </x:c>
      <x:c r="M588" s="16" t="n">
        <x:v>4.900000000000091</x:v>
      </x:c>
      <x:c r="N588" s="16" t="n">
        <x:v>12.040816326530388</x:v>
      </x:c>
      <x:c r="O588" s="12" t="str">
        <x:v>FTRL44G005</x:v>
      </x:c>
      <x:c r="P588" s="12" t="str">
        <x:v>MGSD20G007</x:v>
      </x:c>
      <x:c r="Q588" s="12" t="str"/>
      <x:c r="R588" s="12" t="str"/>
      <x:c r="S588" s="12" t="str"/>
      <x:c r="T588" s="12" t="str">
        <x:v>ABM</x:v>
      </x:c>
      <x:c r="U588" s="12" t="str"/>
      <x:c r="V588" s="12" t="str"/>
      <x:c r="W588" s="12" t="str"/>
      <x:c r="X588" s="12" t="str">
        <x:v>MGSD20</x:v>
      </x:c>
      <x:c r="Y588" s="12" t="str">
        <x:v>RAFIF &amp; YOGI</x:v>
      </x:c>
      <x:c r="Z588" s="12" t="str"/>
      <x:c r="AA588" s="32" t="n">
        <x:f>IFERROR(VLOOKUP(G588,Master_Unit!$A$2:$N$78,7,FALSE),"")</x:f>
        <x:v>20</x:v>
      </x:c>
      <x:c r="AB588" s="32" t="n">
        <x:f>IF(OR(N588="",AA588=""),"",N588-AA588)</x:f>
        <x:v>-7.959183673469612</x:v>
      </x:c>
      <x:c r="AC588" s="20" t="n">
        <x:f>IF(OR(N588="",AA588="",AA588=0),"",AB588/AA588)</x:f>
        <x:v>-0.3979591836734806</x:v>
      </x:c>
      <x:c r="AD588" t="str">
        <x:f>IF(AA588="","NO STANDARD",IF(AC588&lt;=Config_Status!$B$2,"EFFICIENT",IF(AC588&lt;=Config_Status!$B$3,"NORMAL",IF(AC588&lt;=Config_Status!$B$4,"WARNING","OVER CONSUMPTION"))))</x:f>
        <x:v>EFFICIENT</x:v>
      </x:c>
      <x:c r="AE588" t="str">
        <x:f>IFERROR(VLOOKUP(G588,Master_Unit!$A$2:$N$78,13,FALSE),"UNIT NOT FOUND")</x:f>
        <x:v>Matched</x:v>
      </x:c>
    </x:row>
    <x:row r="589">
      <x:c r="A589" s="12" t="str">
        <x:v>FU-20260608-00588</x:v>
      </x:c>
      <x:c r="B589" s="12" t="n">
        <x:v>718</x:v>
      </x:c>
      <x:c r="C589" s="14" t="n">
        <x:v>46181</x:v>
      </x:c>
      <x:c r="D589" s="12" t="str">
        <x:v>Senin</x:v>
      </x:c>
      <x:c r="E589" s="12" t="str">
        <x:v>18:55:00</x:v>
      </x:c>
      <x:c r="F589" s="12" t="str">
        <x:v>All Shift Night</x:v>
      </x:c>
      <x:c r="G589" s="12" t="str">
        <x:v>STRL44G136</x:v>
      </x:c>
      <x:c r="H589" s="12" t="str">
        <x:v>Dump Truck</x:v>
      </x:c>
      <x:c r="I589" s="12" t="str">
        <x:v>DUMP TRUCK RENAULT KRANGE440-P6X4 A/T</x:v>
      </x:c>
      <x:c r="J589" s="16" t="n">
        <x:v>131</x:v>
      </x:c>
      <x:c r="K589" s="16" t="n">
        <x:v>5841</x:v>
      </x:c>
      <x:c r="L589" s="16" t="n">
        <x:v>5858</x:v>
      </x:c>
      <x:c r="M589" s="16" t="n">
        <x:v>17</x:v>
      </x:c>
      <x:c r="N589" s="16" t="n">
        <x:v>7.705882352941177</x:v>
      </x:c>
      <x:c r="O589" s="12" t="str">
        <x:v>FTRL44G005</x:v>
      </x:c>
      <x:c r="P589" s="12" t="str">
        <x:v>STRL44G136</x:v>
      </x:c>
      <x:c r="Q589" s="12" t="str"/>
      <x:c r="R589" s="12" t="str"/>
      <x:c r="S589" s="12" t="str"/>
      <x:c r="T589" s="12" t="str">
        <x:v>ABM</x:v>
      </x:c>
      <x:c r="U589" s="12" t="str"/>
      <x:c r="V589" s="12" t="str"/>
      <x:c r="W589" s="12" t="str"/>
      <x:c r="X589" s="12" t="str">
        <x:v>STRL44</x:v>
      </x:c>
      <x:c r="Y589" s="12" t="str">
        <x:v>RAFIF &amp; YOGI</x:v>
      </x:c>
      <x:c r="Z589" s="12" t="str"/>
      <x:c r="AA589" s="32" t="n">
        <x:f>IFERROR(VLOOKUP(G589,Master_Unit!$A$2:$N$78,7,FALSE),"")</x:f>
        <x:v>20</x:v>
      </x:c>
      <x:c r="AB589" s="32" t="n">
        <x:f>IF(OR(N589="",AA589=""),"",N589-AA589)</x:f>
        <x:v>-12.294117647058822</x:v>
      </x:c>
      <x:c r="AC589" s="20" t="n">
        <x:f>IF(OR(N589="",AA589="",AA589=0),"",AB589/AA589)</x:f>
        <x:v>-0.6147058823529411</x:v>
      </x:c>
      <x:c r="AD589" t="str">
        <x:f>IF(AA589="","NO STANDARD",IF(AC589&lt;=Config_Status!$B$2,"EFFICIENT",IF(AC589&lt;=Config_Status!$B$3,"NORMAL",IF(AC589&lt;=Config_Status!$B$4,"WARNING","OVER CONSUMPTION"))))</x:f>
        <x:v>EFFICIENT</x:v>
      </x:c>
      <x:c r="AE589" t="str">
        <x:f>IFERROR(VLOOKUP(G589,Master_Unit!$A$2:$N$78,13,FALSE),"UNIT NOT FOUND")</x:f>
        <x:v>Matched</x:v>
      </x:c>
    </x:row>
    <x:row r="590">
      <x:c r="A590" s="12" t="str">
        <x:v>FU-20260608-00589</x:v>
      </x:c>
      <x:c r="B590" s="12" t="n">
        <x:v>719</x:v>
      </x:c>
      <x:c r="C590" s="14" t="n">
        <x:v>46181</x:v>
      </x:c>
      <x:c r="D590" s="12" t="str">
        <x:v>Senin</x:v>
      </x:c>
      <x:c r="E590" s="12" t="str">
        <x:v>18:06:00</x:v>
      </x:c>
      <x:c r="F590" s="12" t="str">
        <x:v>All Shift Night</x:v>
      </x:c>
      <x:c r="G590" s="12" t="str">
        <x:v>EXVV35G006</x:v>
      </x:c>
      <x:c r="H590" s="12" t="str">
        <x:v>Excavator</x:v>
      </x:c>
      <x:c r="I590" s="12" t="str">
        <x:v>EXCAVATOR VOLVO EC350D</x:v>
      </x:c>
      <x:c r="J590" s="16" t="n">
        <x:v>224</x:v>
      </x:c>
      <x:c r="K590" s="16" t="n">
        <x:v>3159</x:v>
      </x:c>
      <x:c r="L590" s="16" t="n">
        <x:v>3162.8</x:v>
      </x:c>
      <x:c r="M590" s="16" t="n">
        <x:v>3.800000000000182</x:v>
      </x:c>
      <x:c r="N590" s="16" t="n">
        <x:v>58.94736842104981</x:v>
      </x:c>
      <x:c r="O590" s="12" t="str">
        <x:v>FTRL44G004</x:v>
      </x:c>
      <x:c r="P590" s="12" t="str">
        <x:v>EXVV35G006</x:v>
      </x:c>
      <x:c r="Q590" s="12" t="str"/>
      <x:c r="R590" s="12" t="str"/>
      <x:c r="S590" s="12" t="str"/>
      <x:c r="T590" s="12" t="str">
        <x:v>ABM</x:v>
      </x:c>
      <x:c r="U590" s="12" t="str"/>
      <x:c r="V590" s="12" t="str"/>
      <x:c r="W590" s="12" t="str"/>
      <x:c r="X590" s="12" t="str">
        <x:v>EXVV35</x:v>
      </x:c>
      <x:c r="Y590" s="12" t="str">
        <x:v>BADRI &amp; KAMRAN</x:v>
      </x:c>
      <x:c r="Z590" s="12" t="str"/>
      <x:c r="AA590" s="32" t="n">
        <x:f>IFERROR(VLOOKUP(G590,Master_Unit!$A$2:$N$78,7,FALSE),"")</x:f>
        <x:v>25</x:v>
      </x:c>
      <x:c r="AB590" s="32" t="n">
        <x:f>IF(OR(N590="",AA590=""),"",N590-AA590)</x:f>
        <x:v>33.94736842104981</x:v>
      </x:c>
      <x:c r="AC590" s="20" t="n">
        <x:f>IF(OR(N590="",AA590="",AA590=0),"",AB590/AA590)</x:f>
        <x:v>1.3578947368419925</x:v>
      </x:c>
      <x:c r="AD590" t="str">
        <x:f>IF(AA590="","NO STANDARD",IF(AC590&lt;=Config_Status!$B$2,"EFFICIENT",IF(AC590&lt;=Config_Status!$B$3,"NORMAL",IF(AC590&lt;=Config_Status!$B$4,"WARNING","OVER CONSUMPTION"))))</x:f>
        <x:v>OVER CONSUMPTION</x:v>
      </x:c>
      <x:c r="AE590" t="str">
        <x:f>IFERROR(VLOOKUP(G590,Master_Unit!$A$2:$N$78,13,FALSE),"UNIT NOT FOUND")</x:f>
        <x:v>Matched</x:v>
      </x:c>
    </x:row>
    <x:row r="591">
      <x:c r="A591" s="12" t="str">
        <x:v>FU-20260608-00590</x:v>
      </x:c>
      <x:c r="B591" s="12" t="n">
        <x:v>720</x:v>
      </x:c>
      <x:c r="C591" s="14" t="n">
        <x:v>46181</x:v>
      </x:c>
      <x:c r="D591" s="12" t="str">
        <x:v>Senin</x:v>
      </x:c>
      <x:c r="E591" s="12" t="str">
        <x:v>18:15:00</x:v>
      </x:c>
      <x:c r="F591" s="12" t="str">
        <x:v>All Shift Night</x:v>
      </x:c>
      <x:c r="G591" s="12" t="str">
        <x:v>EXVV21G036</x:v>
      </x:c>
      <x:c r="H591" s="12" t="str">
        <x:v>Excavator</x:v>
      </x:c>
      <x:c r="I591" s="12" t="str">
        <x:v>EXCAVATOR VOLVO EC210D</x:v>
      </x:c>
      <x:c r="J591" s="16" t="n">
        <x:v>162</x:v>
      </x:c>
      <x:c r="K591" s="16" t="n">
        <x:v>7541.8</x:v>
      </x:c>
      <x:c r="L591" s="16" t="n">
        <x:v>7556.8</x:v>
      </x:c>
      <x:c r="M591" s="16" t="n">
        <x:v>15</x:v>
      </x:c>
      <x:c r="N591" s="16" t="n">
        <x:v>10.8</x:v>
      </x:c>
      <x:c r="O591" s="12" t="str">
        <x:v>FTRL44G004</x:v>
      </x:c>
      <x:c r="P591" s="12" t="str">
        <x:v>EXVV21G036</x:v>
      </x:c>
      <x:c r="Q591" s="12" t="str"/>
      <x:c r="R591" s="12" t="str"/>
      <x:c r="S591" s="12" t="str"/>
      <x:c r="T591" s="12" t="str">
        <x:v>ABM</x:v>
      </x:c>
      <x:c r="U591" s="12" t="str"/>
      <x:c r="V591" s="12" t="str"/>
      <x:c r="W591" s="12" t="str"/>
      <x:c r="X591" s="12" t="str">
        <x:v>EXVV21</x:v>
      </x:c>
      <x:c r="Y591" s="12" t="str">
        <x:v>BADRI &amp; KAMRAN</x:v>
      </x:c>
      <x:c r="Z591" s="12" t="str"/>
      <x:c r="AA591" s="32" t="n">
        <x:f>IFERROR(VLOOKUP(G591,Master_Unit!$A$2:$N$78,7,FALSE),"")</x:f>
        <x:v>20</x:v>
      </x:c>
      <x:c r="AB591" s="32" t="n">
        <x:f>IF(OR(N591="",AA591=""),"",N591-AA591)</x:f>
        <x:v>-9.2</x:v>
      </x:c>
      <x:c r="AC591" s="20" t="n">
        <x:f>IF(OR(N591="",AA591="",AA591=0),"",AB591/AA591)</x:f>
        <x:v>-0.45999999999999996</x:v>
      </x:c>
      <x:c r="AD591" t="str">
        <x:f>IF(AA591="","NO STANDARD",IF(AC591&lt;=Config_Status!$B$2,"EFFICIENT",IF(AC591&lt;=Config_Status!$B$3,"NORMAL",IF(AC591&lt;=Config_Status!$B$4,"WARNING","OVER CONSUMPTION"))))</x:f>
        <x:v>EFFICIENT</x:v>
      </x:c>
      <x:c r="AE591" t="str">
        <x:f>IFERROR(VLOOKUP(G591,Master_Unit!$A$2:$N$78,13,FALSE),"UNIT NOT FOUND")</x:f>
        <x:v>Matched</x:v>
      </x:c>
    </x:row>
    <x:row r="592">
      <x:c r="A592" s="12" t="str">
        <x:v>FU-20260608-00591</x:v>
      </x:c>
      <x:c r="B592" s="12" t="n">
        <x:v>721</x:v>
      </x:c>
      <x:c r="C592" s="14" t="n">
        <x:v>46181</x:v>
      </x:c>
      <x:c r="D592" s="12" t="str">
        <x:v>Senin</x:v>
      </x:c>
      <x:c r="E592" s="12" t="str">
        <x:v>18:22:00</x:v>
      </x:c>
      <x:c r="F592" s="12" t="str">
        <x:v>All Shift Night</x:v>
      </x:c>
      <x:c r="G592" s="12" t="str">
        <x:v>EXVV35G004</x:v>
      </x:c>
      <x:c r="H592" s="12" t="str">
        <x:v>Excavator</x:v>
      </x:c>
      <x:c r="I592" s="12" t="str">
        <x:v>EXCAVATOR VOLVO EC350D</x:v>
      </x:c>
      <x:c r="J592" s="16" t="n">
        <x:v>213</x:v>
      </x:c>
      <x:c r="K592" s="16" t="n">
        <x:v>2544.1</x:v>
      </x:c>
      <x:c r="L592" s="16" t="n">
        <x:v>2550.6</x:v>
      </x:c>
      <x:c r="M592" s="16" t="n">
        <x:v>6.5</x:v>
      </x:c>
      <x:c r="N592" s="16" t="n">
        <x:v>32.76923076923077</x:v>
      </x:c>
      <x:c r="O592" s="12" t="str">
        <x:v>FTRL44G004</x:v>
      </x:c>
      <x:c r="P592" s="12" t="str">
        <x:v>EXVV35G004</x:v>
      </x:c>
      <x:c r="Q592" s="12" t="str"/>
      <x:c r="R592" s="12" t="str"/>
      <x:c r="S592" s="12" t="str"/>
      <x:c r="T592" s="12" t="str">
        <x:v>ABM</x:v>
      </x:c>
      <x:c r="U592" s="12" t="str"/>
      <x:c r="V592" s="12" t="str"/>
      <x:c r="W592" s="12" t="str"/>
      <x:c r="X592" s="12" t="str">
        <x:v>EXVV35</x:v>
      </x:c>
      <x:c r="Y592" s="12" t="str">
        <x:v>BADRI &amp; KAMRAN</x:v>
      </x:c>
      <x:c r="Z592" s="12" t="str"/>
      <x:c r="AA592" s="32" t="n">
        <x:f>IFERROR(VLOOKUP(G592,Master_Unit!$A$2:$N$78,7,FALSE),"")</x:f>
        <x:v>25</x:v>
      </x:c>
      <x:c r="AB592" s="32" t="n">
        <x:f>IF(OR(N592="",AA592=""),"",N592-AA592)</x:f>
        <x:v>7.7692307692307665</x:v>
      </x:c>
      <x:c r="AC592" s="20" t="n">
        <x:f>IF(OR(N592="",AA592="",AA592=0),"",AB592/AA592)</x:f>
        <x:v>0.3107692307692307</x:v>
      </x:c>
      <x:c r="AD592" t="str">
        <x:f>IF(AA592="","NO STANDARD",IF(AC592&lt;=Config_Status!$B$2,"EFFICIENT",IF(AC592&lt;=Config_Status!$B$3,"NORMAL",IF(AC592&lt;=Config_Status!$B$4,"WARNING","OVER CONSUMPTION"))))</x:f>
        <x:v>OVER CONSUMPTION</x:v>
      </x:c>
      <x:c r="AE592" t="str">
        <x:f>IFERROR(VLOOKUP(G592,Master_Unit!$A$2:$N$78,13,FALSE),"UNIT NOT FOUND")</x:f>
        <x:v>Matched</x:v>
      </x:c>
    </x:row>
    <x:row r="593">
      <x:c r="A593" s="12" t="str">
        <x:v>FU-20260608-00592</x:v>
      </x:c>
      <x:c r="B593" s="12" t="n">
        <x:v>722</x:v>
      </x:c>
      <x:c r="C593" s="14" t="n">
        <x:v>46181</x:v>
      </x:c>
      <x:c r="D593" s="12" t="str">
        <x:v>Senin</x:v>
      </x:c>
      <x:c r="E593" s="12" t="str">
        <x:v>19:19:00</x:v>
      </x:c>
      <x:c r="F593" s="12" t="str">
        <x:v>All Shift Night</x:v>
      </x:c>
      <x:c r="G593" s="12" t="str">
        <x:v>EXVV21G041</x:v>
      </x:c>
      <x:c r="H593" s="12" t="str">
        <x:v>Excavator</x:v>
      </x:c>
      <x:c r="I593" s="12" t="str">
        <x:v>EXCAVATOR VOLVO EC210D</x:v>
      </x:c>
      <x:c r="J593" s="16" t="n">
        <x:v>159</x:v>
      </x:c>
      <x:c r="K593" s="16" t="n">
        <x:v>4507.7</x:v>
      </x:c>
      <x:c r="L593" s="16" t="n">
        <x:v>4517.6</x:v>
      </x:c>
      <x:c r="M593" s="16" t="n">
        <x:v>9.900000000000546</x:v>
      </x:c>
      <x:c r="N593" s="16" t="n">
        <x:v>16.060606060605174</x:v>
      </x:c>
      <x:c r="O593" s="12" t="str">
        <x:v>FTRL44G004</x:v>
      </x:c>
      <x:c r="P593" s="12" t="str">
        <x:v>EXVV21G041</x:v>
      </x:c>
      <x:c r="Q593" s="12" t="str"/>
      <x:c r="R593" s="12" t="str"/>
      <x:c r="S593" s="12" t="str"/>
      <x:c r="T593" s="12" t="str">
        <x:v>ABM</x:v>
      </x:c>
      <x:c r="U593" s="12" t="str"/>
      <x:c r="V593" s="12" t="str"/>
      <x:c r="W593" s="12" t="str"/>
      <x:c r="X593" s="12" t="str">
        <x:v>EXVV21</x:v>
      </x:c>
      <x:c r="Y593" s="12" t="str">
        <x:v>BADRI &amp; KAMRAN</x:v>
      </x:c>
      <x:c r="Z593" s="12" t="str"/>
      <x:c r="AA593" s="32" t="n">
        <x:f>IFERROR(VLOOKUP(G593,Master_Unit!$A$2:$N$78,7,FALSE),"")</x:f>
        <x:v>20</x:v>
      </x:c>
      <x:c r="AB593" s="32" t="n">
        <x:f>IF(OR(N593="",AA593=""),"",N593-AA593)</x:f>
        <x:v>-3.939393939394826</x:v>
      </x:c>
      <x:c r="AC593" s="20" t="n">
        <x:f>IF(OR(N593="",AA593="",AA593=0),"",AB593/AA593)</x:f>
        <x:v>-0.1969696969697413</x:v>
      </x:c>
      <x:c r="AD593" t="str">
        <x:f>IF(AA593="","NO STANDARD",IF(AC593&lt;=Config_Status!$B$2,"EFFICIENT",IF(AC593&lt;=Config_Status!$B$3,"NORMAL",IF(AC593&lt;=Config_Status!$B$4,"WARNING","OVER CONSUMPTION"))))</x:f>
        <x:v>EFFICIENT</x:v>
      </x:c>
      <x:c r="AE593" t="str">
        <x:f>IFERROR(VLOOKUP(G593,Master_Unit!$A$2:$N$78,13,FALSE),"UNIT NOT FOUND")</x:f>
        <x:v>Matched</x:v>
      </x:c>
    </x:row>
    <x:row r="594">
      <x:c r="A594" s="12" t="str">
        <x:v>FU-20260608-00593</x:v>
      </x:c>
      <x:c r="B594" s="12" t="n">
        <x:v>723</x:v>
      </x:c>
      <x:c r="C594" s="14" t="n">
        <x:v>46181</x:v>
      </x:c>
      <x:c r="D594" s="12" t="str">
        <x:v>Senin</x:v>
      </x:c>
      <x:c r="E594" s="12" t="str">
        <x:v>19:27:00</x:v>
      </x:c>
      <x:c r="F594" s="12" t="str">
        <x:v>All Shift Night</x:v>
      </x:c>
      <x:c r="G594" s="12" t="str">
        <x:v>EXVV21G038</x:v>
      </x:c>
      <x:c r="H594" s="12" t="str">
        <x:v>Excavator</x:v>
      </x:c>
      <x:c r="I594" s="12" t="str">
        <x:v>EXCAVATOR VOLVO EC210D</x:v>
      </x:c>
      <x:c r="J594" s="16" t="n">
        <x:v>149</x:v>
      </x:c>
      <x:c r="K594" s="16" t="n">
        <x:v>4195.4</x:v>
      </x:c>
      <x:c r="L594" s="16" t="n">
        <x:v>4205.7</x:v>
      </x:c>
      <x:c r="M594" s="16" t="n">
        <x:v>10.300000000000182</x:v>
      </x:c>
      <x:c r="N594" s="16" t="n">
        <x:v>14.466019417475472</x:v>
      </x:c>
      <x:c r="O594" s="12" t="str">
        <x:v>FTRL44G004</x:v>
      </x:c>
      <x:c r="P594" s="12" t="str">
        <x:v>EXVV21G038</x:v>
      </x:c>
      <x:c r="Q594" s="12" t="str"/>
      <x:c r="R594" s="12" t="str"/>
      <x:c r="S594" s="12" t="str"/>
      <x:c r="T594" s="12" t="str">
        <x:v>ABM</x:v>
      </x:c>
      <x:c r="U594" s="12" t="str"/>
      <x:c r="V594" s="12" t="str"/>
      <x:c r="W594" s="12" t="str"/>
      <x:c r="X594" s="12" t="str">
        <x:v>EXVV21</x:v>
      </x:c>
      <x:c r="Y594" s="12" t="str">
        <x:v>BADRI &amp; KAMRAN</x:v>
      </x:c>
      <x:c r="Z594" s="12" t="str"/>
      <x:c r="AA594" s="32" t="n">
        <x:f>IFERROR(VLOOKUP(G594,Master_Unit!$A$2:$N$78,7,FALSE),"")</x:f>
        <x:v>20</x:v>
      </x:c>
      <x:c r="AB594" s="32" t="n">
        <x:f>IF(OR(N594="",AA594=""),"",N594-AA594)</x:f>
        <x:v>-5.533980582524528</x:v>
      </x:c>
      <x:c r="AC594" s="20" t="n">
        <x:f>IF(OR(N594="",AA594="",AA594=0),"",AB594/AA594)</x:f>
        <x:v>-0.2766990291262264</x:v>
      </x:c>
      <x:c r="AD594" t="str">
        <x:f>IF(AA594="","NO STANDARD",IF(AC594&lt;=Config_Status!$B$2,"EFFICIENT",IF(AC594&lt;=Config_Status!$B$3,"NORMAL",IF(AC594&lt;=Config_Status!$B$4,"WARNING","OVER CONSUMPTION"))))</x:f>
        <x:v>EFFICIENT</x:v>
      </x:c>
      <x:c r="AE594" t="str">
        <x:f>IFERROR(VLOOKUP(G594,Master_Unit!$A$2:$N$78,13,FALSE),"UNIT NOT FOUND")</x:f>
        <x:v>Matched</x:v>
      </x:c>
    </x:row>
    <x:row r="595">
      <x:c r="A595" s="12" t="str">
        <x:v>FU-20260608-00594</x:v>
      </x:c>
      <x:c r="B595" s="12" t="n">
        <x:v>724</x:v>
      </x:c>
      <x:c r="C595" s="14" t="n">
        <x:v>46181</x:v>
      </x:c>
      <x:c r="D595" s="12" t="str">
        <x:v>Senin</x:v>
      </x:c>
      <x:c r="E595" s="12" t="str">
        <x:v>19:58:00</x:v>
      </x:c>
      <x:c r="F595" s="12" t="str">
        <x:v>All Shift Night</x:v>
      </x:c>
      <x:c r="G595" s="12" t="str">
        <x:v>LVTH24R026</x:v>
      </x:c>
      <x:c r="H595" s="12" t="str">
        <x:v>Light Vehicle</x:v>
      </x:c>
      <x:c r="I595" s="12" t="str">
        <x:v>LIGHT VEHICLE TOYOTA HILUX</x:v>
      </x:c>
      <x:c r="J595" s="16" t="n">
        <x:v>20</x:v>
      </x:c>
      <x:c r="K595" s="16" t="n">
        <x:v>59178</x:v>
      </x:c>
      <x:c r="L595" s="16" t="n">
        <x:v>59271</x:v>
      </x:c>
      <x:c r="M595" s="16" t="n">
        <x:v>93</x:v>
      </x:c>
      <x:c r="N595" s="16" t="n">
        <x:v>0.21505376344086022</x:v>
      </x:c>
      <x:c r="O595" s="12" t="str">
        <x:v>FTRL44G004</x:v>
      </x:c>
      <x:c r="P595" s="12" t="str">
        <x:v>LVTH24R026</x:v>
      </x:c>
      <x:c r="Q595" s="12" t="str"/>
      <x:c r="R595" s="12" t="str"/>
      <x:c r="S595" s="12" t="str"/>
      <x:c r="T595" s="12" t="str">
        <x:v>ABM</x:v>
      </x:c>
      <x:c r="U595" s="12" t="str"/>
      <x:c r="V595" s="12" t="str"/>
      <x:c r="W595" s="12" t="str"/>
      <x:c r="X595" s="12" t="str">
        <x:v>LVTH24</x:v>
      </x:c>
      <x:c r="Y595" s="12" t="str">
        <x:v>BADRI &amp; KAMRAN</x:v>
      </x:c>
      <x:c r="Z595" s="12" t="str"/>
      <x:c r="AA595" s="32" t="n">
        <x:f>IFERROR(VLOOKUP(G595,Master_Unit!$A$2:$N$78,7,FALSE),"")</x:f>
        <x:v>0.2</x:v>
      </x:c>
      <x:c r="AB595" s="32" t="n">
        <x:f>IF(OR(N595="",AA595=""),"",N595-AA595)</x:f>
        <x:v>0.015053763440860207</x:v>
      </x:c>
      <x:c r="AC595" s="20" t="n">
        <x:f>IF(OR(N595="",AA595="",AA595=0),"",AB595/AA595)</x:f>
        <x:v>0.07526881720430104</x:v>
      </x:c>
      <x:c r="AD595" t="str">
        <x:f>IF(AA595="","NO STANDARD",IF(AC595&lt;=Config_Status!$B$2,"EFFICIENT",IF(AC595&lt;=Config_Status!$B$3,"NORMAL",IF(AC595&lt;=Config_Status!$B$4,"WARNING","OVER CONSUMPTION"))))</x:f>
        <x:v>NORMAL</x:v>
      </x:c>
      <x:c r="AE595" t="str">
        <x:f>IFERROR(VLOOKUP(G595,Master_Unit!$A$2:$N$78,13,FALSE),"UNIT NOT FOUND")</x:f>
        <x:v>Matched</x:v>
      </x:c>
    </x:row>
    <x:row r="596">
      <x:c r="A596" s="12" t="str">
        <x:v>FU-20260608-00595</x:v>
      </x:c>
      <x:c r="B596" s="12" t="n">
        <x:v>725</x:v>
      </x:c>
      <x:c r="C596" s="14" t="n">
        <x:v>46181</x:v>
      </x:c>
      <x:c r="D596" s="12" t="str">
        <x:v>Senin</x:v>
      </x:c>
      <x:c r="E596" s="12" t="str">
        <x:v>20:00:00</x:v>
      </x:c>
      <x:c r="F596" s="12" t="str">
        <x:v>All Shift Night</x:v>
      </x:c>
      <x:c r="G596" s="12" t="str">
        <x:v>STRL44G147</x:v>
      </x:c>
      <x:c r="H596" s="12" t="str">
        <x:v>Dump Truck</x:v>
      </x:c>
      <x:c r="I596" s="12" t="str">
        <x:v>DUMP TRUCK RENAULT KRANGE440-P6X4 A/T</x:v>
      </x:c>
      <x:c r="J596" s="16" t="n">
        <x:v>153</x:v>
      </x:c>
      <x:c r="K596" s="16" t="n">
        <x:v>5011</x:v>
      </x:c>
      <x:c r="L596" s="16" t="n">
        <x:v>5019</x:v>
      </x:c>
      <x:c r="M596" s="16" t="n">
        <x:v>8</x:v>
      </x:c>
      <x:c r="N596" s="16" t="n">
        <x:v>19.125</x:v>
      </x:c>
      <x:c r="O596" s="12" t="str">
        <x:v>FTRL44G004</x:v>
      </x:c>
      <x:c r="P596" s="12" t="str">
        <x:v>STRL44G147</x:v>
      </x:c>
      <x:c r="Q596" s="12" t="str"/>
      <x:c r="R596" s="12" t="str"/>
      <x:c r="S596" s="12" t="str"/>
      <x:c r="T596" s="12" t="str">
        <x:v>ABM</x:v>
      </x:c>
      <x:c r="U596" s="12" t="str"/>
      <x:c r="V596" s="12" t="str"/>
      <x:c r="W596" s="12" t="str"/>
      <x:c r="X596" s="12" t="str">
        <x:v>STRL44</x:v>
      </x:c>
      <x:c r="Y596" s="12" t="str">
        <x:v>BADRI &amp; KAMRAN</x:v>
      </x:c>
      <x:c r="Z596" s="12" t="str"/>
      <x:c r="AA596" s="32" t="n">
        <x:f>IFERROR(VLOOKUP(G596,Master_Unit!$A$2:$N$78,7,FALSE),"")</x:f>
        <x:v>20</x:v>
      </x:c>
      <x:c r="AB596" s="32" t="n">
        <x:f>IF(OR(N596="",AA596=""),"",N596-AA596)</x:f>
        <x:v>-0.875</x:v>
      </x:c>
      <x:c r="AC596" s="20" t="n">
        <x:f>IF(OR(N596="",AA596="",AA596=0),"",AB596/AA596)</x:f>
        <x:v>-0.04375</x:v>
      </x:c>
      <x:c r="AD596" t="str">
        <x:f>IF(AA596="","NO STANDARD",IF(AC596&lt;=Config_Status!$B$2,"EFFICIENT",IF(AC596&lt;=Config_Status!$B$3,"NORMAL",IF(AC596&lt;=Config_Status!$B$4,"WARNING","OVER CONSUMPTION"))))</x:f>
        <x:v>NORMAL</x:v>
      </x:c>
      <x:c r="AE596" t="str">
        <x:f>IFERROR(VLOOKUP(G596,Master_Unit!$A$2:$N$78,13,FALSE),"UNIT NOT FOUND")</x:f>
        <x:v>Matched</x:v>
      </x:c>
    </x:row>
    <x:row r="597">
      <x:c r="A597" s="12" t="str">
        <x:v>FU-20260608-00596</x:v>
      </x:c>
      <x:c r="B597" s="12" t="n">
        <x:v>726</x:v>
      </x:c>
      <x:c r="C597" s="14" t="n">
        <x:v>46181</x:v>
      </x:c>
      <x:c r="D597" s="12" t="str">
        <x:v>Senin</x:v>
      </x:c>
      <x:c r="E597" s="12" t="str">
        <x:v>20:03:00</x:v>
      </x:c>
      <x:c r="F597" s="12" t="str">
        <x:v>All Shift Night</x:v>
      </x:c>
      <x:c r="G597" s="12" t="str">
        <x:v>STRL44G155</x:v>
      </x:c>
      <x:c r="H597" s="12" t="str">
        <x:v>Dump Truck</x:v>
      </x:c>
      <x:c r="I597" s="12" t="str">
        <x:v>DUMP TRUCK RENAULT KRANGE440-P6X4 A/T</x:v>
      </x:c>
      <x:c r="J597" s="16" t="n">
        <x:v>163</x:v>
      </x:c>
      <x:c r="K597" s="16" t="n">
        <x:v>3958</x:v>
      </x:c>
      <x:c r="L597" s="16" t="n">
        <x:v>3967</x:v>
      </x:c>
      <x:c r="M597" s="16" t="n">
        <x:v>9</x:v>
      </x:c>
      <x:c r="N597" s="16" t="n">
        <x:v>18.11111111111111</x:v>
      </x:c>
      <x:c r="O597" s="12" t="str">
        <x:v>FTRL44G004</x:v>
      </x:c>
      <x:c r="P597" s="12" t="str">
        <x:v>STRL44G155</x:v>
      </x:c>
      <x:c r="Q597" s="12" t="str"/>
      <x:c r="R597" s="12" t="str"/>
      <x:c r="S597" s="12" t="str"/>
      <x:c r="T597" s="12" t="str">
        <x:v>ABM</x:v>
      </x:c>
      <x:c r="U597" s="12" t="str"/>
      <x:c r="V597" s="12" t="str"/>
      <x:c r="W597" s="12" t="str"/>
      <x:c r="X597" s="12" t="str">
        <x:v>STRL44</x:v>
      </x:c>
      <x:c r="Y597" s="12" t="str">
        <x:v>BADRI &amp; KAMRAN</x:v>
      </x:c>
      <x:c r="Z597" s="12" t="str"/>
      <x:c r="AA597" s="32" t="n">
        <x:f>IFERROR(VLOOKUP(G597,Master_Unit!$A$2:$N$78,7,FALSE),"")</x:f>
        <x:v>20</x:v>
      </x:c>
      <x:c r="AB597" s="32" t="n">
        <x:f>IF(OR(N597="",AA597=""),"",N597-AA597)</x:f>
        <x:v>-1.8888888888888893</x:v>
      </x:c>
      <x:c r="AC597" s="20" t="n">
        <x:f>IF(OR(N597="",AA597="",AA597=0),"",AB597/AA597)</x:f>
        <x:v>-0.09444444444444447</x:v>
      </x:c>
      <x:c r="AD597" t="str">
        <x:f>IF(AA597="","NO STANDARD",IF(AC597&lt;=Config_Status!$B$2,"EFFICIENT",IF(AC597&lt;=Config_Status!$B$3,"NORMAL",IF(AC597&lt;=Config_Status!$B$4,"WARNING","OVER CONSUMPTION"))))</x:f>
        <x:v>NORMAL</x:v>
      </x:c>
      <x:c r="AE597" t="str">
        <x:f>IFERROR(VLOOKUP(G597,Master_Unit!$A$2:$N$78,13,FALSE),"UNIT NOT FOUND")</x:f>
        <x:v>Matched</x:v>
      </x:c>
    </x:row>
    <x:row r="598">
      <x:c r="A598" s="12" t="str">
        <x:v>FU-20260608-00597</x:v>
      </x:c>
      <x:c r="B598" s="12" t="n">
        <x:v>727</x:v>
      </x:c>
      <x:c r="C598" s="14" t="n">
        <x:v>46181</x:v>
      </x:c>
      <x:c r="D598" s="12" t="str">
        <x:v>Senin</x:v>
      </x:c>
      <x:c r="E598" s="12" t="str">
        <x:v>20:06:00</x:v>
      </x:c>
      <x:c r="F598" s="12" t="str">
        <x:v>All Shift Night</x:v>
      </x:c>
      <x:c r="G598" s="12" t="str">
        <x:v>STRL44G142</x:v>
      </x:c>
      <x:c r="H598" s="12" t="str">
        <x:v>Dump Truck</x:v>
      </x:c>
      <x:c r="I598" s="12" t="str">
        <x:v>DUMP TRUCK RENAULT KRANGE440-P6X4 A/T</x:v>
      </x:c>
      <x:c r="J598" s="16" t="n">
        <x:v>162</x:v>
      </x:c>
      <x:c r="K598" s="16" t="n">
        <x:v>3339</x:v>
      </x:c>
      <x:c r="L598" s="16" t="n">
        <x:v>3348</x:v>
      </x:c>
      <x:c r="M598" s="16" t="n">
        <x:v>9</x:v>
      </x:c>
      <x:c r="N598" s="16" t="n">
        <x:v>18</x:v>
      </x:c>
      <x:c r="O598" s="12" t="str">
        <x:v>FTRL44G004</x:v>
      </x:c>
      <x:c r="P598" s="12" t="str">
        <x:v>STRL44G142</x:v>
      </x:c>
      <x:c r="Q598" s="12" t="str"/>
      <x:c r="R598" s="12" t="str"/>
      <x:c r="S598" s="12" t="str"/>
      <x:c r="T598" s="12" t="str">
        <x:v>ABM</x:v>
      </x:c>
      <x:c r="U598" s="12" t="str"/>
      <x:c r="V598" s="12" t="str"/>
      <x:c r="W598" s="12" t="str"/>
      <x:c r="X598" s="12" t="str">
        <x:v>STRL44</x:v>
      </x:c>
      <x:c r="Y598" s="12" t="str">
        <x:v>BADRI &amp; KAMRAN</x:v>
      </x:c>
      <x:c r="Z598" s="12" t="str"/>
      <x:c r="AA598" s="32" t="n">
        <x:f>IFERROR(VLOOKUP(G598,Master_Unit!$A$2:$N$78,7,FALSE),"")</x:f>
        <x:v>20</x:v>
      </x:c>
      <x:c r="AB598" s="32" t="n">
        <x:f>IF(OR(N598="",AA598=""),"",N598-AA598)</x:f>
        <x:v>-2</x:v>
      </x:c>
      <x:c r="AC598" s="20" t="n">
        <x:f>IF(OR(N598="",AA598="",AA598=0),"",AB598/AA598)</x:f>
        <x:v>-0.1</x:v>
      </x:c>
      <x:c r="AD598" t="str">
        <x:f>IF(AA598="","NO STANDARD",IF(AC598&lt;=Config_Status!$B$2,"EFFICIENT",IF(AC598&lt;=Config_Status!$B$3,"NORMAL",IF(AC598&lt;=Config_Status!$B$4,"WARNING","OVER CONSUMPTION"))))</x:f>
        <x:v>EFFICIENT</x:v>
      </x:c>
      <x:c r="AE598" t="str">
        <x:f>IFERROR(VLOOKUP(G598,Master_Unit!$A$2:$N$78,13,FALSE),"UNIT NOT FOUND")</x:f>
        <x:v>Matched</x:v>
      </x:c>
    </x:row>
    <x:row r="599">
      <x:c r="A599" s="12" t="str">
        <x:v>FU-20260608-00598</x:v>
      </x:c>
      <x:c r="B599" s="12" t="n">
        <x:v>728</x:v>
      </x:c>
      <x:c r="C599" s="14" t="n">
        <x:v>46181</x:v>
      </x:c>
      <x:c r="D599" s="12" t="str">
        <x:v>Senin</x:v>
      </x:c>
      <x:c r="E599" s="12" t="str">
        <x:v>20:09:00</x:v>
      </x:c>
      <x:c r="F599" s="12" t="str">
        <x:v>All Shift Night</x:v>
      </x:c>
      <x:c r="G599" s="12" t="str">
        <x:v>STRL44G153</x:v>
      </x:c>
      <x:c r="H599" s="12" t="str">
        <x:v>Dump Truck</x:v>
      </x:c>
      <x:c r="I599" s="12" t="str">
        <x:v>DUMP TRUCK RENAULT KRANGE440-P6X4 A/T</x:v>
      </x:c>
      <x:c r="J599" s="16" t="n">
        <x:v>163</x:v>
      </x:c>
      <x:c r="K599" s="16" t="n">
        <x:v>3988</x:v>
      </x:c>
      <x:c r="L599" s="16" t="n">
        <x:v>3997</x:v>
      </x:c>
      <x:c r="M599" s="16" t="n">
        <x:v>9</x:v>
      </x:c>
      <x:c r="N599" s="16" t="n">
        <x:v>18.11111111111111</x:v>
      </x:c>
      <x:c r="O599" s="12" t="str">
        <x:v>FTRL44G004</x:v>
      </x:c>
      <x:c r="P599" s="12" t="str">
        <x:v>STRL44G153</x:v>
      </x:c>
      <x:c r="Q599" s="12" t="str"/>
      <x:c r="R599" s="12" t="str"/>
      <x:c r="S599" s="12" t="str"/>
      <x:c r="T599" s="12" t="str">
        <x:v>ABM</x:v>
      </x:c>
      <x:c r="U599" s="12" t="str"/>
      <x:c r="V599" s="12" t="str"/>
      <x:c r="W599" s="12" t="str"/>
      <x:c r="X599" s="12" t="str">
        <x:v>STRL44</x:v>
      </x:c>
      <x:c r="Y599" s="12" t="str">
        <x:v>BADRI &amp; KAMRAN</x:v>
      </x:c>
      <x:c r="Z599" s="12" t="str"/>
      <x:c r="AA599" s="32" t="n">
        <x:f>IFERROR(VLOOKUP(G599,Master_Unit!$A$2:$N$78,7,FALSE),"")</x:f>
        <x:v>20</x:v>
      </x:c>
      <x:c r="AB599" s="32" t="n">
        <x:f>IF(OR(N599="",AA599=""),"",N599-AA599)</x:f>
        <x:v>-1.8888888888888893</x:v>
      </x:c>
      <x:c r="AC599" s="20" t="n">
        <x:f>IF(OR(N599="",AA599="",AA599=0),"",AB599/AA599)</x:f>
        <x:v>-0.09444444444444447</x:v>
      </x:c>
      <x:c r="AD599" t="str">
        <x:f>IF(AA599="","NO STANDARD",IF(AC599&lt;=Config_Status!$B$2,"EFFICIENT",IF(AC599&lt;=Config_Status!$B$3,"NORMAL",IF(AC599&lt;=Config_Status!$B$4,"WARNING","OVER CONSUMPTION"))))</x:f>
        <x:v>NORMAL</x:v>
      </x:c>
      <x:c r="AE599" t="str">
        <x:f>IFERROR(VLOOKUP(G599,Master_Unit!$A$2:$N$78,13,FALSE),"UNIT NOT FOUND")</x:f>
        <x:v>Matched</x:v>
      </x:c>
    </x:row>
    <x:row r="600">
      <x:c r="A600" s="12" t="str">
        <x:v>FU-20260608-00599</x:v>
      </x:c>
      <x:c r="B600" s="12" t="n">
        <x:v>729</x:v>
      </x:c>
      <x:c r="C600" s="14" t="n">
        <x:v>46181</x:v>
      </x:c>
      <x:c r="D600" s="12" t="str">
        <x:v>Senin</x:v>
      </x:c>
      <x:c r="E600" s="12" t="str">
        <x:v>20:13:00</x:v>
      </x:c>
      <x:c r="F600" s="12" t="str">
        <x:v>All Shift Night</x:v>
      </x:c>
      <x:c r="G600" s="12" t="str">
        <x:v>STRL44G143</x:v>
      </x:c>
      <x:c r="H600" s="12" t="str">
        <x:v>Dump Truck</x:v>
      </x:c>
      <x:c r="I600" s="12" t="str">
        <x:v>DUMP TRUCK RENAULT KRANGE440-P6X4 A/T</x:v>
      </x:c>
      <x:c r="J600" s="16" t="n">
        <x:v>163</x:v>
      </x:c>
      <x:c r="K600" s="16" t="n">
        <x:v>5231</x:v>
      </x:c>
      <x:c r="L600" s="16" t="n">
        <x:v>5240</x:v>
      </x:c>
      <x:c r="M600" s="16" t="n">
        <x:v>9</x:v>
      </x:c>
      <x:c r="N600" s="16" t="n">
        <x:v>18.11111111111111</x:v>
      </x:c>
      <x:c r="O600" s="12" t="str">
        <x:v>FTRL44G004</x:v>
      </x:c>
      <x:c r="P600" s="12" t="str">
        <x:v>STRL44G143</x:v>
      </x:c>
      <x:c r="Q600" s="12" t="str"/>
      <x:c r="R600" s="12" t="str"/>
      <x:c r="S600" s="12" t="str"/>
      <x:c r="T600" s="12" t="str">
        <x:v>ABM</x:v>
      </x:c>
      <x:c r="U600" s="12" t="str"/>
      <x:c r="V600" s="12" t="str"/>
      <x:c r="W600" s="12" t="str"/>
      <x:c r="X600" s="12" t="str">
        <x:v>STRL44</x:v>
      </x:c>
      <x:c r="Y600" s="12" t="str">
        <x:v>BADRI &amp; KAMRAN</x:v>
      </x:c>
      <x:c r="Z600" s="12" t="str"/>
      <x:c r="AA600" s="32" t="n">
        <x:f>IFERROR(VLOOKUP(G600,Master_Unit!$A$2:$N$78,7,FALSE),"")</x:f>
        <x:v>20</x:v>
      </x:c>
      <x:c r="AB600" s="32" t="n">
        <x:f>IF(OR(N600="",AA600=""),"",N600-AA600)</x:f>
        <x:v>-1.8888888888888893</x:v>
      </x:c>
      <x:c r="AC600" s="20" t="n">
        <x:f>IF(OR(N600="",AA600="",AA600=0),"",AB600/AA600)</x:f>
        <x:v>-0.09444444444444447</x:v>
      </x:c>
      <x:c r="AD600" t="str">
        <x:f>IF(AA600="","NO STANDARD",IF(AC600&lt;=Config_Status!$B$2,"EFFICIENT",IF(AC600&lt;=Config_Status!$B$3,"NORMAL",IF(AC600&lt;=Config_Status!$B$4,"WARNING","OVER CONSUMPTION"))))</x:f>
        <x:v>NORMAL</x:v>
      </x:c>
      <x:c r="AE600" t="str">
        <x:f>IFERROR(VLOOKUP(G600,Master_Unit!$A$2:$N$78,13,FALSE),"UNIT NOT FOUND")</x:f>
        <x:v>Matched</x:v>
      </x:c>
    </x:row>
    <x:row r="601">
      <x:c r="A601" s="12" t="str">
        <x:v>FU-20260608-00600</x:v>
      </x:c>
      <x:c r="B601" s="12" t="n">
        <x:v>730</x:v>
      </x:c>
      <x:c r="C601" s="14" t="n">
        <x:v>46181</x:v>
      </x:c>
      <x:c r="D601" s="12" t="str">
        <x:v>Senin</x:v>
      </x:c>
      <x:c r="E601" s="12" t="str">
        <x:v>20:16:00</x:v>
      </x:c>
      <x:c r="F601" s="12" t="str">
        <x:v>All Shift Night</x:v>
      </x:c>
      <x:c r="G601" s="12" t="str">
        <x:v>STRL44G156</x:v>
      </x:c>
      <x:c r="H601" s="12" t="str">
        <x:v>Dump Truck</x:v>
      </x:c>
      <x:c r="I601" s="12" t="str">
        <x:v>DUMP TRUCK RENAULT KRANGE440-P6X4 A/T</x:v>
      </x:c>
      <x:c r="J601" s="16" t="n">
        <x:v>163</x:v>
      </x:c>
      <x:c r="K601" s="16" t="n">
        <x:v>3771</x:v>
      </x:c>
      <x:c r="L601" s="16" t="n">
        <x:v>3780</x:v>
      </x:c>
      <x:c r="M601" s="16" t="n">
        <x:v>9</x:v>
      </x:c>
      <x:c r="N601" s="16" t="n">
        <x:v>18.11111111111111</x:v>
      </x:c>
      <x:c r="O601" s="12" t="str">
        <x:v>FTRL44G004</x:v>
      </x:c>
      <x:c r="P601" s="12" t="str">
        <x:v>STRL44G156</x:v>
      </x:c>
      <x:c r="Q601" s="12" t="str"/>
      <x:c r="R601" s="12" t="str"/>
      <x:c r="S601" s="12" t="str"/>
      <x:c r="T601" s="12" t="str">
        <x:v>ABM</x:v>
      </x:c>
      <x:c r="U601" s="12" t="str"/>
      <x:c r="V601" s="12" t="str"/>
      <x:c r="W601" s="12" t="str"/>
      <x:c r="X601" s="12" t="str">
        <x:v>STRL44</x:v>
      </x:c>
      <x:c r="Y601" s="12" t="str">
        <x:v>BADRI &amp; KAMRAN</x:v>
      </x:c>
      <x:c r="Z601" s="12" t="str"/>
      <x:c r="AA601" s="32" t="n">
        <x:f>IFERROR(VLOOKUP(G601,Master_Unit!$A$2:$N$78,7,FALSE),"")</x:f>
        <x:v>20</x:v>
      </x:c>
      <x:c r="AB601" s="32" t="n">
        <x:f>IF(OR(N601="",AA601=""),"",N601-AA601)</x:f>
        <x:v>-1.8888888888888893</x:v>
      </x:c>
      <x:c r="AC601" s="20" t="n">
        <x:f>IF(OR(N601="",AA601="",AA601=0),"",AB601/AA601)</x:f>
        <x:v>-0.09444444444444447</x:v>
      </x:c>
      <x:c r="AD601" t="str">
        <x:f>IF(AA601="","NO STANDARD",IF(AC601&lt;=Config_Status!$B$2,"EFFICIENT",IF(AC601&lt;=Config_Status!$B$3,"NORMAL",IF(AC601&lt;=Config_Status!$B$4,"WARNING","OVER CONSUMPTION"))))</x:f>
        <x:v>NORMAL</x:v>
      </x:c>
      <x:c r="AE601" t="str">
        <x:f>IFERROR(VLOOKUP(G601,Master_Unit!$A$2:$N$78,13,FALSE),"UNIT NOT FOUND")</x:f>
        <x:v>Matched</x:v>
      </x:c>
    </x:row>
    <x:row r="602">
      <x:c r="A602" s="12" t="str">
        <x:v>FU-20260608-00601</x:v>
      </x:c>
      <x:c r="B602" s="12" t="n">
        <x:v>731</x:v>
      </x:c>
      <x:c r="C602" s="14" t="n">
        <x:v>46181</x:v>
      </x:c>
      <x:c r="D602" s="12" t="str">
        <x:v>Senin</x:v>
      </x:c>
      <x:c r="E602" s="12" t="str">
        <x:v>20:19:00</x:v>
      </x:c>
      <x:c r="F602" s="12" t="str">
        <x:v>All Shift Night</x:v>
      </x:c>
      <x:c r="G602" s="12" t="str">
        <x:v>STRL44G145</x:v>
      </x:c>
      <x:c r="H602" s="12" t="str">
        <x:v>Dump Truck</x:v>
      </x:c>
      <x:c r="I602" s="12" t="str">
        <x:v>DUMP TRUCK RENAULT KRANGE440-P6X4 A/T</x:v>
      </x:c>
      <x:c r="J602" s="16" t="n">
        <x:v>153</x:v>
      </x:c>
      <x:c r="K602" s="16" t="n">
        <x:v>4941</x:v>
      </x:c>
      <x:c r="L602" s="16" t="n">
        <x:v>4949</x:v>
      </x:c>
      <x:c r="M602" s="16" t="n">
        <x:v>8</x:v>
      </x:c>
      <x:c r="N602" s="16" t="n">
        <x:v>19.125</x:v>
      </x:c>
      <x:c r="O602" s="12" t="str">
        <x:v>FTRL44G004</x:v>
      </x:c>
      <x:c r="P602" s="12" t="str">
        <x:v>STRL44G145</x:v>
      </x:c>
      <x:c r="Q602" s="12" t="str"/>
      <x:c r="R602" s="12" t="str"/>
      <x:c r="S602" s="12" t="str"/>
      <x:c r="T602" s="12" t="str">
        <x:v>ABM</x:v>
      </x:c>
      <x:c r="U602" s="12" t="str"/>
      <x:c r="V602" s="12" t="str"/>
      <x:c r="W602" s="12" t="str"/>
      <x:c r="X602" s="12" t="str">
        <x:v>STRL44</x:v>
      </x:c>
      <x:c r="Y602" s="12" t="str">
        <x:v>BADRI &amp; KAMRAN</x:v>
      </x:c>
      <x:c r="Z602" s="12" t="str"/>
      <x:c r="AA602" s="32" t="n">
        <x:f>IFERROR(VLOOKUP(G602,Master_Unit!$A$2:$N$78,7,FALSE),"")</x:f>
        <x:v>20</x:v>
      </x:c>
      <x:c r="AB602" s="32" t="n">
        <x:f>IF(OR(N602="",AA602=""),"",N602-AA602)</x:f>
        <x:v>-0.875</x:v>
      </x:c>
      <x:c r="AC602" s="20" t="n">
        <x:f>IF(OR(N602="",AA602="",AA602=0),"",AB602/AA602)</x:f>
        <x:v>-0.04375</x:v>
      </x:c>
      <x:c r="AD602" t="str">
        <x:f>IF(AA602="","NO STANDARD",IF(AC602&lt;=Config_Status!$B$2,"EFFICIENT",IF(AC602&lt;=Config_Status!$B$3,"NORMAL",IF(AC602&lt;=Config_Status!$B$4,"WARNING","OVER CONSUMPTION"))))</x:f>
        <x:v>NORMAL</x:v>
      </x:c>
      <x:c r="AE602" t="str">
        <x:f>IFERROR(VLOOKUP(G602,Master_Unit!$A$2:$N$78,13,FALSE),"UNIT NOT FOUND")</x:f>
        <x:v>Matched</x:v>
      </x:c>
    </x:row>
    <x:row r="603">
      <x:c r="A603" s="12" t="str">
        <x:v>FU-20260608-00602</x:v>
      </x:c>
      <x:c r="B603" s="12" t="n">
        <x:v>732</x:v>
      </x:c>
      <x:c r="C603" s="14" t="n">
        <x:v>46181</x:v>
      </x:c>
      <x:c r="D603" s="12" t="str">
        <x:v>Senin</x:v>
      </x:c>
      <x:c r="E603" s="12" t="str">
        <x:v>20:22:00</x:v>
      </x:c>
      <x:c r="F603" s="12" t="str">
        <x:v>All Shift Night</x:v>
      </x:c>
      <x:c r="G603" s="12" t="str">
        <x:v>STRL44G154</x:v>
      </x:c>
      <x:c r="H603" s="12" t="str">
        <x:v>Dump Truck</x:v>
      </x:c>
      <x:c r="I603" s="12" t="str">
        <x:v>DUMP TRUCK RENAULT KRANGE440-P6X4 A/T</x:v>
      </x:c>
      <x:c r="J603" s="16" t="n">
        <x:v>165</x:v>
      </x:c>
      <x:c r="K603" s="16" t="n">
        <x:v>4088</x:v>
      </x:c>
      <x:c r="L603" s="16" t="n">
        <x:v>4098</x:v>
      </x:c>
      <x:c r="M603" s="16" t="n">
        <x:v>10</x:v>
      </x:c>
      <x:c r="N603" s="16" t="n">
        <x:v>16.5</x:v>
      </x:c>
      <x:c r="O603" s="12" t="str">
        <x:v>FTRL44G004</x:v>
      </x:c>
      <x:c r="P603" s="12" t="str">
        <x:v>STRL44G154</x:v>
      </x:c>
      <x:c r="Q603" s="12" t="str"/>
      <x:c r="R603" s="12" t="str"/>
      <x:c r="S603" s="12" t="str"/>
      <x:c r="T603" s="12" t="str">
        <x:v>ABM</x:v>
      </x:c>
      <x:c r="U603" s="12" t="str"/>
      <x:c r="V603" s="12" t="str"/>
      <x:c r="W603" s="12" t="str"/>
      <x:c r="X603" s="12" t="str">
        <x:v>STRL44</x:v>
      </x:c>
      <x:c r="Y603" s="12" t="str">
        <x:v>BADRI &amp; KAMRAN</x:v>
      </x:c>
      <x:c r="Z603" s="12" t="str"/>
      <x:c r="AA603" s="32" t="n">
        <x:f>IFERROR(VLOOKUP(G603,Master_Unit!$A$2:$N$78,7,FALSE),"")</x:f>
        <x:v>20</x:v>
      </x:c>
      <x:c r="AB603" s="32" t="n">
        <x:f>IF(OR(N603="",AA603=""),"",N603-AA603)</x:f>
        <x:v>-3.5</x:v>
      </x:c>
      <x:c r="AC603" s="20" t="n">
        <x:f>IF(OR(N603="",AA603="",AA603=0),"",AB603/AA603)</x:f>
        <x:v>-0.175</x:v>
      </x:c>
      <x:c r="AD603" t="str">
        <x:f>IF(AA603="","NO STANDARD",IF(AC603&lt;=Config_Status!$B$2,"EFFICIENT",IF(AC603&lt;=Config_Status!$B$3,"NORMAL",IF(AC603&lt;=Config_Status!$B$4,"WARNING","OVER CONSUMPTION"))))</x:f>
        <x:v>EFFICIENT</x:v>
      </x:c>
      <x:c r="AE603" t="str">
        <x:f>IFERROR(VLOOKUP(G603,Master_Unit!$A$2:$N$78,13,FALSE),"UNIT NOT FOUND")</x:f>
        <x:v>Matched</x:v>
      </x:c>
    </x:row>
    <x:row r="604">
      <x:c r="A604" s="12" t="str">
        <x:v>FU-20260608-00603</x:v>
      </x:c>
      <x:c r="B604" s="12" t="n">
        <x:v>733</x:v>
      </x:c>
      <x:c r="C604" s="14" t="n">
        <x:v>46181</x:v>
      </x:c>
      <x:c r="D604" s="12" t="str">
        <x:v>Senin</x:v>
      </x:c>
      <x:c r="E604" s="12" t="str">
        <x:v>20:25:00</x:v>
      </x:c>
      <x:c r="F604" s="12" t="str">
        <x:v>All Shift Night</x:v>
      </x:c>
      <x:c r="G604" s="12" t="str">
        <x:v>STRL44G139</x:v>
      </x:c>
      <x:c r="H604" s="12" t="str">
        <x:v>Dump Truck</x:v>
      </x:c>
      <x:c r="I604" s="12" t="str">
        <x:v>DUMP TRUCK RENAULT KRANGE440-P6X4 A/T</x:v>
      </x:c>
      <x:c r="J604" s="16" t="n">
        <x:v>164</x:v>
      </x:c>
      <x:c r="K604" s="16" t="n">
        <x:v>4967</x:v>
      </x:c>
      <x:c r="L604" s="16" t="n">
        <x:v>4977</x:v>
      </x:c>
      <x:c r="M604" s="16" t="n">
        <x:v>10</x:v>
      </x:c>
      <x:c r="N604" s="16" t="n">
        <x:v>16.4</x:v>
      </x:c>
      <x:c r="O604" s="12" t="str">
        <x:v>FTRL44G004</x:v>
      </x:c>
      <x:c r="P604" s="12" t="str">
        <x:v>STRL44G139</x:v>
      </x:c>
      <x:c r="Q604" s="12" t="str"/>
      <x:c r="R604" s="12" t="str"/>
      <x:c r="S604" s="12" t="str"/>
      <x:c r="T604" s="12" t="str">
        <x:v>ABM</x:v>
      </x:c>
      <x:c r="U604" s="12" t="str"/>
      <x:c r="V604" s="12" t="str"/>
      <x:c r="W604" s="12" t="str"/>
      <x:c r="X604" s="12" t="str">
        <x:v>STRL44</x:v>
      </x:c>
      <x:c r="Y604" s="12" t="str">
        <x:v>BADRI &amp; KAMRAN</x:v>
      </x:c>
      <x:c r="Z604" s="12" t="str"/>
      <x:c r="AA604" s="32" t="n">
        <x:f>IFERROR(VLOOKUP(G604,Master_Unit!$A$2:$N$78,7,FALSE),"")</x:f>
        <x:v>20</x:v>
      </x:c>
      <x:c r="AB604" s="32" t="n">
        <x:f>IF(OR(N604="",AA604=""),"",N604-AA604)</x:f>
        <x:v>-3.6000000000000014</x:v>
      </x:c>
      <x:c r="AC604" s="20" t="n">
        <x:f>IF(OR(N604="",AA604="",AA604=0),"",AB604/AA604)</x:f>
        <x:v>-0.18000000000000008</x:v>
      </x:c>
      <x:c r="AD604" t="str">
        <x:f>IF(AA604="","NO STANDARD",IF(AC604&lt;=Config_Status!$B$2,"EFFICIENT",IF(AC604&lt;=Config_Status!$B$3,"NORMAL",IF(AC604&lt;=Config_Status!$B$4,"WARNING","OVER CONSUMPTION"))))</x:f>
        <x:v>EFFICIENT</x:v>
      </x:c>
      <x:c r="AE604" t="str">
        <x:f>IFERROR(VLOOKUP(G604,Master_Unit!$A$2:$N$78,13,FALSE),"UNIT NOT FOUND")</x:f>
        <x:v>Matched</x:v>
      </x:c>
    </x:row>
    <x:row r="605">
      <x:c r="A605" s="12" t="str">
        <x:v>FU-20260608-00604</x:v>
      </x:c>
      <x:c r="B605" s="12" t="n">
        <x:v>734</x:v>
      </x:c>
      <x:c r="C605" s="14" t="n">
        <x:v>46181</x:v>
      </x:c>
      <x:c r="D605" s="12" t="str">
        <x:v>Senin</x:v>
      </x:c>
      <x:c r="E605" s="12" t="str">
        <x:v>20:29:00</x:v>
      </x:c>
      <x:c r="F605" s="12" t="str">
        <x:v>All Shift Night</x:v>
      </x:c>
      <x:c r="G605" s="12" t="str">
        <x:v>STRL44G144</x:v>
      </x:c>
      <x:c r="H605" s="12" t="str">
        <x:v>Dump Truck</x:v>
      </x:c>
      <x:c r="I605" s="12" t="str">
        <x:v>DUMP TRUCK RENAULT KRANGE440-P6X4 A/T</x:v>
      </x:c>
      <x:c r="J605" s="16" t="n">
        <x:v>163</x:v>
      </x:c>
      <x:c r="K605" s="16" t="n">
        <x:v>1526</x:v>
      </x:c>
      <x:c r="L605" s="16" t="n">
        <x:v>1535</x:v>
      </x:c>
      <x:c r="M605" s="16" t="n">
        <x:v>9</x:v>
      </x:c>
      <x:c r="N605" s="16" t="n">
        <x:v>18.11111111111111</x:v>
      </x:c>
      <x:c r="O605" s="12" t="str">
        <x:v>FTRL44G004</x:v>
      </x:c>
      <x:c r="P605" s="12" t="str">
        <x:v>STRL44G144</x:v>
      </x:c>
      <x:c r="Q605" s="12" t="str"/>
      <x:c r="R605" s="12" t="str"/>
      <x:c r="S605" s="12" t="str"/>
      <x:c r="T605" s="12" t="str">
        <x:v>ABM</x:v>
      </x:c>
      <x:c r="U605" s="12" t="str"/>
      <x:c r="V605" s="12" t="str"/>
      <x:c r="W605" s="12" t="str"/>
      <x:c r="X605" s="12" t="str">
        <x:v>STRL44</x:v>
      </x:c>
      <x:c r="Y605" s="12" t="str">
        <x:v>BADRI &amp; KAMRAN</x:v>
      </x:c>
      <x:c r="Z605" s="12" t="str"/>
      <x:c r="AA605" s="32" t="n">
        <x:f>IFERROR(VLOOKUP(G605,Master_Unit!$A$2:$N$78,7,FALSE),"")</x:f>
        <x:v>20</x:v>
      </x:c>
      <x:c r="AB605" s="32" t="n">
        <x:f>IF(OR(N605="",AA605=""),"",N605-AA605)</x:f>
        <x:v>-1.8888888888888893</x:v>
      </x:c>
      <x:c r="AC605" s="20" t="n">
        <x:f>IF(OR(N605="",AA605="",AA605=0),"",AB605/AA605)</x:f>
        <x:v>-0.09444444444444447</x:v>
      </x:c>
      <x:c r="AD605" t="str">
        <x:f>IF(AA605="","NO STANDARD",IF(AC605&lt;=Config_Status!$B$2,"EFFICIENT",IF(AC605&lt;=Config_Status!$B$3,"NORMAL",IF(AC605&lt;=Config_Status!$B$4,"WARNING","OVER CONSUMPTION"))))</x:f>
        <x:v>NORMAL</x:v>
      </x:c>
      <x:c r="AE605" t="str">
        <x:f>IFERROR(VLOOKUP(G605,Master_Unit!$A$2:$N$78,13,FALSE),"UNIT NOT FOUND")</x:f>
        <x:v>Matched</x:v>
      </x:c>
    </x:row>
    <x:row r="606">
      <x:c r="A606" s="12" t="str">
        <x:v>FU-20260608-00605</x:v>
      </x:c>
      <x:c r="B606" s="12" t="n">
        <x:v>735</x:v>
      </x:c>
      <x:c r="C606" s="14" t="n">
        <x:v>46181</x:v>
      </x:c>
      <x:c r="D606" s="12" t="str">
        <x:v>Senin</x:v>
      </x:c>
      <x:c r="E606" s="12" t="str">
        <x:v>20:35:00</x:v>
      </x:c>
      <x:c r="F606" s="12" t="str">
        <x:v>All Shift Night</x:v>
      </x:c>
      <x:c r="G606" s="12" t="str">
        <x:v>STRL44G140</x:v>
      </x:c>
      <x:c r="H606" s="12" t="str">
        <x:v>Dump Truck</x:v>
      </x:c>
      <x:c r="I606" s="12" t="str">
        <x:v>DUMP TRUCK RENAULT KRANGE440-P6X4 A/T</x:v>
      </x:c>
      <x:c r="J606" s="16" t="n">
        <x:v>163</x:v>
      </x:c>
      <x:c r="K606" s="16" t="n">
        <x:v>5106</x:v>
      </x:c>
      <x:c r="L606" s="16" t="n">
        <x:v>5115</x:v>
      </x:c>
      <x:c r="M606" s="16" t="n">
        <x:v>9</x:v>
      </x:c>
      <x:c r="N606" s="16" t="n">
        <x:v>18.11111111111111</x:v>
      </x:c>
      <x:c r="O606" s="12" t="str">
        <x:v>FTRL44G004</x:v>
      </x:c>
      <x:c r="P606" s="12" t="str">
        <x:v>STRL44G140</x:v>
      </x:c>
      <x:c r="Q606" s="12" t="str"/>
      <x:c r="R606" s="12" t="str"/>
      <x:c r="S606" s="12" t="str"/>
      <x:c r="T606" s="12" t="str">
        <x:v>ABM</x:v>
      </x:c>
      <x:c r="U606" s="12" t="str"/>
      <x:c r="V606" s="12" t="str"/>
      <x:c r="W606" s="12" t="str"/>
      <x:c r="X606" s="12" t="str">
        <x:v>STRL44</x:v>
      </x:c>
      <x:c r="Y606" s="12" t="str">
        <x:v>BADRI &amp; KAMRAN</x:v>
      </x:c>
      <x:c r="Z606" s="12" t="str"/>
      <x:c r="AA606" s="32" t="n">
        <x:f>IFERROR(VLOOKUP(G606,Master_Unit!$A$2:$N$78,7,FALSE),"")</x:f>
        <x:v>20</x:v>
      </x:c>
      <x:c r="AB606" s="32" t="n">
        <x:f>IF(OR(N606="",AA606=""),"",N606-AA606)</x:f>
        <x:v>-1.8888888888888893</x:v>
      </x:c>
      <x:c r="AC606" s="20" t="n">
        <x:f>IF(OR(N606="",AA606="",AA606=0),"",AB606/AA606)</x:f>
        <x:v>-0.09444444444444447</x:v>
      </x:c>
      <x:c r="AD606" t="str">
        <x:f>IF(AA606="","NO STANDARD",IF(AC606&lt;=Config_Status!$B$2,"EFFICIENT",IF(AC606&lt;=Config_Status!$B$3,"NORMAL",IF(AC606&lt;=Config_Status!$B$4,"WARNING","OVER CONSUMPTION"))))</x:f>
        <x:v>NORMAL</x:v>
      </x:c>
      <x:c r="AE606" t="str">
        <x:f>IFERROR(VLOOKUP(G606,Master_Unit!$A$2:$N$78,13,FALSE),"UNIT NOT FOUND")</x:f>
        <x:v>Matched</x:v>
      </x:c>
    </x:row>
    <x:row r="607">
      <x:c r="A607" s="12" t="str">
        <x:v>FU-20260608-00606</x:v>
      </x:c>
      <x:c r="B607" s="12" t="n">
        <x:v>736</x:v>
      </x:c>
      <x:c r="C607" s="14" t="n">
        <x:v>46181</x:v>
      </x:c>
      <x:c r="D607" s="12" t="str">
        <x:v>Senin</x:v>
      </x:c>
      <x:c r="E607" s="12" t="str">
        <x:v>20:38:00</x:v>
      </x:c>
      <x:c r="F607" s="12" t="str">
        <x:v>All Shift Night</x:v>
      </x:c>
      <x:c r="G607" s="12" t="str">
        <x:v>STRL44G149</x:v>
      </x:c>
      <x:c r="H607" s="12" t="str">
        <x:v>Dump Truck</x:v>
      </x:c>
      <x:c r="I607" s="12" t="str">
        <x:v>DUMP TRUCK RENAULT KRANGE440-P6X4 A/T</x:v>
      </x:c>
      <x:c r="J607" s="16" t="n">
        <x:v>163</x:v>
      </x:c>
      <x:c r="K607" s="16" t="n">
        <x:v>4291</x:v>
      </x:c>
      <x:c r="L607" s="16" t="n">
        <x:v>4300</x:v>
      </x:c>
      <x:c r="M607" s="16" t="n">
        <x:v>9</x:v>
      </x:c>
      <x:c r="N607" s="16" t="n">
        <x:v>18.11111111111111</x:v>
      </x:c>
      <x:c r="O607" s="12" t="str">
        <x:v>FTRL44G004</x:v>
      </x:c>
      <x:c r="P607" s="12" t="str">
        <x:v>STRL44G149</x:v>
      </x:c>
      <x:c r="Q607" s="12" t="str"/>
      <x:c r="R607" s="12" t="str"/>
      <x:c r="S607" s="12" t="str"/>
      <x:c r="T607" s="12" t="str">
        <x:v>ABM</x:v>
      </x:c>
      <x:c r="U607" s="12" t="str"/>
      <x:c r="V607" s="12" t="str"/>
      <x:c r="W607" s="12" t="str"/>
      <x:c r="X607" s="12" t="str">
        <x:v>STRL44</x:v>
      </x:c>
      <x:c r="Y607" s="12" t="str">
        <x:v>BADRI &amp; KAMRAN</x:v>
      </x:c>
      <x:c r="Z607" s="12" t="str"/>
      <x:c r="AA607" s="32" t="n">
        <x:f>IFERROR(VLOOKUP(G607,Master_Unit!$A$2:$N$78,7,FALSE),"")</x:f>
        <x:v>20</x:v>
      </x:c>
      <x:c r="AB607" s="32" t="n">
        <x:f>IF(OR(N607="",AA607=""),"",N607-AA607)</x:f>
        <x:v>-1.8888888888888893</x:v>
      </x:c>
      <x:c r="AC607" s="20" t="n">
        <x:f>IF(OR(N607="",AA607="",AA607=0),"",AB607/AA607)</x:f>
        <x:v>-0.09444444444444447</x:v>
      </x:c>
      <x:c r="AD607" t="str">
        <x:f>IF(AA607="","NO STANDARD",IF(AC607&lt;=Config_Status!$B$2,"EFFICIENT",IF(AC607&lt;=Config_Status!$B$3,"NORMAL",IF(AC607&lt;=Config_Status!$B$4,"WARNING","OVER CONSUMPTION"))))</x:f>
        <x:v>NORMAL</x:v>
      </x:c>
      <x:c r="AE607" t="str">
        <x:f>IFERROR(VLOOKUP(G607,Master_Unit!$A$2:$N$78,13,FALSE),"UNIT NOT FOUND")</x:f>
        <x:v>Matched</x:v>
      </x:c>
    </x:row>
    <x:row r="608">
      <x:c r="A608" s="12" t="str">
        <x:v>FU-20260608-00607</x:v>
      </x:c>
      <x:c r="B608" s="12" t="n">
        <x:v>737</x:v>
      </x:c>
      <x:c r="C608" s="14" t="n">
        <x:v>46181</x:v>
      </x:c>
      <x:c r="D608" s="12" t="str">
        <x:v>Senin</x:v>
      </x:c>
      <x:c r="E608" s="12" t="str">
        <x:v>20:41:00</x:v>
      </x:c>
      <x:c r="F608" s="12" t="str">
        <x:v>All Shift Night</x:v>
      </x:c>
      <x:c r="G608" s="12" t="str">
        <x:v>STRL44G152</x:v>
      </x:c>
      <x:c r="H608" s="12" t="str">
        <x:v>Dump Truck</x:v>
      </x:c>
      <x:c r="I608" s="12" t="str">
        <x:v>DUMP TRUCK RENAULT KRANGE440-P6X4 A/T</x:v>
      </x:c>
      <x:c r="J608" s="16" t="n">
        <x:v>154</x:v>
      </x:c>
      <x:c r="K608" s="16" t="n">
        <x:v>3697</x:v>
      </x:c>
      <x:c r="L608" s="16" t="n">
        <x:v>3705</x:v>
      </x:c>
      <x:c r="M608" s="16" t="n">
        <x:v>8</x:v>
      </x:c>
      <x:c r="N608" s="16" t="n">
        <x:v>19.25</x:v>
      </x:c>
      <x:c r="O608" s="12" t="str">
        <x:v>FTRL44G004</x:v>
      </x:c>
      <x:c r="P608" s="12" t="str">
        <x:v>STRL44G152</x:v>
      </x:c>
      <x:c r="Q608" s="12" t="str"/>
      <x:c r="R608" s="12" t="str"/>
      <x:c r="S608" s="12" t="str"/>
      <x:c r="T608" s="12" t="str">
        <x:v>ABM</x:v>
      </x:c>
      <x:c r="U608" s="12" t="str"/>
      <x:c r="V608" s="12" t="str"/>
      <x:c r="W608" s="12" t="str"/>
      <x:c r="X608" s="12" t="str">
        <x:v>STRL44</x:v>
      </x:c>
      <x:c r="Y608" s="12" t="str">
        <x:v>BADRI &amp; KAMRAN</x:v>
      </x:c>
      <x:c r="Z608" s="12" t="str"/>
      <x:c r="AA608" s="32" t="n">
        <x:f>IFERROR(VLOOKUP(G608,Master_Unit!$A$2:$N$78,7,FALSE),"")</x:f>
        <x:v>20</x:v>
      </x:c>
      <x:c r="AB608" s="32" t="n">
        <x:f>IF(OR(N608="",AA608=""),"",N608-AA608)</x:f>
        <x:v>-0.75</x:v>
      </x:c>
      <x:c r="AC608" s="20" t="n">
        <x:f>IF(OR(N608="",AA608="",AA608=0),"",AB608/AA608)</x:f>
        <x:v>-0.0375</x:v>
      </x:c>
      <x:c r="AD608" t="str">
        <x:f>IF(AA608="","NO STANDARD",IF(AC608&lt;=Config_Status!$B$2,"EFFICIENT",IF(AC608&lt;=Config_Status!$B$3,"NORMAL",IF(AC608&lt;=Config_Status!$B$4,"WARNING","OVER CONSUMPTION"))))</x:f>
        <x:v>NORMAL</x:v>
      </x:c>
      <x:c r="AE608" t="str">
        <x:f>IFERROR(VLOOKUP(G608,Master_Unit!$A$2:$N$78,13,FALSE),"UNIT NOT FOUND")</x:f>
        <x:v>Matched</x:v>
      </x:c>
    </x:row>
    <x:row r="609">
      <x:c r="A609" s="12" t="str">
        <x:v>FU-20260608-00608</x:v>
      </x:c>
      <x:c r="B609" s="12" t="n">
        <x:v>738</x:v>
      </x:c>
      <x:c r="C609" s="14" t="n">
        <x:v>46181</x:v>
      </x:c>
      <x:c r="D609" s="12" t="str">
        <x:v>Senin</x:v>
      </x:c>
      <x:c r="E609" s="12" t="str">
        <x:v>20:44:00</x:v>
      </x:c>
      <x:c r="F609" s="12" t="str">
        <x:v>All Shift Night</x:v>
      </x:c>
      <x:c r="G609" s="12" t="str">
        <x:v>STRL44G157</x:v>
      </x:c>
      <x:c r="H609" s="12" t="str">
        <x:v>Dump Truck</x:v>
      </x:c>
      <x:c r="I609" s="12" t="str">
        <x:v>DUMP TRUCK RENAULT KRANGE440-P6X4 A/T</x:v>
      </x:c>
      <x:c r="J609" s="16" t="n">
        <x:v>163</x:v>
      </x:c>
      <x:c r="K609" s="16" t="n">
        <x:v>4059</x:v>
      </x:c>
      <x:c r="L609" s="16" t="n">
        <x:v>4068</x:v>
      </x:c>
      <x:c r="M609" s="16" t="n">
        <x:v>9</x:v>
      </x:c>
      <x:c r="N609" s="16" t="n">
        <x:v>18.11111111111111</x:v>
      </x:c>
      <x:c r="O609" s="12" t="str">
        <x:v>FTRL44G004</x:v>
      </x:c>
      <x:c r="P609" s="12" t="str">
        <x:v>STRL44G157</x:v>
      </x:c>
      <x:c r="Q609" s="12" t="str"/>
      <x:c r="R609" s="12" t="str"/>
      <x:c r="S609" s="12" t="str"/>
      <x:c r="T609" s="12" t="str">
        <x:v>ABM</x:v>
      </x:c>
      <x:c r="U609" s="12" t="str"/>
      <x:c r="V609" s="12" t="str"/>
      <x:c r="W609" s="12" t="str"/>
      <x:c r="X609" s="12" t="str">
        <x:v>STRL44</x:v>
      </x:c>
      <x:c r="Y609" s="12" t="str">
        <x:v>BADRI &amp; KAMRAN</x:v>
      </x:c>
      <x:c r="Z609" s="12" t="str"/>
      <x:c r="AA609" s="32" t="n">
        <x:f>IFERROR(VLOOKUP(G609,Master_Unit!$A$2:$N$78,7,FALSE),"")</x:f>
        <x:v>20</x:v>
      </x:c>
      <x:c r="AB609" s="32" t="n">
        <x:f>IF(OR(N609="",AA609=""),"",N609-AA609)</x:f>
        <x:v>-1.8888888888888893</x:v>
      </x:c>
      <x:c r="AC609" s="20" t="n">
        <x:f>IF(OR(N609="",AA609="",AA609=0),"",AB609/AA609)</x:f>
        <x:v>-0.09444444444444447</x:v>
      </x:c>
      <x:c r="AD609" t="str">
        <x:f>IF(AA609="","NO STANDARD",IF(AC609&lt;=Config_Status!$B$2,"EFFICIENT",IF(AC609&lt;=Config_Status!$B$3,"NORMAL",IF(AC609&lt;=Config_Status!$B$4,"WARNING","OVER CONSUMPTION"))))</x:f>
        <x:v>NORMAL</x:v>
      </x:c>
      <x:c r="AE609" t="str">
        <x:f>IFERROR(VLOOKUP(G609,Master_Unit!$A$2:$N$78,13,FALSE),"UNIT NOT FOUND")</x:f>
        <x:v>Matched</x:v>
      </x:c>
    </x:row>
    <x:row r="610">
      <x:c r="A610" s="12" t="str">
        <x:v>FU-20260609-00609</x:v>
      </x:c>
      <x:c r="B610" s="12" t="n">
        <x:v>739</x:v>
      </x:c>
      <x:c r="C610" s="14" t="n">
        <x:v>46182</x:v>
      </x:c>
      <x:c r="D610" s="12" t="str">
        <x:v>Selasa</x:v>
      </x:c>
      <x:c r="E610" s="12" t="str">
        <x:v>06:35:00</x:v>
      </x:c>
      <x:c r="F610" s="12" t="str">
        <x:v>All Shift Day</x:v>
      </x:c>
      <x:c r="G610" s="12" t="str">
        <x:v>BDKM85G039</x:v>
      </x:c>
      <x:c r="H610" s="12" t="str">
        <x:v>Dozer</x:v>
      </x:c>
      <x:c r="I610" s="12" t="str">
        <x:v>BULDOZER KOMATSU D85ESS-2</x:v>
      </x:c>
      <x:c r="J610" s="16" t="n">
        <x:v>141</x:v>
      </x:c>
      <x:c r="K610" s="16" t="n">
        <x:v>7070.8</x:v>
      </x:c>
      <x:c r="L610" s="16" t="n">
        <x:v>7081.1</x:v>
      </x:c>
      <x:c r="M610" s="16" t="n">
        <x:v>10.300000000000182</x:v>
      </x:c>
      <x:c r="N610" s="16" t="n">
        <x:v>13.689320388349273</x:v>
      </x:c>
      <x:c r="O610" s="12" t="str">
        <x:v>FTRL44G004</x:v>
      </x:c>
      <x:c r="P610" s="12" t="str">
        <x:v>BDKM85G039</x:v>
      </x:c>
      <x:c r="Q610" s="12" t="str"/>
      <x:c r="R610" s="12" t="str"/>
      <x:c r="S610" s="12" t="str"/>
      <x:c r="T610" s="12" t="str">
        <x:v>ABM</x:v>
      </x:c>
      <x:c r="U610" s="12" t="str"/>
      <x:c r="V610" s="12" t="str"/>
      <x:c r="W610" s="12" t="str"/>
      <x:c r="X610" s="12" t="str">
        <x:v>BDKM85</x:v>
      </x:c>
      <x:c r="Y610" s="12" t="str">
        <x:v>FANGKI &amp; ACUNG</x:v>
      </x:c>
      <x:c r="Z610" s="12" t="str"/>
      <x:c r="AA610" s="32" t="n">
        <x:f>IFERROR(VLOOKUP(G610,Master_Unit!$A$2:$N$78,7,FALSE),"")</x:f>
        <x:v>30</x:v>
      </x:c>
      <x:c r="AB610" s="32" t="n">
        <x:f>IF(OR(N610="",AA610=""),"",N610-AA610)</x:f>
        <x:v>-16.310679611650727</x:v>
      </x:c>
      <x:c r="AC610" s="20" t="n">
        <x:f>IF(OR(N610="",AA610="",AA610=0),"",AB610/AA610)</x:f>
        <x:v>-0.5436893203883576</x:v>
      </x:c>
      <x:c r="AD610" t="str">
        <x:f>IF(AA610="","NO STANDARD",IF(AC610&lt;=Config_Status!$B$2,"EFFICIENT",IF(AC610&lt;=Config_Status!$B$3,"NORMAL",IF(AC610&lt;=Config_Status!$B$4,"WARNING","OVER CONSUMPTION"))))</x:f>
        <x:v>EFFICIENT</x:v>
      </x:c>
      <x:c r="AE610" t="str">
        <x:f>IFERROR(VLOOKUP(G610,Master_Unit!$A$2:$N$78,13,FALSE),"UNIT NOT FOUND")</x:f>
        <x:v>Matched</x:v>
      </x:c>
    </x:row>
    <x:row r="611">
      <x:c r="A611" s="12" t="str">
        <x:v>FU-20260609-00610</x:v>
      </x:c>
      <x:c r="B611" s="12" t="n">
        <x:v>740</x:v>
      </x:c>
      <x:c r="C611" s="14" t="n">
        <x:v>46182</x:v>
      </x:c>
      <x:c r="D611" s="12" t="str">
        <x:v>Selasa</x:v>
      </x:c>
      <x:c r="E611" s="12" t="str">
        <x:v>06:43:00</x:v>
      </x:c>
      <x:c r="F611" s="12" t="str">
        <x:v>All Shift Day</x:v>
      </x:c>
      <x:c r="G611" s="12" t="str">
        <x:v>EXVV35G005</x:v>
      </x:c>
      <x:c r="H611" s="12" t="str">
        <x:v>Excavator</x:v>
      </x:c>
      <x:c r="I611" s="12" t="str">
        <x:v>EXCAVATOR VOLVO EC350D</x:v>
      </x:c>
      <x:c r="J611" s="16" t="n">
        <x:v>213</x:v>
      </x:c>
      <x:c r="K611" s="16" t="n">
        <x:v>5185</x:v>
      </x:c>
      <x:c r="L611" s="16" t="n">
        <x:v>5190.5</x:v>
      </x:c>
      <x:c r="M611" s="16" t="n">
        <x:v>5.5</x:v>
      </x:c>
      <x:c r="N611" s="16" t="n">
        <x:v>38.72727272727273</x:v>
      </x:c>
      <x:c r="O611" s="12" t="str">
        <x:v>FTRL44G004</x:v>
      </x:c>
      <x:c r="P611" s="12" t="str">
        <x:v>EXVV35G005</x:v>
      </x:c>
      <x:c r="Q611" s="12" t="str"/>
      <x:c r="R611" s="12" t="str"/>
      <x:c r="S611" s="12" t="str"/>
      <x:c r="T611" s="12" t="str">
        <x:v>ABM</x:v>
      </x:c>
      <x:c r="U611" s="12" t="str"/>
      <x:c r="V611" s="12" t="str"/>
      <x:c r="W611" s="12" t="str"/>
      <x:c r="X611" s="12" t="str">
        <x:v>EXVV35</x:v>
      </x:c>
      <x:c r="Y611" s="12" t="str">
        <x:v>FANGKI &amp; ACUNG</x:v>
      </x:c>
      <x:c r="Z611" s="12" t="str"/>
      <x:c r="AA611" s="32" t="n">
        <x:f>IFERROR(VLOOKUP(G611,Master_Unit!$A$2:$N$78,7,FALSE),"")</x:f>
        <x:v>25</x:v>
      </x:c>
      <x:c r="AB611" s="32" t="n">
        <x:f>IF(OR(N611="",AA611=""),"",N611-AA611)</x:f>
        <x:v>13.727272727272727</x:v>
      </x:c>
      <x:c r="AC611" s="20" t="n">
        <x:f>IF(OR(N611="",AA611="",AA611=0),"",AB611/AA611)</x:f>
        <x:v>0.5490909090909091</x:v>
      </x:c>
      <x:c r="AD611" t="str">
        <x:f>IF(AA611="","NO STANDARD",IF(AC611&lt;=Config_Status!$B$2,"EFFICIENT",IF(AC611&lt;=Config_Status!$B$3,"NORMAL",IF(AC611&lt;=Config_Status!$B$4,"WARNING","OVER CONSUMPTION"))))</x:f>
        <x:v>OVER CONSUMPTION</x:v>
      </x:c>
      <x:c r="AE611" t="str">
        <x:f>IFERROR(VLOOKUP(G611,Master_Unit!$A$2:$N$78,13,FALSE),"UNIT NOT FOUND")</x:f>
        <x:v>Matched</x:v>
      </x:c>
    </x:row>
    <x:row r="612">
      <x:c r="A612" s="12" t="str">
        <x:v>FU-20260609-00611</x:v>
      </x:c>
      <x:c r="B612" s="12" t="n">
        <x:v>741</x:v>
      </x:c>
      <x:c r="C612" s="14" t="n">
        <x:v>46182</x:v>
      </x:c>
      <x:c r="D612" s="12" t="str">
        <x:v>Selasa</x:v>
      </x:c>
      <x:c r="E612" s="12" t="str">
        <x:v>06:47:00</x:v>
      </x:c>
      <x:c r="F612" s="12" t="str">
        <x:v>All Shift Day</x:v>
      </x:c>
      <x:c r="G612" s="12" t="str">
        <x:v>EXVV21G042</x:v>
      </x:c>
      <x:c r="H612" s="12" t="str">
        <x:v>Excavator</x:v>
      </x:c>
      <x:c r="I612" s="12" t="str">
        <x:v>EXCAVATOR VOLVO EC210D</x:v>
      </x:c>
      <x:c r="J612" s="16" t="n">
        <x:v>130</x:v>
      </x:c>
      <x:c r="K612" s="16" t="n">
        <x:v>7720.4</x:v>
      </x:c>
      <x:c r="L612" s="16" t="n">
        <x:v>7730.6</x:v>
      </x:c>
      <x:c r="M612" s="16" t="n">
        <x:v>10.200000000000728</x:v>
      </x:c>
      <x:c r="N612" s="16" t="n">
        <x:v>12.745098039214778</x:v>
      </x:c>
      <x:c r="O612" s="12" t="str">
        <x:v>FTRL44G004</x:v>
      </x:c>
      <x:c r="P612" s="12" t="str">
        <x:v>EXVV21G042</x:v>
      </x:c>
      <x:c r="Q612" s="12" t="str"/>
      <x:c r="R612" s="12" t="str"/>
      <x:c r="S612" s="12" t="str"/>
      <x:c r="T612" s="12" t="str">
        <x:v>ABM</x:v>
      </x:c>
      <x:c r="U612" s="12" t="str"/>
      <x:c r="V612" s="12" t="str"/>
      <x:c r="W612" s="12" t="str"/>
      <x:c r="X612" s="12" t="str">
        <x:v>EXVV21</x:v>
      </x:c>
      <x:c r="Y612" s="12" t="str">
        <x:v>FANGKI &amp; ACUNG</x:v>
      </x:c>
      <x:c r="Z612" s="12" t="str"/>
      <x:c r="AA612" s="32" t="n">
        <x:f>IFERROR(VLOOKUP(G612,Master_Unit!$A$2:$N$78,7,FALSE),"")</x:f>
        <x:v>20</x:v>
      </x:c>
      <x:c r="AB612" s="32" t="n">
        <x:f>IF(OR(N612="",AA612=""),"",N612-AA612)</x:f>
        <x:v>-7.254901960785222</x:v>
      </x:c>
      <x:c r="AC612" s="20" t="n">
        <x:f>IF(OR(N612="",AA612="",AA612=0),"",AB612/AA612)</x:f>
        <x:v>-0.36274509803926114</x:v>
      </x:c>
      <x:c r="AD612" t="str">
        <x:f>IF(AA612="","NO STANDARD",IF(AC612&lt;=Config_Status!$B$2,"EFFICIENT",IF(AC612&lt;=Config_Status!$B$3,"NORMAL",IF(AC612&lt;=Config_Status!$B$4,"WARNING","OVER CONSUMPTION"))))</x:f>
        <x:v>EFFICIENT</x:v>
      </x:c>
      <x:c r="AE612" t="str">
        <x:f>IFERROR(VLOOKUP(G612,Master_Unit!$A$2:$N$78,13,FALSE),"UNIT NOT FOUND")</x:f>
        <x:v>Matched</x:v>
      </x:c>
    </x:row>
    <x:row r="613">
      <x:c r="A613" s="12" t="str">
        <x:v>FU-20260609-00612</x:v>
      </x:c>
      <x:c r="B613" s="12" t="n">
        <x:v>742</x:v>
      </x:c>
      <x:c r="C613" s="14" t="n">
        <x:v>46182</x:v>
      </x:c>
      <x:c r="D613" s="12" t="str">
        <x:v>Selasa</x:v>
      </x:c>
      <x:c r="E613" s="12" t="str">
        <x:v>06:51:00</x:v>
      </x:c>
      <x:c r="F613" s="12" t="str">
        <x:v>All Shift Day</x:v>
      </x:c>
      <x:c r="G613" s="12" t="str">
        <x:v>EXVV21G032</x:v>
      </x:c>
      <x:c r="H613" s="12" t="str">
        <x:v>Excavator</x:v>
      </x:c>
      <x:c r="I613" s="12" t="str">
        <x:v>EXCAVATOR VOLVO EC210D</x:v>
      </x:c>
      <x:c r="J613" s="16" t="n">
        <x:v>153</x:v>
      </x:c>
      <x:c r="K613" s="16" t="n">
        <x:v>7500.2</x:v>
      </x:c>
      <x:c r="L613" s="16" t="n">
        <x:v>7509.3</x:v>
      </x:c>
      <x:c r="M613" s="16" t="n">
        <x:v>9.100000000000364</x:v>
      </x:c>
      <x:c r="N613" s="16" t="n">
        <x:v>16.813186813186142</x:v>
      </x:c>
      <x:c r="O613" s="12" t="str">
        <x:v>FTRL44G004</x:v>
      </x:c>
      <x:c r="P613" s="12" t="str">
        <x:v>EXVV21G032</x:v>
      </x:c>
      <x:c r="Q613" s="12" t="str"/>
      <x:c r="R613" s="12" t="str"/>
      <x:c r="S613" s="12" t="str"/>
      <x:c r="T613" s="12" t="str">
        <x:v>ABM</x:v>
      </x:c>
      <x:c r="U613" s="12" t="str"/>
      <x:c r="V613" s="12" t="str"/>
      <x:c r="W613" s="12" t="str"/>
      <x:c r="X613" s="12" t="str">
        <x:v>EXVV21</x:v>
      </x:c>
      <x:c r="Y613" s="12" t="str">
        <x:v>FANGKI &amp; ACUNG</x:v>
      </x:c>
      <x:c r="Z613" s="12" t="str"/>
      <x:c r="AA613" s="32" t="n">
        <x:f>IFERROR(VLOOKUP(G613,Master_Unit!$A$2:$N$78,7,FALSE),"")</x:f>
        <x:v>20</x:v>
      </x:c>
      <x:c r="AB613" s="32" t="n">
        <x:f>IF(OR(N613="",AA613=""),"",N613-AA613)</x:f>
        <x:v>-3.1868131868138576</x:v>
      </x:c>
      <x:c r="AC613" s="20" t="n">
        <x:f>IF(OR(N613="",AA613="",AA613=0),"",AB613/AA613)</x:f>
        <x:v>-0.1593406593406929</x:v>
      </x:c>
      <x:c r="AD613" t="str">
        <x:f>IF(AA613="","NO STANDARD",IF(AC613&lt;=Config_Status!$B$2,"EFFICIENT",IF(AC613&lt;=Config_Status!$B$3,"NORMAL",IF(AC613&lt;=Config_Status!$B$4,"WARNING","OVER CONSUMPTION"))))</x:f>
        <x:v>EFFICIENT</x:v>
      </x:c>
      <x:c r="AE613" t="str">
        <x:f>IFERROR(VLOOKUP(G613,Master_Unit!$A$2:$N$78,13,FALSE),"UNIT NOT FOUND")</x:f>
        <x:v>Matched</x:v>
      </x:c>
    </x:row>
    <x:row r="614">
      <x:c r="A614" s="12" t="str">
        <x:v>FU-20260609-00613</x:v>
      </x:c>
      <x:c r="B614" s="12" t="n">
        <x:v>743</x:v>
      </x:c>
      <x:c r="C614" s="14" t="n">
        <x:v>46182</x:v>
      </x:c>
      <x:c r="D614" s="12" t="str">
        <x:v>Selasa</x:v>
      </x:c>
      <x:c r="E614" s="12" t="str">
        <x:v>06:57:00</x:v>
      </x:c>
      <x:c r="F614" s="12" t="str">
        <x:v>All Shift Day</x:v>
      </x:c>
      <x:c r="G614" s="12" t="str">
        <x:v>GSHT10G001</x:v>
      </x:c>
      <x:c r="H614" s="12" t="str">
        <x:v>Genset</x:v>
      </x:c>
      <x:c r="I614" s="12" t="str">
        <x:v>GENSET HARTECH HT-10</x:v>
      </x:c>
      <x:c r="J614" s="16" t="n">
        <x:v>11</x:v>
      </x:c>
      <x:c r="K614" s="16" t="n">
        <x:v>5938.15</x:v>
      </x:c>
      <x:c r="L614" s="16" t="n">
        <x:v>5948.45</x:v>
      </x:c>
      <x:c r="M614" s="16" t="n">
        <x:v>10.300000000000182</x:v>
      </x:c>
      <x:c r="N614" s="16" t="n">
        <x:v>1.0679611650485248</x:v>
      </x:c>
      <x:c r="O614" s="12" t="str">
        <x:v>FTRL44G004</x:v>
      </x:c>
      <x:c r="P614" s="12" t="str">
        <x:v>GSHT10G001</x:v>
      </x:c>
      <x:c r="Q614" s="12" t="str"/>
      <x:c r="R614" s="12" t="str"/>
      <x:c r="S614" s="12" t="str"/>
      <x:c r="T614" s="12" t="str">
        <x:v>ABM</x:v>
      </x:c>
      <x:c r="U614" s="12" t="str"/>
      <x:c r="V614" s="12" t="str"/>
      <x:c r="W614" s="12" t="str"/>
      <x:c r="X614" s="12" t="str">
        <x:v>GSHT10</x:v>
      </x:c>
      <x:c r="Y614" s="12" t="str">
        <x:v>FANGKI &amp; ACUNG</x:v>
      </x:c>
      <x:c r="Z614" s="12" t="str"/>
      <x:c r="AA614" s="32" t="n">
        <x:f>IFERROR(VLOOKUP(G614,Master_Unit!$A$2:$N$78,7,FALSE),"")</x:f>
        <x:v>3</x:v>
      </x:c>
      <x:c r="AB614" s="32" t="n">
        <x:f>IF(OR(N614="",AA614=""),"",N614-AA614)</x:f>
        <x:v>-1.9320388349514752</x:v>
      </x:c>
      <x:c r="AC614" s="20" t="n">
        <x:f>IF(OR(N614="",AA614="",AA614=0),"",AB614/AA614)</x:f>
        <x:v>-0.6440129449838251</x:v>
      </x:c>
      <x:c r="AD614" t="str">
        <x:f>IF(AA614="","NO STANDARD",IF(AC614&lt;=Config_Status!$B$2,"EFFICIENT",IF(AC614&lt;=Config_Status!$B$3,"NORMAL",IF(AC614&lt;=Config_Status!$B$4,"WARNING","OVER CONSUMPTION"))))</x:f>
        <x:v>EFFICIENT</x:v>
      </x:c>
      <x:c r="AE614" t="str">
        <x:f>IFERROR(VLOOKUP(G614,Master_Unit!$A$2:$N$78,13,FALSE),"UNIT NOT FOUND")</x:f>
        <x:v>Matched</x:v>
      </x:c>
    </x:row>
    <x:row r="615">
      <x:c r="A615" s="12" t="str">
        <x:v>FU-20260609-00614</x:v>
      </x:c>
      <x:c r="B615" s="12" t="n">
        <x:v>744</x:v>
      </x:c>
      <x:c r="C615" s="14" t="n">
        <x:v>46182</x:v>
      </x:c>
      <x:c r="D615" s="12" t="str">
        <x:v>Selasa</x:v>
      </x:c>
      <x:c r="E615" s="12" t="str">
        <x:v>07:05:00</x:v>
      </x:c>
      <x:c r="F615" s="12" t="str">
        <x:v>All Shift Day</x:v>
      </x:c>
      <x:c r="G615" s="12" t="str">
        <x:v>EXVV21G037</x:v>
      </x:c>
      <x:c r="H615" s="12" t="str">
        <x:v>Excavator</x:v>
      </x:c>
      <x:c r="I615" s="12" t="str">
        <x:v>EXCAVATOR VOLVO EC210D</x:v>
      </x:c>
      <x:c r="J615" s="16" t="n">
        <x:v>132</x:v>
      </x:c>
      <x:c r="K615" s="16" t="n">
        <x:v>6849.2</x:v>
      </x:c>
      <x:c r="L615" s="16" t="n">
        <x:v>6858.3</x:v>
      </x:c>
      <x:c r="M615" s="16" t="n">
        <x:v>9.100000000000364</x:v>
      </x:c>
      <x:c r="N615" s="16" t="n">
        <x:v>14.505494505493926</x:v>
      </x:c>
      <x:c r="O615" s="12" t="str">
        <x:v>FTRL44G004</x:v>
      </x:c>
      <x:c r="P615" s="12" t="str">
        <x:v>EXVV21G037</x:v>
      </x:c>
      <x:c r="Q615" s="12" t="str"/>
      <x:c r="R615" s="12" t="str"/>
      <x:c r="S615" s="12" t="str"/>
      <x:c r="T615" s="12" t="str">
        <x:v>ABM</x:v>
      </x:c>
      <x:c r="U615" s="12" t="str"/>
      <x:c r="V615" s="12" t="str"/>
      <x:c r="W615" s="12" t="str"/>
      <x:c r="X615" s="12" t="str">
        <x:v>EXVV21</x:v>
      </x:c>
      <x:c r="Y615" s="12" t="str">
        <x:v>FANGKI &amp; ACUNG</x:v>
      </x:c>
      <x:c r="Z615" s="12" t="str"/>
      <x:c r="AA615" s="32" t="n">
        <x:f>IFERROR(VLOOKUP(G615,Master_Unit!$A$2:$N$78,7,FALSE),"")</x:f>
        <x:v>20</x:v>
      </x:c>
      <x:c r="AB615" s="32" t="n">
        <x:f>IF(OR(N615="",AA615=""),"",N615-AA615)</x:f>
        <x:v>-5.494505494506074</x:v>
      </x:c>
      <x:c r="AC615" s="20" t="n">
        <x:f>IF(OR(N615="",AA615="",AA615=0),"",AB615/AA615)</x:f>
        <x:v>-0.27472527472530367</x:v>
      </x:c>
      <x:c r="AD615" t="str">
        <x:f>IF(AA615="","NO STANDARD",IF(AC615&lt;=Config_Status!$B$2,"EFFICIENT",IF(AC615&lt;=Config_Status!$B$3,"NORMAL",IF(AC615&lt;=Config_Status!$B$4,"WARNING","OVER CONSUMPTION"))))</x:f>
        <x:v>EFFICIENT</x:v>
      </x:c>
      <x:c r="AE615" t="str">
        <x:f>IFERROR(VLOOKUP(G615,Master_Unit!$A$2:$N$78,13,FALSE),"UNIT NOT FOUND")</x:f>
        <x:v>Matched</x:v>
      </x:c>
    </x:row>
    <x:row r="616">
      <x:c r="A616" s="12" t="str">
        <x:v>FU-20260609-00615</x:v>
      </x:c>
      <x:c r="B616" s="12" t="n">
        <x:v>745</x:v>
      </x:c>
      <x:c r="C616" s="14" t="n">
        <x:v>46182</x:v>
      </x:c>
      <x:c r="D616" s="12" t="str">
        <x:v>Selasa</x:v>
      </x:c>
      <x:c r="E616" s="12" t="str">
        <x:v>07:21:00</x:v>
      </x:c>
      <x:c r="F616" s="12" t="str">
        <x:v>All Shift Day</x:v>
      </x:c>
      <x:c r="G616" s="12" t="str">
        <x:v>STRL44G134</x:v>
      </x:c>
      <x:c r="H616" s="12" t="str">
        <x:v>Dump Truck</x:v>
      </x:c>
      <x:c r="I616" s="12" t="str">
        <x:v>DUMP TRUCK RENAULT KRANGE440-P6X4 A/T</x:v>
      </x:c>
      <x:c r="J616" s="16" t="n">
        <x:v>73</x:v>
      </x:c>
      <x:c r="K616" s="16" t="n">
        <x:v>5662</x:v>
      </x:c>
      <x:c r="L616" s="16" t="n">
        <x:v>5679</x:v>
      </x:c>
      <x:c r="M616" s="16" t="n">
        <x:v>17</x:v>
      </x:c>
      <x:c r="N616" s="16" t="n">
        <x:v>4.294117647058823</x:v>
      </x:c>
      <x:c r="O616" s="12" t="str">
        <x:v>FTRL44G004</x:v>
      </x:c>
      <x:c r="P616" s="12" t="str">
        <x:v>STRL44G134</x:v>
      </x:c>
      <x:c r="Q616" s="12" t="str"/>
      <x:c r="R616" s="12" t="str"/>
      <x:c r="S616" s="12" t="str"/>
      <x:c r="T616" s="12" t="str">
        <x:v>ABM</x:v>
      </x:c>
      <x:c r="U616" s="12" t="str"/>
      <x:c r="V616" s="12" t="str"/>
      <x:c r="W616" s="12" t="str"/>
      <x:c r="X616" s="12" t="str">
        <x:v>STRL44</x:v>
      </x:c>
      <x:c r="Y616" s="12" t="str">
        <x:v>FANGKI &amp; ACUNG</x:v>
      </x:c>
      <x:c r="Z616" s="12" t="str"/>
      <x:c r="AA616" s="32" t="n">
        <x:f>IFERROR(VLOOKUP(G616,Master_Unit!$A$2:$N$78,7,FALSE),"")</x:f>
        <x:v>20</x:v>
      </x:c>
      <x:c r="AB616" s="32" t="n">
        <x:f>IF(OR(N616="",AA616=""),"",N616-AA616)</x:f>
        <x:v>-15.705882352941178</x:v>
      </x:c>
      <x:c r="AC616" s="20" t="n">
        <x:f>IF(OR(N616="",AA616="",AA616=0),"",AB616/AA616)</x:f>
        <x:v>-0.7852941176470589</x:v>
      </x:c>
      <x:c r="AD616" t="str">
        <x:f>IF(AA616="","NO STANDARD",IF(AC616&lt;=Config_Status!$B$2,"EFFICIENT",IF(AC616&lt;=Config_Status!$B$3,"NORMAL",IF(AC616&lt;=Config_Status!$B$4,"WARNING","OVER CONSUMPTION"))))</x:f>
        <x:v>EFFICIENT</x:v>
      </x:c>
      <x:c r="AE616" t="str">
        <x:f>IFERROR(VLOOKUP(G616,Master_Unit!$A$2:$N$78,13,FALSE),"UNIT NOT FOUND")</x:f>
        <x:v>Matched</x:v>
      </x:c>
    </x:row>
    <x:row r="617">
      <x:c r="A617" s="12" t="str">
        <x:v>FU-20260609-00616</x:v>
      </x:c>
      <x:c r="B617" s="12" t="n">
        <x:v>746</x:v>
      </x:c>
      <x:c r="C617" s="14" t="n">
        <x:v>46182</x:v>
      </x:c>
      <x:c r="D617" s="12" t="str">
        <x:v>Selasa</x:v>
      </x:c>
      <x:c r="E617" s="12" t="str">
        <x:v>07:27:00</x:v>
      </x:c>
      <x:c r="F617" s="12" t="str">
        <x:v>All Shift Day</x:v>
      </x:c>
      <x:c r="G617" s="12" t="str">
        <x:v>STRL44G147</x:v>
      </x:c>
      <x:c r="H617" s="12" t="str">
        <x:v>Dump Truck</x:v>
      </x:c>
      <x:c r="I617" s="12" t="str">
        <x:v>DUMP TRUCK RENAULT KRANGE440-P6X4 A/T</x:v>
      </x:c>
      <x:c r="J617" s="16" t="n">
        <x:v>85</x:v>
      </x:c>
      <x:c r="K617" s="16" t="n">
        <x:v>5019</x:v>
      </x:c>
      <x:c r="L617" s="16" t="n">
        <x:v>5024</x:v>
      </x:c>
      <x:c r="M617" s="16" t="n">
        <x:v>5</x:v>
      </x:c>
      <x:c r="N617" s="16" t="n">
        <x:v>17</x:v>
      </x:c>
      <x:c r="O617" s="12" t="str">
        <x:v>FTRL44G004</x:v>
      </x:c>
      <x:c r="P617" s="12" t="str">
        <x:v>STRL44G147</x:v>
      </x:c>
      <x:c r="Q617" s="12" t="str"/>
      <x:c r="R617" s="12" t="str"/>
      <x:c r="S617" s="12" t="str"/>
      <x:c r="T617" s="12" t="str">
        <x:v>ABM</x:v>
      </x:c>
      <x:c r="U617" s="12" t="str"/>
      <x:c r="V617" s="12" t="str"/>
      <x:c r="W617" s="12" t="str"/>
      <x:c r="X617" s="12" t="str">
        <x:v>STRL44</x:v>
      </x:c>
      <x:c r="Y617" s="12" t="str">
        <x:v>FANGKI &amp; ACUNG</x:v>
      </x:c>
      <x:c r="Z617" s="12" t="str"/>
      <x:c r="AA617" s="32" t="n">
        <x:f>IFERROR(VLOOKUP(G617,Master_Unit!$A$2:$N$78,7,FALSE),"")</x:f>
        <x:v>20</x:v>
      </x:c>
      <x:c r="AB617" s="32" t="n">
        <x:f>IF(OR(N617="",AA617=""),"",N617-AA617)</x:f>
        <x:v>-3</x:v>
      </x:c>
      <x:c r="AC617" s="20" t="n">
        <x:f>IF(OR(N617="",AA617="",AA617=0),"",AB617/AA617)</x:f>
        <x:v>-0.15</x:v>
      </x:c>
      <x:c r="AD617" t="str">
        <x:f>IF(AA617="","NO STANDARD",IF(AC617&lt;=Config_Status!$B$2,"EFFICIENT",IF(AC617&lt;=Config_Status!$B$3,"NORMAL",IF(AC617&lt;=Config_Status!$B$4,"WARNING","OVER CONSUMPTION"))))</x:f>
        <x:v>EFFICIENT</x:v>
      </x:c>
      <x:c r="AE617" t="str">
        <x:f>IFERROR(VLOOKUP(G617,Master_Unit!$A$2:$N$78,13,FALSE),"UNIT NOT FOUND")</x:f>
        <x:v>Matched</x:v>
      </x:c>
    </x:row>
    <x:row r="618">
      <x:c r="A618" s="12" t="str">
        <x:v>FU-20260609-00617</x:v>
      </x:c>
      <x:c r="B618" s="12" t="n">
        <x:v>747</x:v>
      </x:c>
      <x:c r="C618" s="14" t="n">
        <x:v>46182</x:v>
      </x:c>
      <x:c r="D618" s="12" t="str">
        <x:v>Selasa</x:v>
      </x:c>
      <x:c r="E618" s="12" t="str">
        <x:v>07:30:00</x:v>
      </x:c>
      <x:c r="F618" s="12" t="str">
        <x:v>All Shift Day</x:v>
      </x:c>
      <x:c r="G618" s="12" t="str">
        <x:v>LVTH24R034</x:v>
      </x:c>
      <x:c r="H618" s="12" t="str">
        <x:v>Light Vehicle</x:v>
      </x:c>
      <x:c r="I618" s="12" t="str">
        <x:v>LIGHT VEHICLE TOYOTA HILUX</x:v>
      </x:c>
      <x:c r="J618" s="16" t="n">
        <x:v>38</x:v>
      </x:c>
      <x:c r="K618" s="16" t="n">
        <x:v>48166</x:v>
      </x:c>
      <x:c r="L618" s="16" t="n">
        <x:v>48425</x:v>
      </x:c>
      <x:c r="M618" s="16" t="n">
        <x:v>259</x:v>
      </x:c>
      <x:c r="N618" s="16" t="n">
        <x:v>0.14671814671814673</x:v>
      </x:c>
      <x:c r="O618" s="12" t="str">
        <x:v>FTRL44G004</x:v>
      </x:c>
      <x:c r="P618" s="12" t="str">
        <x:v>LVTH24R034</x:v>
      </x:c>
      <x:c r="Q618" s="12" t="str"/>
      <x:c r="R618" s="12" t="str"/>
      <x:c r="S618" s="12" t="str"/>
      <x:c r="T618" s="12" t="str">
        <x:v>ABM</x:v>
      </x:c>
      <x:c r="U618" s="12" t="str"/>
      <x:c r="V618" s="12" t="str"/>
      <x:c r="W618" s="12" t="str"/>
      <x:c r="X618" s="12" t="str">
        <x:v>LVTH24</x:v>
      </x:c>
      <x:c r="Y618" s="12" t="str">
        <x:v>FANGKI &amp; ACUNG</x:v>
      </x:c>
      <x:c r="Z618" s="12" t="str"/>
      <x:c r="AA618" s="32" t="n">
        <x:f>IFERROR(VLOOKUP(G618,Master_Unit!$A$2:$N$78,7,FALSE),"")</x:f>
        <x:v>0.2</x:v>
      </x:c>
      <x:c r="AB618" s="32" t="n">
        <x:f>IF(OR(N618="",AA618=""),"",N618-AA618)</x:f>
        <x:v>-0.05328185328185328</x:v>
      </x:c>
      <x:c r="AC618" s="20" t="n">
        <x:f>IF(OR(N618="",AA618="",AA618=0),"",AB618/AA618)</x:f>
        <x:v>-0.2664092664092664</x:v>
      </x:c>
      <x:c r="AD618" t="str">
        <x:f>IF(AA618="","NO STANDARD",IF(AC618&lt;=Config_Status!$B$2,"EFFICIENT",IF(AC618&lt;=Config_Status!$B$3,"NORMAL",IF(AC618&lt;=Config_Status!$B$4,"WARNING","OVER CONSUMPTION"))))</x:f>
        <x:v>EFFICIENT</x:v>
      </x:c>
      <x:c r="AE618" t="str">
        <x:f>IFERROR(VLOOKUP(G618,Master_Unit!$A$2:$N$78,13,FALSE),"UNIT NOT FOUND")</x:f>
        <x:v>Matched</x:v>
      </x:c>
    </x:row>
    <x:row r="619">
      <x:c r="A619" s="12" t="str">
        <x:v>FU-20260609-00618</x:v>
      </x:c>
      <x:c r="B619" s="12" t="n">
        <x:v>748</x:v>
      </x:c>
      <x:c r="C619" s="14" t="n">
        <x:v>46182</x:v>
      </x:c>
      <x:c r="D619" s="12" t="str">
        <x:v>Selasa</x:v>
      </x:c>
      <x:c r="E619" s="12" t="str">
        <x:v>07:32:00</x:v>
      </x:c>
      <x:c r="F619" s="12" t="str">
        <x:v>All Shift Day</x:v>
      </x:c>
      <x:c r="G619" s="12" t="str">
        <x:v>STRL44G135</x:v>
      </x:c>
      <x:c r="H619" s="12" t="str">
        <x:v>Dump Truck</x:v>
      </x:c>
      <x:c r="I619" s="12" t="str">
        <x:v>DUMP TRUCK RENAULT KRANGE440-P6X4 A/T</x:v>
      </x:c>
      <x:c r="J619" s="16" t="n">
        <x:v>86</x:v>
      </x:c>
      <x:c r="K619" s="16" t="n">
        <x:v>5837</x:v>
      </x:c>
      <x:c r="L619" s="16" t="n">
        <x:v>5845</x:v>
      </x:c>
      <x:c r="M619" s="16" t="n">
        <x:v>8</x:v>
      </x:c>
      <x:c r="N619" s="16" t="n">
        <x:v>10.75</x:v>
      </x:c>
      <x:c r="O619" s="12" t="str">
        <x:v>FTRL44G004</x:v>
      </x:c>
      <x:c r="P619" s="12" t="str">
        <x:v>STRL44G135</x:v>
      </x:c>
      <x:c r="Q619" s="12" t="str"/>
      <x:c r="R619" s="12" t="str"/>
      <x:c r="S619" s="12" t="str"/>
      <x:c r="T619" s="12" t="str">
        <x:v>ABM</x:v>
      </x:c>
      <x:c r="U619" s="12" t="str"/>
      <x:c r="V619" s="12" t="str"/>
      <x:c r="W619" s="12" t="str"/>
      <x:c r="X619" s="12" t="str">
        <x:v>STRL44</x:v>
      </x:c>
      <x:c r="Y619" s="12" t="str">
        <x:v>FANGKI &amp; ACUNG</x:v>
      </x:c>
      <x:c r="Z619" s="12" t="str"/>
      <x:c r="AA619" s="32" t="n">
        <x:f>IFERROR(VLOOKUP(G619,Master_Unit!$A$2:$N$78,7,FALSE),"")</x:f>
        <x:v>20</x:v>
      </x:c>
      <x:c r="AB619" s="32" t="n">
        <x:f>IF(OR(N619="",AA619=""),"",N619-AA619)</x:f>
        <x:v>-9.25</x:v>
      </x:c>
      <x:c r="AC619" s="20" t="n">
        <x:f>IF(OR(N619="",AA619="",AA619=0),"",AB619/AA619)</x:f>
        <x:v>-0.4625</x:v>
      </x:c>
      <x:c r="AD619" t="str">
        <x:f>IF(AA619="","NO STANDARD",IF(AC619&lt;=Config_Status!$B$2,"EFFICIENT",IF(AC619&lt;=Config_Status!$B$3,"NORMAL",IF(AC619&lt;=Config_Status!$B$4,"WARNING","OVER CONSUMPTION"))))</x:f>
        <x:v>EFFICIENT</x:v>
      </x:c>
      <x:c r="AE619" t="str">
        <x:f>IFERROR(VLOOKUP(G619,Master_Unit!$A$2:$N$78,13,FALSE),"UNIT NOT FOUND")</x:f>
        <x:v>Matched</x:v>
      </x:c>
    </x:row>
    <x:row r="620">
      <x:c r="A620" s="12" t="str">
        <x:v>FU-20260609-00619</x:v>
      </x:c>
      <x:c r="B620" s="12" t="n">
        <x:v>749</x:v>
      </x:c>
      <x:c r="C620" s="14" t="n">
        <x:v>46182</x:v>
      </x:c>
      <x:c r="D620" s="12" t="str">
        <x:v>Selasa</x:v>
      </x:c>
      <x:c r="E620" s="12" t="str">
        <x:v>07:35:00</x:v>
      </x:c>
      <x:c r="F620" s="12" t="str">
        <x:v>All Shift Day</x:v>
      </x:c>
      <x:c r="G620" s="12" t="str">
        <x:v>LVTH24R035</x:v>
      </x:c>
      <x:c r="H620" s="12" t="str">
        <x:v>Light Vehicle</x:v>
      </x:c>
      <x:c r="I620" s="12" t="str">
        <x:v>LIGHT VEHICLE TOYOTA HILUX</x:v>
      </x:c>
      <x:c r="J620" s="16" t="n">
        <x:v>30</x:v>
      </x:c>
      <x:c r="K620" s="16" t="n">
        <x:v>69725</x:v>
      </x:c>
      <x:c r="L620" s="16" t="n">
        <x:v>69838</x:v>
      </x:c>
      <x:c r="M620" s="16" t="n">
        <x:v>113</x:v>
      </x:c>
      <x:c r="N620" s="16" t="n">
        <x:v>0.26548672566371684</x:v>
      </x:c>
      <x:c r="O620" s="12" t="str">
        <x:v>FTRL44G004</x:v>
      </x:c>
      <x:c r="P620" s="12" t="str">
        <x:v>LVTH24R035</x:v>
      </x:c>
      <x:c r="Q620" s="12" t="str"/>
      <x:c r="R620" s="12" t="str"/>
      <x:c r="S620" s="12" t="str"/>
      <x:c r="T620" s="12" t="str">
        <x:v>ABM</x:v>
      </x:c>
      <x:c r="U620" s="12" t="str"/>
      <x:c r="V620" s="12" t="str"/>
      <x:c r="W620" s="12" t="str"/>
      <x:c r="X620" s="12" t="str">
        <x:v>LVTH24</x:v>
      </x:c>
      <x:c r="Y620" s="12" t="str">
        <x:v>FANGKI &amp; ACUNG</x:v>
      </x:c>
      <x:c r="Z620" s="12" t="str"/>
      <x:c r="AA620" s="32" t="n">
        <x:f>IFERROR(VLOOKUP(G620,Master_Unit!$A$2:$N$78,7,FALSE),"")</x:f>
        <x:v>0.2</x:v>
      </x:c>
      <x:c r="AB620" s="32" t="n">
        <x:f>IF(OR(N620="",AA620=""),"",N620-AA620)</x:f>
        <x:v>0.06548672566371683</x:v>
      </x:c>
      <x:c r="AC620" s="20" t="n">
        <x:f>IF(OR(N620="",AA620="",AA620=0),"",AB620/AA620)</x:f>
        <x:v>0.32743362831858414</x:v>
      </x:c>
      <x:c r="AD620" t="str">
        <x:f>IF(AA620="","NO STANDARD",IF(AC620&lt;=Config_Status!$B$2,"EFFICIENT",IF(AC620&lt;=Config_Status!$B$3,"NORMAL",IF(AC620&lt;=Config_Status!$B$4,"WARNING","OVER CONSUMPTION"))))</x:f>
        <x:v>OVER CONSUMPTION</x:v>
      </x:c>
      <x:c r="AE620" t="str">
        <x:f>IFERROR(VLOOKUP(G620,Master_Unit!$A$2:$N$78,13,FALSE),"UNIT NOT FOUND")</x:f>
        <x:v>Matched</x:v>
      </x:c>
    </x:row>
    <x:row r="621">
      <x:c r="A621" s="12" t="str">
        <x:v>FU-20260609-00620</x:v>
      </x:c>
      <x:c r="B621" s="12" t="n">
        <x:v>750</x:v>
      </x:c>
      <x:c r="C621" s="14" t="n">
        <x:v>46182</x:v>
      </x:c>
      <x:c r="D621" s="12" t="str">
        <x:v>Selasa</x:v>
      </x:c>
      <x:c r="E621" s="12" t="str">
        <x:v>07:37:00</x:v>
      </x:c>
      <x:c r="F621" s="12" t="str">
        <x:v>All Shift Day</x:v>
      </x:c>
      <x:c r="G621" s="12" t="str">
        <x:v>STRL44G137</x:v>
      </x:c>
      <x:c r="H621" s="12" t="str">
        <x:v>Dump Truck</x:v>
      </x:c>
      <x:c r="I621" s="12" t="str">
        <x:v>DUMP TRUCK RENAULT KRANGE440-P6X4 A/T</x:v>
      </x:c>
      <x:c r="J621" s="16" t="n">
        <x:v>95</x:v>
      </x:c>
      <x:c r="K621" s="16" t="n">
        <x:v>6397</x:v>
      </x:c>
      <x:c r="L621" s="16" t="n">
        <x:v>6414</x:v>
      </x:c>
      <x:c r="M621" s="16" t="n">
        <x:v>17</x:v>
      </x:c>
      <x:c r="N621" s="16" t="n">
        <x:v>5.588235294117647</x:v>
      </x:c>
      <x:c r="O621" s="12" t="str">
        <x:v>FTRL44G004</x:v>
      </x:c>
      <x:c r="P621" s="12" t="str">
        <x:v>STRL44G137</x:v>
      </x:c>
      <x:c r="Q621" s="12" t="str"/>
      <x:c r="R621" s="12" t="str"/>
      <x:c r="S621" s="12" t="str"/>
      <x:c r="T621" s="12" t="str">
        <x:v>ABM</x:v>
      </x:c>
      <x:c r="U621" s="12" t="str"/>
      <x:c r="V621" s="12" t="str"/>
      <x:c r="W621" s="12" t="str"/>
      <x:c r="X621" s="12" t="str">
        <x:v>STRL44</x:v>
      </x:c>
      <x:c r="Y621" s="12" t="str">
        <x:v>FANGKI &amp; ACUNG</x:v>
      </x:c>
      <x:c r="Z621" s="12" t="str"/>
      <x:c r="AA621" s="32" t="n">
        <x:f>IFERROR(VLOOKUP(G621,Master_Unit!$A$2:$N$78,7,FALSE),"")</x:f>
        <x:v>20</x:v>
      </x:c>
      <x:c r="AB621" s="32" t="n">
        <x:f>IF(OR(N621="",AA621=""),"",N621-AA621)</x:f>
        <x:v>-14.411764705882353</x:v>
      </x:c>
      <x:c r="AC621" s="20" t="n">
        <x:f>IF(OR(N621="",AA621="",AA621=0),"",AB621/AA621)</x:f>
        <x:v>-0.7205882352941176</x:v>
      </x:c>
      <x:c r="AD621" t="str">
        <x:f>IF(AA621="","NO STANDARD",IF(AC621&lt;=Config_Status!$B$2,"EFFICIENT",IF(AC621&lt;=Config_Status!$B$3,"NORMAL",IF(AC621&lt;=Config_Status!$B$4,"WARNING","OVER CONSUMPTION"))))</x:f>
        <x:v>EFFICIENT</x:v>
      </x:c>
      <x:c r="AE621" t="str">
        <x:f>IFERROR(VLOOKUP(G621,Master_Unit!$A$2:$N$78,13,FALSE),"UNIT NOT FOUND")</x:f>
        <x:v>Matched</x:v>
      </x:c>
    </x:row>
    <x:row r="622">
      <x:c r="A622" s="12" t="str">
        <x:v>FU-20260609-00621</x:v>
      </x:c>
      <x:c r="B622" s="12" t="n">
        <x:v>751</x:v>
      </x:c>
      <x:c r="C622" s="14" t="n">
        <x:v>46182</x:v>
      </x:c>
      <x:c r="D622" s="12" t="str">
        <x:v>Selasa</x:v>
      </x:c>
      <x:c r="E622" s="12" t="str">
        <x:v>07:50:00</x:v>
      </x:c>
      <x:c r="F622" s="12" t="str">
        <x:v>All Shift Day</x:v>
      </x:c>
      <x:c r="G622" s="12" t="str">
        <x:v>MHHN13G004</x:v>
      </x:c>
      <x:c r="H622" s="12" t="str">
        <x:v>Other</x:v>
      </x:c>
      <x:c r="I622" s="12" t="str">
        <x:v>MAIN HAUL HINO 136-HDL</x:v>
      </x:c>
      <x:c r="J622" s="16" t="n">
        <x:v>32</x:v>
      </x:c>
      <x:c r="K622" s="16" t="n">
        <x:v>13626</x:v>
      </x:c>
      <x:c r="L622" s="16" t="n">
        <x:v>13633</x:v>
      </x:c>
      <x:c r="M622" s="16" t="n">
        <x:v>7</x:v>
      </x:c>
      <x:c r="N622" s="16" t="n">
        <x:v>4.571428571428571</x:v>
      </x:c>
      <x:c r="O622" s="12" t="str">
        <x:v>FTRL44G004</x:v>
      </x:c>
      <x:c r="P622" s="12" t="str">
        <x:v>MHHN13G004</x:v>
      </x:c>
      <x:c r="Q622" s="12" t="str"/>
      <x:c r="R622" s="12" t="str"/>
      <x:c r="S622" s="12" t="str"/>
      <x:c r="T622" s="12" t="str">
        <x:v>ABM</x:v>
      </x:c>
      <x:c r="U622" s="12" t="str"/>
      <x:c r="V622" s="12" t="str"/>
      <x:c r="W622" s="12" t="str"/>
      <x:c r="X622" s="12" t="str">
        <x:v>MHHN13</x:v>
      </x:c>
      <x:c r="Y622" s="12" t="str">
        <x:v>FANGKI &amp; ACUNG</x:v>
      </x:c>
      <x:c r="Z622" s="12" t="str"/>
      <x:c r="AA622" s="32" t="n">
        <x:f>IFERROR(VLOOKUP(G622,Master_Unit!$A$2:$N$78,7,FALSE),"")</x:f>
        <x:v>0.5</x:v>
      </x:c>
      <x:c r="AB622" s="32" t="n">
        <x:f>IF(OR(N622="",AA622=""),"",N622-AA622)</x:f>
        <x:v>4.071428571428571</x:v>
      </x:c>
      <x:c r="AC622" s="20" t="n">
        <x:f>IF(OR(N622="",AA622="",AA622=0),"",AB622/AA622)</x:f>
        <x:v>8.142857142857142</x:v>
      </x:c>
      <x:c r="AD622" t="str">
        <x:f>IF(AA622="","NO STANDARD",IF(AC622&lt;=Config_Status!$B$2,"EFFICIENT",IF(AC622&lt;=Config_Status!$B$3,"NORMAL",IF(AC622&lt;=Config_Status!$B$4,"WARNING","OVER CONSUMPTION"))))</x:f>
        <x:v>OVER CONSUMPTION</x:v>
      </x:c>
      <x:c r="AE622" t="str">
        <x:f>IFERROR(VLOOKUP(G622,Master_Unit!$A$2:$N$78,13,FALSE),"UNIT NOT FOUND")</x:f>
        <x:v>Matched</x:v>
      </x:c>
    </x:row>
    <x:row r="623">
      <x:c r="A623" s="12" t="str">
        <x:v>FU-20260609-00622</x:v>
      </x:c>
      <x:c r="B623" s="12" t="n">
        <x:v>752</x:v>
      </x:c>
      <x:c r="C623" s="14" t="n">
        <x:v>46182</x:v>
      </x:c>
      <x:c r="D623" s="12" t="str">
        <x:v>Selasa</x:v>
      </x:c>
      <x:c r="E623" s="12" t="str">
        <x:v>07:54:00</x:v>
      </x:c>
      <x:c r="F623" s="12" t="str">
        <x:v>All Shift Day</x:v>
      </x:c>
      <x:c r="G623" s="12" t="str">
        <x:v>LVTH24R033</x:v>
      </x:c>
      <x:c r="H623" s="12" t="str">
        <x:v>Light Vehicle</x:v>
      </x:c>
      <x:c r="I623" s="12" t="str">
        <x:v>LIGHT VEHICLE TOYOTA HILUX</x:v>
      </x:c>
      <x:c r="J623" s="16" t="n">
        <x:v>31</x:v>
      </x:c>
      <x:c r="K623" s="16" t="n">
        <x:v>138612</x:v>
      </x:c>
      <x:c r="L623" s="16" t="n">
        <x:v>138760</x:v>
      </x:c>
      <x:c r="M623" s="16" t="n">
        <x:v>148</x:v>
      </x:c>
      <x:c r="N623" s="16" t="n">
        <x:v>0.20945945945945946</x:v>
      </x:c>
      <x:c r="O623" s="12" t="str">
        <x:v>FTRL44G004</x:v>
      </x:c>
      <x:c r="P623" s="12" t="str">
        <x:v>LVTH24R033</x:v>
      </x:c>
      <x:c r="Q623" s="12" t="str"/>
      <x:c r="R623" s="12" t="str"/>
      <x:c r="S623" s="12" t="str"/>
      <x:c r="T623" s="12" t="str">
        <x:v>ABM</x:v>
      </x:c>
      <x:c r="U623" s="12" t="str"/>
      <x:c r="V623" s="12" t="str"/>
      <x:c r="W623" s="12" t="str"/>
      <x:c r="X623" s="12" t="str">
        <x:v>LVTH24</x:v>
      </x:c>
      <x:c r="Y623" s="12" t="str">
        <x:v>FANGKI &amp; ACUNG</x:v>
      </x:c>
      <x:c r="Z623" s="12" t="str"/>
      <x:c r="AA623" s="32" t="n">
        <x:f>IFERROR(VLOOKUP(G623,Master_Unit!$A$2:$N$78,7,FALSE),"")</x:f>
        <x:v>0.2</x:v>
      </x:c>
      <x:c r="AB623" s="32" t="n">
        <x:f>IF(OR(N623="",AA623=""),"",N623-AA623)</x:f>
        <x:v>0.009459459459459446</x:v>
      </x:c>
      <x:c r="AC623" s="20" t="n">
        <x:f>IF(OR(N623="",AA623="",AA623=0),"",AB623/AA623)</x:f>
        <x:v>0.04729729729729723</x:v>
      </x:c>
      <x:c r="AD623" t="str">
        <x:f>IF(AA623="","NO STANDARD",IF(AC623&lt;=Config_Status!$B$2,"EFFICIENT",IF(AC623&lt;=Config_Status!$B$3,"NORMAL",IF(AC623&lt;=Config_Status!$B$4,"WARNING","OVER CONSUMPTION"))))</x:f>
        <x:v>NORMAL</x:v>
      </x:c>
      <x:c r="AE623" t="str">
        <x:f>IFERROR(VLOOKUP(G623,Master_Unit!$A$2:$N$78,13,FALSE),"UNIT NOT FOUND")</x:f>
        <x:v>Matched</x:v>
      </x:c>
    </x:row>
    <x:row r="624">
      <x:c r="A624" s="12" t="str">
        <x:v>FU-20260609-00623</x:v>
      </x:c>
      <x:c r="B624" s="12" t="n">
        <x:v>753</x:v>
      </x:c>
      <x:c r="C624" s="14" t="n">
        <x:v>46182</x:v>
      </x:c>
      <x:c r="D624" s="12" t="str">
        <x:v>Selasa</x:v>
      </x:c>
      <x:c r="E624" s="12" t="str">
        <x:v>08:12:00</x:v>
      </x:c>
      <x:c r="F624" s="12" t="str">
        <x:v>All Shift Day</x:v>
      </x:c>
      <x:c r="G624" s="12" t="str">
        <x:v>LTRL44G002</x:v>
      </x:c>
      <x:c r="H624" s="12" t="str">
        <x:v>Lube Truck</x:v>
      </x:c>
      <x:c r="I624" s="12" t="str">
        <x:v>LUBE TRUCK RENAULT KRANGE440-P6X4 A/T</x:v>
      </x:c>
      <x:c r="J624" s="16" t="n">
        <x:v>70</x:v>
      </x:c>
      <x:c r="K624" s="16" t="n">
        <x:v>2064</x:v>
      </x:c>
      <x:c r="L624" s="16" t="n">
        <x:v>2076</x:v>
      </x:c>
      <x:c r="M624" s="16" t="n">
        <x:v>12</x:v>
      </x:c>
      <x:c r="N624" s="16" t="n">
        <x:v>5.833333333333333</x:v>
      </x:c>
      <x:c r="O624" s="12" t="str">
        <x:v>FTRL44G004</x:v>
      </x:c>
      <x:c r="P624" s="12" t="str">
        <x:v>LTRL44G002</x:v>
      </x:c>
      <x:c r="Q624" s="12" t="str"/>
      <x:c r="R624" s="12" t="str"/>
      <x:c r="S624" s="12" t="str"/>
      <x:c r="T624" s="12" t="str">
        <x:v>ABM</x:v>
      </x:c>
      <x:c r="U624" s="12" t="str"/>
      <x:c r="V624" s="12" t="str"/>
      <x:c r="W624" s="12" t="str"/>
      <x:c r="X624" s="12" t="str">
        <x:v>LTRL44</x:v>
      </x:c>
      <x:c r="Y624" s="12" t="str">
        <x:v>FANGKI &amp; ACUNG</x:v>
      </x:c>
      <x:c r="Z624" s="12" t="str"/>
      <x:c r="AA624" s="32" t="n">
        <x:f>IFERROR(VLOOKUP(G624,Master_Unit!$A$2:$N$78,7,FALSE),"")</x:f>
        <x:v>20</x:v>
      </x:c>
      <x:c r="AB624" s="32" t="n">
        <x:f>IF(OR(N624="",AA624=""),"",N624-AA624)</x:f>
        <x:v>-14.166666666666668</x:v>
      </x:c>
      <x:c r="AC624" s="20" t="n">
        <x:f>IF(OR(N624="",AA624="",AA624=0),"",AB624/AA624)</x:f>
        <x:v>-0.7083333333333334</x:v>
      </x:c>
      <x:c r="AD624" t="str">
        <x:f>IF(AA624="","NO STANDARD",IF(AC624&lt;=Config_Status!$B$2,"EFFICIENT",IF(AC624&lt;=Config_Status!$B$3,"NORMAL",IF(AC624&lt;=Config_Status!$B$4,"WARNING","OVER CONSUMPTION"))))</x:f>
        <x:v>EFFICIENT</x:v>
      </x:c>
      <x:c r="AE624" t="str">
        <x:f>IFERROR(VLOOKUP(G624,Master_Unit!$A$2:$N$78,13,FALSE),"UNIT NOT FOUND")</x:f>
        <x:v>Matched</x:v>
      </x:c>
    </x:row>
    <x:row r="625">
      <x:c r="A625" s="12" t="str">
        <x:v>FU-20260609-00624</x:v>
      </x:c>
      <x:c r="B625" s="12" t="n">
        <x:v>754</x:v>
      </x:c>
      <x:c r="C625" s="14" t="n">
        <x:v>46182</x:v>
      </x:c>
      <x:c r="D625" s="12" t="str">
        <x:v>Selasa</x:v>
      </x:c>
      <x:c r="E625" s="12" t="str">
        <x:v>09:13:00</x:v>
      </x:c>
      <x:c r="F625" s="12" t="str">
        <x:v>All Shift Day</x:v>
      </x:c>
      <x:c r="G625" s="12" t="str">
        <x:v>STRL44G156</x:v>
      </x:c>
      <x:c r="H625" s="12" t="str">
        <x:v>Dump Truck</x:v>
      </x:c>
      <x:c r="I625" s="12" t="str">
        <x:v>DUMP TRUCK RENAULT KRANGE440-P6X4 A/T</x:v>
      </x:c>
      <x:c r="J625" s="16" t="n">
        <x:v>131</x:v>
      </x:c>
      <x:c r="K625" s="16" t="n">
        <x:v>3780</x:v>
      </x:c>
      <x:c r="L625" s="16" t="n">
        <x:v>3784</x:v>
      </x:c>
      <x:c r="M625" s="16" t="n">
        <x:v>4</x:v>
      </x:c>
      <x:c r="N625" s="16" t="n">
        <x:v>32.75</x:v>
      </x:c>
      <x:c r="O625" s="12" t="str">
        <x:v>FTRL44G004</x:v>
      </x:c>
      <x:c r="P625" s="12" t="str">
        <x:v>STRL44G156</x:v>
      </x:c>
      <x:c r="Q625" s="12" t="str"/>
      <x:c r="R625" s="12" t="str"/>
      <x:c r="S625" s="12" t="str"/>
      <x:c r="T625" s="12" t="str">
        <x:v>ABM</x:v>
      </x:c>
      <x:c r="U625" s="12" t="str"/>
      <x:c r="V625" s="12" t="str"/>
      <x:c r="W625" s="12" t="str"/>
      <x:c r="X625" s="12" t="str">
        <x:v>STRL44</x:v>
      </x:c>
      <x:c r="Y625" s="12" t="str">
        <x:v>FANGKI &amp; ACUNG</x:v>
      </x:c>
      <x:c r="Z625" s="12" t="str"/>
      <x:c r="AA625" s="32" t="n">
        <x:f>IFERROR(VLOOKUP(G625,Master_Unit!$A$2:$N$78,7,FALSE),"")</x:f>
        <x:v>20</x:v>
      </x:c>
      <x:c r="AB625" s="32" t="n">
        <x:f>IF(OR(N625="",AA625=""),"",N625-AA625)</x:f>
        <x:v>12.75</x:v>
      </x:c>
      <x:c r="AC625" s="20" t="n">
        <x:f>IF(OR(N625="",AA625="",AA625=0),"",AB625/AA625)</x:f>
        <x:v>0.6375</x:v>
      </x:c>
      <x:c r="AD625" t="str">
        <x:f>IF(AA625="","NO STANDARD",IF(AC625&lt;=Config_Status!$B$2,"EFFICIENT",IF(AC625&lt;=Config_Status!$B$3,"NORMAL",IF(AC625&lt;=Config_Status!$B$4,"WARNING","OVER CONSUMPTION"))))</x:f>
        <x:v>OVER CONSUMPTION</x:v>
      </x:c>
      <x:c r="AE625" t="str">
        <x:f>IFERROR(VLOOKUP(G625,Master_Unit!$A$2:$N$78,13,FALSE),"UNIT NOT FOUND")</x:f>
        <x:v>Matched</x:v>
      </x:c>
    </x:row>
    <x:row r="626">
      <x:c r="A626" s="12" t="str">
        <x:v>FU-20260609-00625</x:v>
      </x:c>
      <x:c r="B626" s="12" t="n">
        <x:v>755</x:v>
      </x:c>
      <x:c r="C626" s="14" t="n">
        <x:v>46182</x:v>
      </x:c>
      <x:c r="D626" s="12" t="str">
        <x:v>Selasa</x:v>
      </x:c>
      <x:c r="E626" s="12" t="str">
        <x:v>09:16:00</x:v>
      </x:c>
      <x:c r="F626" s="12" t="str">
        <x:v>All Shift Day</x:v>
      </x:c>
      <x:c r="G626" s="12" t="str">
        <x:v>LVTH24R052</x:v>
      </x:c>
      <x:c r="H626" s="12" t="str">
        <x:v>Light Vehicle</x:v>
      </x:c>
      <x:c r="I626" s="12" t="str">
        <x:v>LIGHT VEHICLE TOYOTA HILUX</x:v>
      </x:c>
      <x:c r="J626" s="16" t="n">
        <x:v>20</x:v>
      </x:c>
      <x:c r="K626" s="16" t="n">
        <x:v>13276</x:v>
      </x:c>
      <x:c r="L626" s="16" t="n">
        <x:v>13365</x:v>
      </x:c>
      <x:c r="M626" s="16" t="n">
        <x:v>89</x:v>
      </x:c>
      <x:c r="N626" s="16" t="n">
        <x:v>0.2247191011235955</x:v>
      </x:c>
      <x:c r="O626" s="12" t="str">
        <x:v>FTRL44G004</x:v>
      </x:c>
      <x:c r="P626" s="12" t="str">
        <x:v>LVTH24R052</x:v>
      </x:c>
      <x:c r="Q626" s="12" t="str"/>
      <x:c r="R626" s="12" t="str"/>
      <x:c r="S626" s="12" t="str"/>
      <x:c r="T626" s="12" t="str">
        <x:v>ABM</x:v>
      </x:c>
      <x:c r="U626" s="12" t="str"/>
      <x:c r="V626" s="12" t="str"/>
      <x:c r="W626" s="12" t="str"/>
      <x:c r="X626" s="12" t="str">
        <x:v>LVTH24</x:v>
      </x:c>
      <x:c r="Y626" s="12" t="str">
        <x:v>FANGKI &amp; ACUNG</x:v>
      </x:c>
      <x:c r="Z626" s="12" t="str"/>
      <x:c r="AA626" s="32" t="n">
        <x:f>IFERROR(VLOOKUP(G626,Master_Unit!$A$2:$N$78,7,FALSE),"")</x:f>
        <x:v>0.2</x:v>
      </x:c>
      <x:c r="AB626" s="32" t="n">
        <x:f>IF(OR(N626="",AA626=""),"",N626-AA626)</x:f>
        <x:v>0.02471910112359549</x:v>
      </x:c>
      <x:c r="AC626" s="20" t="n">
        <x:f>IF(OR(N626="",AA626="",AA626=0),"",AB626/AA626)</x:f>
        <x:v>0.12359550561797744</x:v>
      </x:c>
      <x:c r="AD626" t="str">
        <x:f>IF(AA626="","NO STANDARD",IF(AC626&lt;=Config_Status!$B$2,"EFFICIENT",IF(AC626&lt;=Config_Status!$B$3,"NORMAL",IF(AC626&lt;=Config_Status!$B$4,"WARNING","OVER CONSUMPTION"))))</x:f>
        <x:v>WARNING</x:v>
      </x:c>
      <x:c r="AE626" t="str">
        <x:f>IFERROR(VLOOKUP(G626,Master_Unit!$A$2:$N$78,13,FALSE),"UNIT NOT FOUND")</x:f>
        <x:v>Matched</x:v>
      </x:c>
    </x:row>
    <x:row r="627">
      <x:c r="A627" s="12" t="str">
        <x:v>FU-20260609-00626</x:v>
      </x:c>
      <x:c r="B627" s="12" t="n">
        <x:v>756</x:v>
      </x:c>
      <x:c r="C627" s="14" t="n">
        <x:v>46182</x:v>
      </x:c>
      <x:c r="D627" s="12" t="str">
        <x:v>Selasa</x:v>
      </x:c>
      <x:c r="E627" s="12" t="str">
        <x:v>09:22:00</x:v>
      </x:c>
      <x:c r="F627" s="12" t="str">
        <x:v>All Shift Day</x:v>
      </x:c>
      <x:c r="G627" s="12" t="str">
        <x:v>EXVV21G040</x:v>
      </x:c>
      <x:c r="H627" s="12" t="str">
        <x:v>Excavator</x:v>
      </x:c>
      <x:c r="I627" s="12" t="str">
        <x:v>EXCAVATOR VOLVO EC210D</x:v>
      </x:c>
      <x:c r="J627" s="16" t="n">
        <x:v>142</x:v>
      </x:c>
      <x:c r="K627" s="16" t="n">
        <x:v>6568.7</x:v>
      </x:c>
      <x:c r="L627" s="16" t="n">
        <x:v>6578.4</x:v>
      </x:c>
      <x:c r="M627" s="16" t="n">
        <x:v>9.699999999999818</x:v>
      </x:c>
      <x:c r="N627" s="16" t="n">
        <x:v>14.639175257732234</x:v>
      </x:c>
      <x:c r="O627" s="12" t="str">
        <x:v>FTRL44G004</x:v>
      </x:c>
      <x:c r="P627" s="12" t="str">
        <x:v>EXVV21G040</x:v>
      </x:c>
      <x:c r="Q627" s="12" t="str"/>
      <x:c r="R627" s="12" t="str"/>
      <x:c r="S627" s="12" t="str"/>
      <x:c r="T627" s="12" t="str">
        <x:v>ABM</x:v>
      </x:c>
      <x:c r="U627" s="12" t="str"/>
      <x:c r="V627" s="12" t="str"/>
      <x:c r="W627" s="12" t="str"/>
      <x:c r="X627" s="12" t="str">
        <x:v>EXVV21</x:v>
      </x:c>
      <x:c r="Y627" s="12" t="str">
        <x:v>FANGKI &amp; ACUNG</x:v>
      </x:c>
      <x:c r="Z627" s="12" t="str"/>
      <x:c r="AA627" s="32" t="n">
        <x:f>IFERROR(VLOOKUP(G627,Master_Unit!$A$2:$N$78,7,FALSE),"")</x:f>
        <x:v>20</x:v>
      </x:c>
      <x:c r="AB627" s="32" t="n">
        <x:f>IF(OR(N627="",AA627=""),"",N627-AA627)</x:f>
        <x:v>-5.360824742267766</x:v>
      </x:c>
      <x:c r="AC627" s="20" t="n">
        <x:f>IF(OR(N627="",AA627="",AA627=0),"",AB627/AA627)</x:f>
        <x:v>-0.26804123711338834</x:v>
      </x:c>
      <x:c r="AD627" t="str">
        <x:f>IF(AA627="","NO STANDARD",IF(AC627&lt;=Config_Status!$B$2,"EFFICIENT",IF(AC627&lt;=Config_Status!$B$3,"NORMAL",IF(AC627&lt;=Config_Status!$B$4,"WARNING","OVER CONSUMPTION"))))</x:f>
        <x:v>EFFICIENT</x:v>
      </x:c>
      <x:c r="AE627" t="str">
        <x:f>IFERROR(VLOOKUP(G627,Master_Unit!$A$2:$N$78,13,FALSE),"UNIT NOT FOUND")</x:f>
        <x:v>Matched</x:v>
      </x:c>
    </x:row>
    <x:row r="628">
      <x:c r="A628" s="12" t="str">
        <x:v>FU-20260609-00627</x:v>
      </x:c>
      <x:c r="B628" s="12" t="n">
        <x:v>757</x:v>
      </x:c>
      <x:c r="C628" s="14" t="n">
        <x:v>46182</x:v>
      </x:c>
      <x:c r="D628" s="12" t="str">
        <x:v>Selasa</x:v>
      </x:c>
      <x:c r="E628" s="12" t="str">
        <x:v>09:28:00</x:v>
      </x:c>
      <x:c r="F628" s="12" t="str">
        <x:v>All Shift Day</x:v>
      </x:c>
      <x:c r="G628" s="12" t="str">
        <x:v>GSHT10G002</x:v>
      </x:c>
      <x:c r="H628" s="12" t="str">
        <x:v>Genset</x:v>
      </x:c>
      <x:c r="I628" s="12" t="str">
        <x:v>GENSET HARTECH HT-10</x:v>
      </x:c>
      <x:c r="J628" s="16" t="n">
        <x:v>16</x:v>
      </x:c>
      <x:c r="K628" s="16" t="n">
        <x:v>8495.43</x:v>
      </x:c>
      <x:c r="L628" s="16" t="n">
        <x:v>8511.12</x:v>
      </x:c>
      <x:c r="M628" s="16" t="n">
        <x:v>15.69000000000051</x:v>
      </x:c>
      <x:c r="N628" s="16" t="n">
        <x:v>1.0197578075206808</x:v>
      </x:c>
      <x:c r="O628" s="12" t="str">
        <x:v>FTRL44G004</x:v>
      </x:c>
      <x:c r="P628" s="12" t="str">
        <x:v>GSHT10G002</x:v>
      </x:c>
      <x:c r="Q628" s="12" t="str"/>
      <x:c r="R628" s="12" t="str"/>
      <x:c r="S628" s="12" t="str"/>
      <x:c r="T628" s="12" t="str">
        <x:v>ABM</x:v>
      </x:c>
      <x:c r="U628" s="12" t="str"/>
      <x:c r="V628" s="12" t="str"/>
      <x:c r="W628" s="12" t="str"/>
      <x:c r="X628" s="12" t="str">
        <x:v>GSHT10</x:v>
      </x:c>
      <x:c r="Y628" s="12" t="str">
        <x:v>FANGKI &amp; ACUNG</x:v>
      </x:c>
      <x:c r="Z628" s="12" t="str"/>
      <x:c r="AA628" s="32" t="n">
        <x:f>IFERROR(VLOOKUP(G628,Master_Unit!$A$2:$N$78,7,FALSE),"")</x:f>
        <x:v>3</x:v>
      </x:c>
      <x:c r="AB628" s="32" t="n">
        <x:f>IF(OR(N628="",AA628=""),"",N628-AA628)</x:f>
        <x:v>-1.9802421924793192</x:v>
      </x:c>
      <x:c r="AC628" s="20" t="n">
        <x:f>IF(OR(N628="",AA628="",AA628=0),"",AB628/AA628)</x:f>
        <x:v>-0.6600807308264397</x:v>
      </x:c>
      <x:c r="AD628" t="str">
        <x:f>IF(AA628="","NO STANDARD",IF(AC628&lt;=Config_Status!$B$2,"EFFICIENT",IF(AC628&lt;=Config_Status!$B$3,"NORMAL",IF(AC628&lt;=Config_Status!$B$4,"WARNING","OVER CONSUMPTION"))))</x:f>
        <x:v>EFFICIENT</x:v>
      </x:c>
      <x:c r="AE628" t="str">
        <x:f>IFERROR(VLOOKUP(G628,Master_Unit!$A$2:$N$78,13,FALSE),"UNIT NOT FOUND")</x:f>
        <x:v>Matched</x:v>
      </x:c>
    </x:row>
    <x:row r="629">
      <x:c r="A629" s="12" t="str">
        <x:v>FU-20260609-00628</x:v>
      </x:c>
      <x:c r="B629" s="12" t="n">
        <x:v>758</x:v>
      </x:c>
      <x:c r="C629" s="14" t="n">
        <x:v>46182</x:v>
      </x:c>
      <x:c r="D629" s="12" t="str">
        <x:v>Selasa</x:v>
      </x:c>
      <x:c r="E629" s="12" t="str">
        <x:v>12:09:00</x:v>
      </x:c>
      <x:c r="F629" s="12" t="str">
        <x:v>All Shift Day</x:v>
      </x:c>
      <x:c r="G629" s="12" t="str">
        <x:v>EXVV35G007</x:v>
      </x:c>
      <x:c r="H629" s="12" t="str">
        <x:v>Excavator</x:v>
      </x:c>
      <x:c r="I629" s="12" t="str">
        <x:v>EXCAVATOR VOLVO EC350D</x:v>
      </x:c>
      <x:c r="J629" s="16" t="n">
        <x:v>231</x:v>
      </x:c>
      <x:c r="K629" s="16" t="n">
        <x:v>567.1</x:v>
      </x:c>
      <x:c r="L629" s="16" t="n">
        <x:v>573.2</x:v>
      </x:c>
      <x:c r="M629" s="16" t="n">
        <x:v>6.100000000000023</x:v>
      </x:c>
      <x:c r="N629" s="16" t="n">
        <x:v>37.86885245901625</x:v>
      </x:c>
      <x:c r="O629" s="12" t="str">
        <x:v>FTRL44G004</x:v>
      </x:c>
      <x:c r="P629" s="12" t="str">
        <x:v>EXVV35G007</x:v>
      </x:c>
      <x:c r="Q629" s="12" t="str"/>
      <x:c r="R629" s="12" t="str"/>
      <x:c r="S629" s="12" t="str"/>
      <x:c r="T629" s="12" t="str">
        <x:v>ABM</x:v>
      </x:c>
      <x:c r="U629" s="12" t="str"/>
      <x:c r="V629" s="12" t="str"/>
      <x:c r="W629" s="12" t="str"/>
      <x:c r="X629" s="12" t="str">
        <x:v>EXVV35</x:v>
      </x:c>
      <x:c r="Y629" s="12" t="str">
        <x:v>FANGKI &amp; ACUNG</x:v>
      </x:c>
      <x:c r="Z629" s="12" t="str"/>
      <x:c r="AA629" s="32" t="n">
        <x:f>IFERROR(VLOOKUP(G629,Master_Unit!$A$2:$N$78,7,FALSE),"")</x:f>
        <x:v>25</x:v>
      </x:c>
      <x:c r="AB629" s="32" t="n">
        <x:f>IF(OR(N629="",AA629=""),"",N629-AA629)</x:f>
        <x:v>12.868852459016253</x:v>
      </x:c>
      <x:c r="AC629" s="20" t="n">
        <x:f>IF(OR(N629="",AA629="",AA629=0),"",AB629/AA629)</x:f>
        <x:v>0.5147540983606501</x:v>
      </x:c>
      <x:c r="AD629" t="str">
        <x:f>IF(AA629="","NO STANDARD",IF(AC629&lt;=Config_Status!$B$2,"EFFICIENT",IF(AC629&lt;=Config_Status!$B$3,"NORMAL",IF(AC629&lt;=Config_Status!$B$4,"WARNING","OVER CONSUMPTION"))))</x:f>
        <x:v>OVER CONSUMPTION</x:v>
      </x:c>
      <x:c r="AE629" t="str">
        <x:f>IFERROR(VLOOKUP(G629,Master_Unit!$A$2:$N$78,13,FALSE),"UNIT NOT FOUND")</x:f>
        <x:v>Matched</x:v>
      </x:c>
    </x:row>
    <x:row r="630">
      <x:c r="A630" s="12" t="str">
        <x:v>FU-20260609-00629</x:v>
      </x:c>
      <x:c r="B630" s="12" t="n">
        <x:v>759</x:v>
      </x:c>
      <x:c r="C630" s="14" t="n">
        <x:v>46182</x:v>
      </x:c>
      <x:c r="D630" s="12" t="str">
        <x:v>Selasa</x:v>
      </x:c>
      <x:c r="E630" s="12" t="str">
        <x:v>12:13:00</x:v>
      </x:c>
      <x:c r="F630" s="12" t="str">
        <x:v>All Shift Day</x:v>
      </x:c>
      <x:c r="G630" s="12" t="str">
        <x:v>TLYM50G023</x:v>
      </x:c>
      <x:c r="H630" s="12" t="str">
        <x:v>Other</x:v>
      </x:c>
      <x:c r="I630" s="12" t="str">
        <x:v>TOWERLAMP YAMAGEN YDG5001SE-D-TLD4</x:v>
      </x:c>
      <x:c r="J630" s="16" t="n">
        <x:v>19</x:v>
      </x:c>
      <x:c r="K630" s="16" t="n">
        <x:v>4469.1</x:v>
      </x:c>
      <x:c r="L630" s="16" t="n">
        <x:v>4488.650000000001</x:v>
      </x:c>
      <x:c r="M630" s="16" t="n">
        <x:v>19.550000000000182</x:v>
      </x:c>
      <x:c r="N630" s="16" t="n">
        <x:v>0.9718670076726252</x:v>
      </x:c>
      <x:c r="O630" s="12" t="str">
        <x:v>FTRL44G004</x:v>
      </x:c>
      <x:c r="P630" s="12" t="str">
        <x:v>TLYM50G023</x:v>
      </x:c>
      <x:c r="Q630" s="12" t="str"/>
      <x:c r="R630" s="12" t="str"/>
      <x:c r="S630" s="12" t="str"/>
      <x:c r="T630" s="12" t="str">
        <x:v>ABM</x:v>
      </x:c>
      <x:c r="U630" s="12" t="str"/>
      <x:c r="V630" s="12" t="str"/>
      <x:c r="W630" s="12" t="str"/>
      <x:c r="X630" s="12" t="str">
        <x:v>TLYM50</x:v>
      </x:c>
      <x:c r="Y630" s="12" t="str">
        <x:v>FANGKI &amp; ACUNG</x:v>
      </x:c>
      <x:c r="Z630" s="12" t="str"/>
      <x:c r="AA630" s="32" t="n">
        <x:f>IFERROR(VLOOKUP(G630,Master_Unit!$A$2:$N$78,7,FALSE),"")</x:f>
        <x:v>2</x:v>
      </x:c>
      <x:c r="AB630" s="32" t="n">
        <x:f>IF(OR(N630="",AA630=""),"",N630-AA630)</x:f>
        <x:v>-1.0281329923273748</x:v>
      </x:c>
      <x:c r="AC630" s="20" t="n">
        <x:f>IF(OR(N630="",AA630="",AA630=0),"",AB630/AA630)</x:f>
        <x:v>-0.5140664961636874</x:v>
      </x:c>
      <x:c r="AD630" t="str">
        <x:f>IF(AA630="","NO STANDARD",IF(AC630&lt;=Config_Status!$B$2,"EFFICIENT",IF(AC630&lt;=Config_Status!$B$3,"NORMAL",IF(AC630&lt;=Config_Status!$B$4,"WARNING","OVER CONSUMPTION"))))</x:f>
        <x:v>EFFICIENT</x:v>
      </x:c>
      <x:c r="AE630" t="str">
        <x:f>IFERROR(VLOOKUP(G630,Master_Unit!$A$2:$N$78,13,FALSE),"UNIT NOT FOUND")</x:f>
        <x:v>Matched</x:v>
      </x:c>
    </x:row>
    <x:row r="631">
      <x:c r="A631" s="12" t="str">
        <x:v>FU-20260609-00630</x:v>
      </x:c>
      <x:c r="B631" s="12" t="n">
        <x:v>760</x:v>
      </x:c>
      <x:c r="C631" s="14" t="n">
        <x:v>46182</x:v>
      </x:c>
      <x:c r="D631" s="12" t="str">
        <x:v>Selasa</x:v>
      </x:c>
      <x:c r="E631" s="12" t="str">
        <x:v>12:16:00</x:v>
      </x:c>
      <x:c r="F631" s="12" t="str">
        <x:v>All Shift Day</x:v>
      </x:c>
      <x:c r="G631" s="12" t="str">
        <x:v>EXVV21G039</x:v>
      </x:c>
      <x:c r="H631" s="12" t="str">
        <x:v>Excavator</x:v>
      </x:c>
      <x:c r="I631" s="12" t="str">
        <x:v>EXCAVATOR VOLVO EC210D</x:v>
      </x:c>
      <x:c r="J631" s="16" t="n">
        <x:v>153</x:v>
      </x:c>
      <x:c r="K631" s="16" t="n">
        <x:v>6266.2</x:v>
      </x:c>
      <x:c r="L631" s="16" t="n">
        <x:v>6278.4</x:v>
      </x:c>
      <x:c r="M631" s="16" t="n">
        <x:v>12.199999999999818</x:v>
      </x:c>
      <x:c r="N631" s="16" t="n">
        <x:v>12.540983606557564</x:v>
      </x:c>
      <x:c r="O631" s="12" t="str">
        <x:v>FTRL44G004</x:v>
      </x:c>
      <x:c r="P631" s="12" t="str">
        <x:v>EXVV21G039</x:v>
      </x:c>
      <x:c r="Q631" s="12" t="str"/>
      <x:c r="R631" s="12" t="str"/>
      <x:c r="S631" s="12" t="str"/>
      <x:c r="T631" s="12" t="str">
        <x:v>ABM</x:v>
      </x:c>
      <x:c r="U631" s="12" t="str"/>
      <x:c r="V631" s="12" t="str"/>
      <x:c r="W631" s="12" t="str"/>
      <x:c r="X631" s="12" t="str">
        <x:v>EXVV21</x:v>
      </x:c>
      <x:c r="Y631" s="12" t="str">
        <x:v>FANGKI &amp; ACUNG</x:v>
      </x:c>
      <x:c r="Z631" s="12" t="str"/>
      <x:c r="AA631" s="32" t="n">
        <x:f>IFERROR(VLOOKUP(G631,Master_Unit!$A$2:$N$78,7,FALSE),"")</x:f>
        <x:v>20</x:v>
      </x:c>
      <x:c r="AB631" s="32" t="n">
        <x:f>IF(OR(N631="",AA631=""),"",N631-AA631)</x:f>
        <x:v>-7.459016393442436</x:v>
      </x:c>
      <x:c r="AC631" s="20" t="n">
        <x:f>IF(OR(N631="",AA631="",AA631=0),"",AB631/AA631)</x:f>
        <x:v>-0.3729508196721218</x:v>
      </x:c>
      <x:c r="AD631" t="str">
        <x:f>IF(AA631="","NO STANDARD",IF(AC631&lt;=Config_Status!$B$2,"EFFICIENT",IF(AC631&lt;=Config_Status!$B$3,"NORMAL",IF(AC631&lt;=Config_Status!$B$4,"WARNING","OVER CONSUMPTION"))))</x:f>
        <x:v>EFFICIENT</x:v>
      </x:c>
      <x:c r="AE631" t="str">
        <x:f>IFERROR(VLOOKUP(G631,Master_Unit!$A$2:$N$78,13,FALSE),"UNIT NOT FOUND")</x:f>
        <x:v>Matched</x:v>
      </x:c>
    </x:row>
    <x:row r="632">
      <x:c r="A632" s="12" t="str">
        <x:v>FU-20260609-00631</x:v>
      </x:c>
      <x:c r="B632" s="12" t="n">
        <x:v>761</x:v>
      </x:c>
      <x:c r="C632" s="14" t="n">
        <x:v>46182</x:v>
      </x:c>
      <x:c r="D632" s="12" t="str">
        <x:v>Selasa</x:v>
      </x:c>
      <x:c r="E632" s="12" t="str">
        <x:v>12:23:00</x:v>
      </x:c>
      <x:c r="F632" s="12" t="str">
        <x:v>All Shift Day</x:v>
      </x:c>
      <x:c r="G632" s="12" t="str">
        <x:v>EXVV21G036</x:v>
      </x:c>
      <x:c r="H632" s="12" t="str">
        <x:v>Excavator</x:v>
      </x:c>
      <x:c r="I632" s="12" t="str">
        <x:v>EXCAVATOR VOLVO EC210D</x:v>
      </x:c>
      <x:c r="J632" s="16" t="n">
        <x:v>162</x:v>
      </x:c>
      <x:c r="K632" s="16" t="n">
        <x:v>7556.8</x:v>
      </x:c>
      <x:c r="L632" s="16" t="n">
        <x:v>7569.1</x:v>
      </x:c>
      <x:c r="M632" s="16" t="n">
        <x:v>12.300000000000182</x:v>
      </x:c>
      <x:c r="N632" s="16" t="n">
        <x:v>13.170731707316879</x:v>
      </x:c>
      <x:c r="O632" s="12" t="str">
        <x:v>FTRL44G004</x:v>
      </x:c>
      <x:c r="P632" s="12" t="str">
        <x:v>EXVV21G036</x:v>
      </x:c>
      <x:c r="Q632" s="12" t="str"/>
      <x:c r="R632" s="12" t="str"/>
      <x:c r="S632" s="12" t="str"/>
      <x:c r="T632" s="12" t="str">
        <x:v>ABM</x:v>
      </x:c>
      <x:c r="U632" s="12" t="str"/>
      <x:c r="V632" s="12" t="str"/>
      <x:c r="W632" s="12" t="str"/>
      <x:c r="X632" s="12" t="str">
        <x:v>EXVV21</x:v>
      </x:c>
      <x:c r="Y632" s="12" t="str">
        <x:v>FANGKI &amp; ACUNG</x:v>
      </x:c>
      <x:c r="Z632" s="12" t="str"/>
      <x:c r="AA632" s="32" t="n">
        <x:f>IFERROR(VLOOKUP(G632,Master_Unit!$A$2:$N$78,7,FALSE),"")</x:f>
        <x:v>20</x:v>
      </x:c>
      <x:c r="AB632" s="32" t="n">
        <x:f>IF(OR(N632="",AA632=""),"",N632-AA632)</x:f>
        <x:v>-6.829268292683121</x:v>
      </x:c>
      <x:c r="AC632" s="20" t="n">
        <x:f>IF(OR(N632="",AA632="",AA632=0),"",AB632/AA632)</x:f>
        <x:v>-0.3414634146341561</x:v>
      </x:c>
      <x:c r="AD632" t="str">
        <x:f>IF(AA632="","NO STANDARD",IF(AC632&lt;=Config_Status!$B$2,"EFFICIENT",IF(AC632&lt;=Config_Status!$B$3,"NORMAL",IF(AC632&lt;=Config_Status!$B$4,"WARNING","OVER CONSUMPTION"))))</x:f>
        <x:v>EFFICIENT</x:v>
      </x:c>
      <x:c r="AE632" t="str">
        <x:f>IFERROR(VLOOKUP(G632,Master_Unit!$A$2:$N$78,13,FALSE),"UNIT NOT FOUND")</x:f>
        <x:v>Matched</x:v>
      </x:c>
    </x:row>
    <x:row r="633">
      <x:c r="A633" s="12" t="str">
        <x:v>FU-20260609-00632</x:v>
      </x:c>
      <x:c r="B633" s="12" t="n">
        <x:v>762</x:v>
      </x:c>
      <x:c r="C633" s="14" t="n">
        <x:v>46182</x:v>
      </x:c>
      <x:c r="D633" s="12" t="str">
        <x:v>Selasa</x:v>
      </x:c>
      <x:c r="E633" s="12" t="str">
        <x:v>12:27:00</x:v>
      </x:c>
      <x:c r="F633" s="12" t="str">
        <x:v>All Shift Day</x:v>
      </x:c>
      <x:c r="G633" s="12" t="str">
        <x:v>EXVV35G006</x:v>
      </x:c>
      <x:c r="H633" s="12" t="str">
        <x:v>Excavator</x:v>
      </x:c>
      <x:c r="I633" s="12" t="str">
        <x:v>EXCAVATOR VOLVO EC350D</x:v>
      </x:c>
      <x:c r="J633" s="16" t="n">
        <x:v>214</x:v>
      </x:c>
      <x:c r="K633" s="16" t="n">
        <x:v>3162.8</x:v>
      </x:c>
      <x:c r="L633" s="16" t="n">
        <x:v>3174</x:v>
      </x:c>
      <x:c r="M633" s="16" t="n">
        <x:v>11.199999999999818</x:v>
      </x:c>
      <x:c r="N633" s="16" t="n">
        <x:v>19.107142857143167</x:v>
      </x:c>
      <x:c r="O633" s="12" t="str">
        <x:v>FTRL44G004</x:v>
      </x:c>
      <x:c r="P633" s="12" t="str">
        <x:v>EXVV35G006</x:v>
      </x:c>
      <x:c r="Q633" s="12" t="str"/>
      <x:c r="R633" s="12" t="str"/>
      <x:c r="S633" s="12" t="str"/>
      <x:c r="T633" s="12" t="str">
        <x:v>ABM</x:v>
      </x:c>
      <x:c r="U633" s="12" t="str"/>
      <x:c r="V633" s="12" t="str"/>
      <x:c r="W633" s="12" t="str"/>
      <x:c r="X633" s="12" t="str">
        <x:v>EXVV35</x:v>
      </x:c>
      <x:c r="Y633" s="12" t="str">
        <x:v>FANGKI &amp; ACUNG</x:v>
      </x:c>
      <x:c r="Z633" s="12" t="str"/>
      <x:c r="AA633" s="32" t="n">
        <x:f>IFERROR(VLOOKUP(G633,Master_Unit!$A$2:$N$78,7,FALSE),"")</x:f>
        <x:v>25</x:v>
      </x:c>
      <x:c r="AB633" s="32" t="n">
        <x:f>IF(OR(N633="",AA633=""),"",N633-AA633)</x:f>
        <x:v>-5.892857142856833</x:v>
      </x:c>
      <x:c r="AC633" s="20" t="n">
        <x:f>IF(OR(N633="",AA633="",AA633=0),"",AB633/AA633)</x:f>
        <x:v>-0.23571428571427333</x:v>
      </x:c>
      <x:c r="AD633" t="str">
        <x:f>IF(AA633="","NO STANDARD",IF(AC633&lt;=Config_Status!$B$2,"EFFICIENT",IF(AC633&lt;=Config_Status!$B$3,"NORMAL",IF(AC633&lt;=Config_Status!$B$4,"WARNING","OVER CONSUMPTION"))))</x:f>
        <x:v>EFFICIENT</x:v>
      </x:c>
      <x:c r="AE633" t="str">
        <x:f>IFERROR(VLOOKUP(G633,Master_Unit!$A$2:$N$78,13,FALSE),"UNIT NOT FOUND")</x:f>
        <x:v>Matched</x:v>
      </x:c>
    </x:row>
    <x:row r="634">
      <x:c r="A634" s="12" t="str">
        <x:v>FU-20260609-00633</x:v>
      </x:c>
      <x:c r="B634" s="12" t="n">
        <x:v>763</x:v>
      </x:c>
      <x:c r="C634" s="14" t="n">
        <x:v>46182</x:v>
      </x:c>
      <x:c r="D634" s="12" t="str">
        <x:v>Selasa</x:v>
      </x:c>
      <x:c r="E634" s="12" t="str">
        <x:v>12:34:00</x:v>
      </x:c>
      <x:c r="F634" s="12" t="str">
        <x:v>All Shift Day</x:v>
      </x:c>
      <x:c r="G634" s="12" t="str">
        <x:v>TLYM50G019</x:v>
      </x:c>
      <x:c r="H634" s="12" t="str">
        <x:v>Other</x:v>
      </x:c>
      <x:c r="I634" s="12" t="str">
        <x:v>TOWERLAMP YAMAGEN YDG5001SE-D-TLD4</x:v>
      </x:c>
      <x:c r="J634" s="16" t="n">
        <x:v>17</x:v>
      </x:c>
      <x:c r="K634" s="16" t="n">
        <x:v>4662.15</x:v>
      </x:c>
      <x:c r="L634" s="16" t="n">
        <x:v>4681.15</x:v>
      </x:c>
      <x:c r="M634" s="16" t="n">
        <x:v>19</x:v>
      </x:c>
      <x:c r="N634" s="16" t="n">
        <x:v>0.8947368421052632</x:v>
      </x:c>
      <x:c r="O634" s="12" t="str">
        <x:v>FTRL44G004</x:v>
      </x:c>
      <x:c r="P634" s="12" t="str">
        <x:v>TLYM50G019</x:v>
      </x:c>
      <x:c r="Q634" s="12" t="str"/>
      <x:c r="R634" s="12" t="str"/>
      <x:c r="S634" s="12" t="str"/>
      <x:c r="T634" s="12" t="str">
        <x:v>ABM</x:v>
      </x:c>
      <x:c r="U634" s="12" t="str"/>
      <x:c r="V634" s="12" t="str"/>
      <x:c r="W634" s="12" t="str"/>
      <x:c r="X634" s="12" t="str">
        <x:v>TLYM50</x:v>
      </x:c>
      <x:c r="Y634" s="12" t="str">
        <x:v>FANGKI &amp; ACUNG</x:v>
      </x:c>
      <x:c r="Z634" s="12" t="str"/>
      <x:c r="AA634" s="32" t="n">
        <x:f>IFERROR(VLOOKUP(G634,Master_Unit!$A$2:$N$78,7,FALSE),"")</x:f>
        <x:v>2</x:v>
      </x:c>
      <x:c r="AB634" s="32" t="n">
        <x:f>IF(OR(N634="",AA634=""),"",N634-AA634)</x:f>
        <x:v>-1.1052631578947367</x:v>
      </x:c>
      <x:c r="AC634" s="20" t="n">
        <x:f>IF(OR(N634="",AA634="",AA634=0),"",AB634/AA634)</x:f>
        <x:v>-0.5526315789473684</x:v>
      </x:c>
      <x:c r="AD634" t="str">
        <x:f>IF(AA634="","NO STANDARD",IF(AC634&lt;=Config_Status!$B$2,"EFFICIENT",IF(AC634&lt;=Config_Status!$B$3,"NORMAL",IF(AC634&lt;=Config_Status!$B$4,"WARNING","OVER CONSUMPTION"))))</x:f>
        <x:v>EFFICIENT</x:v>
      </x:c>
      <x:c r="AE634" t="str">
        <x:f>IFERROR(VLOOKUP(G634,Master_Unit!$A$2:$N$78,13,FALSE),"UNIT NOT FOUND")</x:f>
        <x:v>Matched</x:v>
      </x:c>
    </x:row>
    <x:row r="635">
      <x:c r="A635" s="12" t="str">
        <x:v>FU-20260609-00634</x:v>
      </x:c>
      <x:c r="B635" s="12" t="n">
        <x:v>764</x:v>
      </x:c>
      <x:c r="C635" s="14" t="n">
        <x:v>46182</x:v>
      </x:c>
      <x:c r="D635" s="12" t="str">
        <x:v>Selasa</x:v>
      </x:c>
      <x:c r="E635" s="12" t="str">
        <x:v>12:38:00</x:v>
      </x:c>
      <x:c r="F635" s="12" t="str">
        <x:v>All Shift Day</x:v>
      </x:c>
      <x:c r="G635" s="12" t="str">
        <x:v>TLYM50G020</x:v>
      </x:c>
      <x:c r="H635" s="12" t="str">
        <x:v>Other</x:v>
      </x:c>
      <x:c r="I635" s="12" t="str">
        <x:v>TOWERLAMP YAMAGEN YDG5001SE-D-TLD4</x:v>
      </x:c>
      <x:c r="J635" s="16" t="n">
        <x:v>18</x:v>
      </x:c>
      <x:c r="K635" s="16" t="n">
        <x:v>4521.1</x:v>
      </x:c>
      <x:c r="L635" s="16" t="n">
        <x:v>4539.99</x:v>
      </x:c>
      <x:c r="M635" s="16" t="n">
        <x:v>18.889999999999418</x:v>
      </x:c>
      <x:c r="N635" s="16" t="n">
        <x:v>0.9528851244044761</x:v>
      </x:c>
      <x:c r="O635" s="12" t="str">
        <x:v>FTRL44G004</x:v>
      </x:c>
      <x:c r="P635" s="12" t="str">
        <x:v>TLYM50G020</x:v>
      </x:c>
      <x:c r="Q635" s="12" t="str"/>
      <x:c r="R635" s="12" t="str"/>
      <x:c r="S635" s="12" t="str"/>
      <x:c r="T635" s="12" t="str">
        <x:v>ABM</x:v>
      </x:c>
      <x:c r="U635" s="12" t="str"/>
      <x:c r="V635" s="12" t="str"/>
      <x:c r="W635" s="12" t="str"/>
      <x:c r="X635" s="12" t="str">
        <x:v>TLYM50</x:v>
      </x:c>
      <x:c r="Y635" s="12" t="str">
        <x:v>FANGKI &amp; ACUNG</x:v>
      </x:c>
      <x:c r="Z635" s="12" t="str"/>
      <x:c r="AA635" s="32" t="n">
        <x:f>IFERROR(VLOOKUP(G635,Master_Unit!$A$2:$N$78,7,FALSE),"")</x:f>
        <x:v>2</x:v>
      </x:c>
      <x:c r="AB635" s="32" t="n">
        <x:f>IF(OR(N635="",AA635=""),"",N635-AA635)</x:f>
        <x:v>-1.0471148755955237</x:v>
      </x:c>
      <x:c r="AC635" s="20" t="n">
        <x:f>IF(OR(N635="",AA635="",AA635=0),"",AB635/AA635)</x:f>
        <x:v>-0.5235574377977619</x:v>
      </x:c>
      <x:c r="AD635" t="str">
        <x:f>IF(AA635="","NO STANDARD",IF(AC635&lt;=Config_Status!$B$2,"EFFICIENT",IF(AC635&lt;=Config_Status!$B$3,"NORMAL",IF(AC635&lt;=Config_Status!$B$4,"WARNING","OVER CONSUMPTION"))))</x:f>
        <x:v>EFFICIENT</x:v>
      </x:c>
      <x:c r="AE635" t="str">
        <x:f>IFERROR(VLOOKUP(G635,Master_Unit!$A$2:$N$78,13,FALSE),"UNIT NOT FOUND")</x:f>
        <x:v>Matched</x:v>
      </x:c>
    </x:row>
    <x:row r="636">
      <x:c r="A636" s="12" t="str">
        <x:v>FU-20260609-00635</x:v>
      </x:c>
      <x:c r="B636" s="12" t="n">
        <x:v>765</x:v>
      </x:c>
      <x:c r="C636" s="14" t="n">
        <x:v>46182</x:v>
      </x:c>
      <x:c r="D636" s="12" t="str">
        <x:v>Selasa</x:v>
      </x:c>
      <x:c r="E636" s="12" t="str">
        <x:v>12:43:00</x:v>
      </x:c>
      <x:c r="F636" s="12" t="str">
        <x:v>All Shift Day</x:v>
      </x:c>
      <x:c r="G636" s="12" t="str">
        <x:v>EXVV35G004</x:v>
      </x:c>
      <x:c r="H636" s="12" t="str">
        <x:v>Excavator</x:v>
      </x:c>
      <x:c r="I636" s="12" t="str">
        <x:v>EXCAVATOR VOLVO EC350D</x:v>
      </x:c>
      <x:c r="J636" s="16" t="n">
        <x:v>213</x:v>
      </x:c>
      <x:c r="K636" s="16" t="n">
        <x:v>2550.6</x:v>
      </x:c>
      <x:c r="L636" s="16" t="n">
        <x:v>2562.1</x:v>
      </x:c>
      <x:c r="M636" s="16" t="n">
        <x:v>11.5</x:v>
      </x:c>
      <x:c r="N636" s="16" t="n">
        <x:v>18.52173913043478</x:v>
      </x:c>
      <x:c r="O636" s="12" t="str">
        <x:v>FTRL44G004</x:v>
      </x:c>
      <x:c r="P636" s="12" t="str">
        <x:v>EXVV35G004</x:v>
      </x:c>
      <x:c r="Q636" s="12" t="str"/>
      <x:c r="R636" s="12" t="str"/>
      <x:c r="S636" s="12" t="str"/>
      <x:c r="T636" s="12" t="str">
        <x:v>ABM</x:v>
      </x:c>
      <x:c r="U636" s="12" t="str"/>
      <x:c r="V636" s="12" t="str"/>
      <x:c r="W636" s="12" t="str"/>
      <x:c r="X636" s="12" t="str">
        <x:v>EXVV35</x:v>
      </x:c>
      <x:c r="Y636" s="12" t="str">
        <x:v>FANGKI &amp; ACUNG</x:v>
      </x:c>
      <x:c r="Z636" s="12" t="str"/>
      <x:c r="AA636" s="32" t="n">
        <x:f>IFERROR(VLOOKUP(G636,Master_Unit!$A$2:$N$78,7,FALSE),"")</x:f>
        <x:v>25</x:v>
      </x:c>
      <x:c r="AB636" s="32" t="n">
        <x:f>IF(OR(N636="",AA636=""),"",N636-AA636)</x:f>
        <x:v>-6.478260869565219</x:v>
      </x:c>
      <x:c r="AC636" s="20" t="n">
        <x:f>IF(OR(N636="",AA636="",AA636=0),"",AB636/AA636)</x:f>
        <x:v>-0.2591304347826087</x:v>
      </x:c>
      <x:c r="AD636" t="str">
        <x:f>IF(AA636="","NO STANDARD",IF(AC636&lt;=Config_Status!$B$2,"EFFICIENT",IF(AC636&lt;=Config_Status!$B$3,"NORMAL",IF(AC636&lt;=Config_Status!$B$4,"WARNING","OVER CONSUMPTION"))))</x:f>
        <x:v>EFFICIENT</x:v>
      </x:c>
      <x:c r="AE636" t="str">
        <x:f>IFERROR(VLOOKUP(G636,Master_Unit!$A$2:$N$78,13,FALSE),"UNIT NOT FOUND")</x:f>
        <x:v>Matched</x:v>
      </x:c>
    </x:row>
    <x:row r="637">
      <x:c r="A637" s="12" t="str">
        <x:v>FU-20260609-00636</x:v>
      </x:c>
      <x:c r="B637" s="12" t="n">
        <x:v>766</x:v>
      </x:c>
      <x:c r="C637" s="14" t="n">
        <x:v>46182</x:v>
      </x:c>
      <x:c r="D637" s="12" t="str">
        <x:v>Selasa</x:v>
      </x:c>
      <x:c r="E637" s="12" t="str">
        <x:v>12:54:00</x:v>
      </x:c>
      <x:c r="F637" s="12" t="str">
        <x:v>All Shift Day</x:v>
      </x:c>
      <x:c r="G637" s="12" t="str">
        <x:v>WTRL44G006</x:v>
      </x:c>
      <x:c r="H637" s="12" t="str">
        <x:v>Water Truck</x:v>
      </x:c>
      <x:c r="I637" s="12" t="str">
        <x:v>WATER TRUCK RENAULT KRANGE440-P6X4 A/T</x:v>
      </x:c>
      <x:c r="J637" s="16" t="n">
        <x:v>101</x:v>
      </x:c>
      <x:c r="K637" s="16" t="n">
        <x:v>2029</x:v>
      </x:c>
      <x:c r="L637" s="16" t="n">
        <x:v>2037</x:v>
      </x:c>
      <x:c r="M637" s="16" t="n">
        <x:v>8</x:v>
      </x:c>
      <x:c r="N637" s="16" t="n">
        <x:v>12.625</x:v>
      </x:c>
      <x:c r="O637" s="12" t="str">
        <x:v>FTRL44G004</x:v>
      </x:c>
      <x:c r="P637" s="12" t="str">
        <x:v>WTRL44G006</x:v>
      </x:c>
      <x:c r="Q637" s="12" t="str"/>
      <x:c r="R637" s="12" t="str"/>
      <x:c r="S637" s="12" t="str"/>
      <x:c r="T637" s="12" t="str">
        <x:v>ABM</x:v>
      </x:c>
      <x:c r="U637" s="12" t="str"/>
      <x:c r="V637" s="12" t="str"/>
      <x:c r="W637" s="12" t="str"/>
      <x:c r="X637" s="12" t="str">
        <x:v>WTRL44</x:v>
      </x:c>
      <x:c r="Y637" s="12" t="str">
        <x:v>FANGKI &amp; ACUNG</x:v>
      </x:c>
      <x:c r="Z637" s="12" t="str"/>
      <x:c r="AA637" s="32" t="n">
        <x:f>IFERROR(VLOOKUP(G637,Master_Unit!$A$2:$N$78,7,FALSE),"")</x:f>
        <x:v>20</x:v>
      </x:c>
      <x:c r="AB637" s="32" t="n">
        <x:f>IF(OR(N637="",AA637=""),"",N637-AA637)</x:f>
        <x:v>-7.375</x:v>
      </x:c>
      <x:c r="AC637" s="20" t="n">
        <x:f>IF(OR(N637="",AA637="",AA637=0),"",AB637/AA637)</x:f>
        <x:v>-0.36875</x:v>
      </x:c>
      <x:c r="AD637" t="str">
        <x:f>IF(AA637="","NO STANDARD",IF(AC637&lt;=Config_Status!$B$2,"EFFICIENT",IF(AC637&lt;=Config_Status!$B$3,"NORMAL",IF(AC637&lt;=Config_Status!$B$4,"WARNING","OVER CONSUMPTION"))))</x:f>
        <x:v>EFFICIENT</x:v>
      </x:c>
      <x:c r="AE637" t="str">
        <x:f>IFERROR(VLOOKUP(G637,Master_Unit!$A$2:$N$78,13,FALSE),"UNIT NOT FOUND")</x:f>
        <x:v>Matched</x:v>
      </x:c>
    </x:row>
    <x:row r="638">
      <x:c r="A638" s="12" t="str">
        <x:v>FU-20260609-00637</x:v>
      </x:c>
      <x:c r="B638" s="12" t="n">
        <x:v>767</x:v>
      </x:c>
      <x:c r="C638" s="14" t="n">
        <x:v>46182</x:v>
      </x:c>
      <x:c r="D638" s="12" t="str">
        <x:v>Selasa</x:v>
      </x:c>
      <x:c r="E638" s="12" t="str">
        <x:v>13:00:00</x:v>
      </x:c>
      <x:c r="F638" s="12" t="str">
        <x:v>All Shift Day</x:v>
      </x:c>
      <x:c r="G638" s="12" t="str">
        <x:v>WTRL44G007</x:v>
      </x:c>
      <x:c r="H638" s="12" t="str">
        <x:v>Water Truck</x:v>
      </x:c>
      <x:c r="I638" s="12" t="str">
        <x:v>WATER TRUCK RENAULT KRANGE440-P6X4 A/T</x:v>
      </x:c>
      <x:c r="J638" s="16" t="n">
        <x:v>100</x:v>
      </x:c>
      <x:c r="K638" s="16" t="n">
        <x:v>1615</x:v>
      </x:c>
      <x:c r="L638" s="16" t="n">
        <x:v>1621</x:v>
      </x:c>
      <x:c r="M638" s="16" t="n">
        <x:v>6</x:v>
      </x:c>
      <x:c r="N638" s="16" t="n">
        <x:v>16.666666666666668</x:v>
      </x:c>
      <x:c r="O638" s="12" t="str">
        <x:v>FTRL44G004</x:v>
      </x:c>
      <x:c r="P638" s="12" t="str">
        <x:v>WTRL44G007</x:v>
      </x:c>
      <x:c r="Q638" s="12" t="str"/>
      <x:c r="R638" s="12" t="str"/>
      <x:c r="S638" s="12" t="str"/>
      <x:c r="T638" s="12" t="str">
        <x:v>ABM</x:v>
      </x:c>
      <x:c r="U638" s="12" t="str"/>
      <x:c r="V638" s="12" t="str"/>
      <x:c r="W638" s="12" t="str"/>
      <x:c r="X638" s="12" t="str">
        <x:v>WTRL44</x:v>
      </x:c>
      <x:c r="Y638" s="12" t="str">
        <x:v>FANGKI &amp; ACUNG</x:v>
      </x:c>
      <x:c r="Z638" s="12" t="str"/>
      <x:c r="AA638" s="32" t="n">
        <x:f>IFERROR(VLOOKUP(G638,Master_Unit!$A$2:$N$78,7,FALSE),"")</x:f>
        <x:v>20</x:v>
      </x:c>
      <x:c r="AB638" s="32" t="n">
        <x:f>IF(OR(N638="",AA638=""),"",N638-AA638)</x:f>
        <x:v>-3.333333333333332</x:v>
      </x:c>
      <x:c r="AC638" s="20" t="n">
        <x:f>IF(OR(N638="",AA638="",AA638=0),"",AB638/AA638)</x:f>
        <x:v>-0.1666666666666666</x:v>
      </x:c>
      <x:c r="AD638" t="str">
        <x:f>IF(AA638="","NO STANDARD",IF(AC638&lt;=Config_Status!$B$2,"EFFICIENT",IF(AC638&lt;=Config_Status!$B$3,"NORMAL",IF(AC638&lt;=Config_Status!$B$4,"WARNING","OVER CONSUMPTION"))))</x:f>
        <x:v>EFFICIENT</x:v>
      </x:c>
      <x:c r="AE638" t="str">
        <x:f>IFERROR(VLOOKUP(G638,Master_Unit!$A$2:$N$78,13,FALSE),"UNIT NOT FOUND")</x:f>
        <x:v>Matched</x:v>
      </x:c>
    </x:row>
    <x:row r="639">
      <x:c r="A639" s="12" t="str">
        <x:v>FU-20260609-00638</x:v>
      </x:c>
      <x:c r="B639" s="12" t="n">
        <x:v>768</x:v>
      </x:c>
      <x:c r="C639" s="14" t="n">
        <x:v>46182</x:v>
      </x:c>
      <x:c r="D639" s="12" t="str">
        <x:v>Selasa</x:v>
      </x:c>
      <x:c r="E639" s="12" t="str">
        <x:v>13:06:00</x:v>
      </x:c>
      <x:c r="F639" s="12" t="str">
        <x:v>All Shift Day</x:v>
      </x:c>
      <x:c r="G639" s="12" t="str">
        <x:v>STRL44G140</x:v>
      </x:c>
      <x:c r="H639" s="12" t="str">
        <x:v>Dump Truck</x:v>
      </x:c>
      <x:c r="I639" s="12" t="str">
        <x:v>DUMP TRUCK RENAULT KRANGE440-P6X4 A/T</x:v>
      </x:c>
      <x:c r="J639" s="16" t="n">
        <x:v>153</x:v>
      </x:c>
      <x:c r="K639" s="16" t="n">
        <x:v>5115</x:v>
      </x:c>
      <x:c r="L639" s="16" t="n">
        <x:v>5124</x:v>
      </x:c>
      <x:c r="M639" s="16" t="n">
        <x:v>9</x:v>
      </x:c>
      <x:c r="N639" s="16" t="n">
        <x:v>17</x:v>
      </x:c>
      <x:c r="O639" s="12" t="str">
        <x:v>FTRL44G004</x:v>
      </x:c>
      <x:c r="P639" s="12" t="str">
        <x:v>STRL44G140</x:v>
      </x:c>
      <x:c r="Q639" s="12" t="str"/>
      <x:c r="R639" s="12" t="str"/>
      <x:c r="S639" s="12" t="str"/>
      <x:c r="T639" s="12" t="str">
        <x:v>ABM</x:v>
      </x:c>
      <x:c r="U639" s="12" t="str"/>
      <x:c r="V639" s="12" t="str"/>
      <x:c r="W639" s="12" t="str"/>
      <x:c r="X639" s="12" t="str">
        <x:v>STRL44</x:v>
      </x:c>
      <x:c r="Y639" s="12" t="str">
        <x:v>FANGKI &amp; ACUNG</x:v>
      </x:c>
      <x:c r="Z639" s="12" t="str"/>
      <x:c r="AA639" s="32" t="n">
        <x:f>IFERROR(VLOOKUP(G639,Master_Unit!$A$2:$N$78,7,FALSE),"")</x:f>
        <x:v>20</x:v>
      </x:c>
      <x:c r="AB639" s="32" t="n">
        <x:f>IF(OR(N639="",AA639=""),"",N639-AA639)</x:f>
        <x:v>-3</x:v>
      </x:c>
      <x:c r="AC639" s="20" t="n">
        <x:f>IF(OR(N639="",AA639="",AA639=0),"",AB639/AA639)</x:f>
        <x:v>-0.15</x:v>
      </x:c>
      <x:c r="AD639" t="str">
        <x:f>IF(AA639="","NO STANDARD",IF(AC639&lt;=Config_Status!$B$2,"EFFICIENT",IF(AC639&lt;=Config_Status!$B$3,"NORMAL",IF(AC639&lt;=Config_Status!$B$4,"WARNING","OVER CONSUMPTION"))))</x:f>
        <x:v>EFFICIENT</x:v>
      </x:c>
      <x:c r="AE639" t="str">
        <x:f>IFERROR(VLOOKUP(G639,Master_Unit!$A$2:$N$78,13,FALSE),"UNIT NOT FOUND")</x:f>
        <x:v>Matched</x:v>
      </x:c>
    </x:row>
    <x:row r="640">
      <x:c r="A640" s="12" t="str">
        <x:v>FU-20260609-00639</x:v>
      </x:c>
      <x:c r="B640" s="12" t="n">
        <x:v>769</x:v>
      </x:c>
      <x:c r="C640" s="14" t="n">
        <x:v>46182</x:v>
      </x:c>
      <x:c r="D640" s="12" t="str">
        <x:v>Selasa</x:v>
      </x:c>
      <x:c r="E640" s="12" t="str">
        <x:v>13:21:00</x:v>
      </x:c>
      <x:c r="F640" s="12" t="str">
        <x:v>All Shift Day</x:v>
      </x:c>
      <x:c r="G640" s="12" t="str">
        <x:v>STRL44G145</x:v>
      </x:c>
      <x:c r="H640" s="12" t="str">
        <x:v>Dump Truck</x:v>
      </x:c>
      <x:c r="I640" s="12" t="str">
        <x:v>DUMP TRUCK RENAULT KRANGE440-P6X4 A/T</x:v>
      </x:c>
      <x:c r="J640" s="16" t="n">
        <x:v>153</x:v>
      </x:c>
      <x:c r="K640" s="16" t="n">
        <x:v>4949</x:v>
      </x:c>
      <x:c r="L640" s="16" t="n">
        <x:v>4960</x:v>
      </x:c>
      <x:c r="M640" s="16" t="n">
        <x:v>11</x:v>
      </x:c>
      <x:c r="N640" s="16" t="n">
        <x:v>13.909090909090908</x:v>
      </x:c>
      <x:c r="O640" s="12" t="str">
        <x:v>FTRL44G004</x:v>
      </x:c>
      <x:c r="P640" s="12" t="str">
        <x:v>STRL44G145</x:v>
      </x:c>
      <x:c r="Q640" s="12" t="str"/>
      <x:c r="R640" s="12" t="str"/>
      <x:c r="S640" s="12" t="str"/>
      <x:c r="T640" s="12" t="str">
        <x:v>ABM</x:v>
      </x:c>
      <x:c r="U640" s="12" t="str"/>
      <x:c r="V640" s="12" t="str"/>
      <x:c r="W640" s="12" t="str"/>
      <x:c r="X640" s="12" t="str">
        <x:v>STRL44</x:v>
      </x:c>
      <x:c r="Y640" s="12" t="str">
        <x:v>FANGKI &amp; ACUNG</x:v>
      </x:c>
      <x:c r="Z640" s="12" t="str"/>
      <x:c r="AA640" s="32" t="n">
        <x:f>IFERROR(VLOOKUP(G640,Master_Unit!$A$2:$N$78,7,FALSE),"")</x:f>
        <x:v>20</x:v>
      </x:c>
      <x:c r="AB640" s="32" t="n">
        <x:f>IF(OR(N640="",AA640=""),"",N640-AA640)</x:f>
        <x:v>-6.090909090909092</x:v>
      </x:c>
      <x:c r="AC640" s="20" t="n">
        <x:f>IF(OR(N640="",AA640="",AA640=0),"",AB640/AA640)</x:f>
        <x:v>-0.30454545454545456</x:v>
      </x:c>
      <x:c r="AD640" t="str">
        <x:f>IF(AA640="","NO STANDARD",IF(AC640&lt;=Config_Status!$B$2,"EFFICIENT",IF(AC640&lt;=Config_Status!$B$3,"NORMAL",IF(AC640&lt;=Config_Status!$B$4,"WARNING","OVER CONSUMPTION"))))</x:f>
        <x:v>EFFICIENT</x:v>
      </x:c>
      <x:c r="AE640" t="str">
        <x:f>IFERROR(VLOOKUP(G640,Master_Unit!$A$2:$N$78,13,FALSE),"UNIT NOT FOUND")</x:f>
        <x:v>Matched</x:v>
      </x:c>
    </x:row>
    <x:row r="641">
      <x:c r="A641" s="12" t="str">
        <x:v>FU-20260609-00640</x:v>
      </x:c>
      <x:c r="B641" s="12" t="n">
        <x:v>770</x:v>
      </x:c>
      <x:c r="C641" s="14" t="n">
        <x:v>46182</x:v>
      </x:c>
      <x:c r="D641" s="12" t="str">
        <x:v>Selasa</x:v>
      </x:c>
      <x:c r="E641" s="12" t="str">
        <x:v>06:24:00</x:v>
      </x:c>
      <x:c r="F641" s="12" t="str">
        <x:v>All Shift Day</x:v>
      </x:c>
      <x:c r="G641" s="12" t="str">
        <x:v>STRL44G138</x:v>
      </x:c>
      <x:c r="H641" s="12" t="str">
        <x:v>Dump Truck</x:v>
      </x:c>
      <x:c r="I641" s="12" t="str">
        <x:v>DUMP TRUCK RENAULT KRANGE440-P6X4 A/T</x:v>
      </x:c>
      <x:c r="J641" s="16" t="n">
        <x:v>163</x:v>
      </x:c>
      <x:c r="K641" s="16" t="n">
        <x:v>5301</x:v>
      </x:c>
      <x:c r="L641" s="16" t="n">
        <x:v>5315</x:v>
      </x:c>
      <x:c r="M641" s="16" t="n">
        <x:v>14</x:v>
      </x:c>
      <x:c r="N641" s="16" t="n">
        <x:v>11.642857142857142</x:v>
      </x:c>
      <x:c r="O641" s="12" t="str">
        <x:v>FTRL44G005</x:v>
      </x:c>
      <x:c r="P641" s="12" t="str">
        <x:v>STRL44G138</x:v>
      </x:c>
      <x:c r="Q641" s="12" t="str"/>
      <x:c r="R641" s="12" t="str"/>
      <x:c r="S641" s="12" t="str"/>
      <x:c r="T641" s="12" t="str">
        <x:v>ABM</x:v>
      </x:c>
      <x:c r="U641" s="12" t="str"/>
      <x:c r="V641" s="12" t="str"/>
      <x:c r="W641" s="12" t="str"/>
      <x:c r="X641" s="12" t="str">
        <x:v>STRL44</x:v>
      </x:c>
      <x:c r="Y641" s="12" t="str">
        <x:v>ANDI &amp; ANGGI</x:v>
      </x:c>
      <x:c r="Z641" s="12" t="str"/>
      <x:c r="AA641" s="32" t="n">
        <x:f>IFERROR(VLOOKUP(G641,Master_Unit!$A$2:$N$78,7,FALSE),"")</x:f>
        <x:v>20</x:v>
      </x:c>
      <x:c r="AB641" s="32" t="n">
        <x:f>IF(OR(N641="",AA641=""),"",N641-AA641)</x:f>
        <x:v>-8.357142857142858</x:v>
      </x:c>
      <x:c r="AC641" s="20" t="n">
        <x:f>IF(OR(N641="",AA641="",AA641=0),"",AB641/AA641)</x:f>
        <x:v>-0.41785714285714287</x:v>
      </x:c>
      <x:c r="AD641" t="str">
        <x:f>IF(AA641="","NO STANDARD",IF(AC641&lt;=Config_Status!$B$2,"EFFICIENT",IF(AC641&lt;=Config_Status!$B$3,"NORMAL",IF(AC641&lt;=Config_Status!$B$4,"WARNING","OVER CONSUMPTION"))))</x:f>
        <x:v>EFFICIENT</x:v>
      </x:c>
      <x:c r="AE641" t="str">
        <x:f>IFERROR(VLOOKUP(G641,Master_Unit!$A$2:$N$78,13,FALSE),"UNIT NOT FOUND")</x:f>
        <x:v>Matched</x:v>
      </x:c>
    </x:row>
    <x:row r="642">
      <x:c r="A642" s="12" t="str">
        <x:v>FU-20260609-00641</x:v>
      </x:c>
      <x:c r="B642" s="12" t="n">
        <x:v>771</x:v>
      </x:c>
      <x:c r="C642" s="14" t="n">
        <x:v>46182</x:v>
      </x:c>
      <x:c r="D642" s="12" t="str">
        <x:v>Selasa</x:v>
      </x:c>
      <x:c r="E642" s="12" t="str">
        <x:v>06:36:00</x:v>
      </x:c>
      <x:c r="F642" s="12" t="str">
        <x:v>All Shift Day</x:v>
      </x:c>
      <x:c r="G642" s="12" t="str">
        <x:v>ACKS50G001</x:v>
      </x:c>
      <x:c r="H642" s="12" t="str">
        <x:v>Air Compressor</x:v>
      </x:c>
      <x:c r="I642" s="12" t="str">
        <x:v>AIR COMPRESSOR MOBILAR MOBILAIR M50</x:v>
      </x:c>
      <x:c r="J642" s="16" t="n">
        <x:v>42</x:v>
      </x:c>
      <x:c r="K642" s="16" t="n">
        <x:v>1163.1</x:v>
      </x:c>
      <x:c r="L642" s="16" t="n">
        <x:v>1178.21</x:v>
      </x:c>
      <x:c r="M642" s="16" t="n">
        <x:v>15.110000000000127</x:v>
      </x:c>
      <x:c r="N642" s="16" t="n">
        <x:v>2.779616148246171</x:v>
      </x:c>
      <x:c r="O642" s="12" t="str">
        <x:v>FTRL44G005</x:v>
      </x:c>
      <x:c r="P642" s="12" t="str">
        <x:v>ACKS50G001</x:v>
      </x:c>
      <x:c r="Q642" s="12" t="str"/>
      <x:c r="R642" s="12" t="str"/>
      <x:c r="S642" s="12" t="str"/>
      <x:c r="T642" s="12" t="str">
        <x:v>ABM</x:v>
      </x:c>
      <x:c r="U642" s="12" t="str"/>
      <x:c r="V642" s="12" t="str"/>
      <x:c r="W642" s="12" t="str"/>
      <x:c r="X642" s="12" t="str">
        <x:v>ACKS50</x:v>
      </x:c>
      <x:c r="Y642" s="12" t="str">
        <x:v>ANDI &amp; ANGGI</x:v>
      </x:c>
      <x:c r="Z642" s="12" t="str"/>
      <x:c r="AA642" s="32" t="n">
        <x:f>IFERROR(VLOOKUP(G642,Master_Unit!$A$2:$N$78,7,FALSE),"")</x:f>
        <x:v>8</x:v>
      </x:c>
      <x:c r="AB642" s="32" t="n">
        <x:f>IF(OR(N642="",AA642=""),"",N642-AA642)</x:f>
        <x:v>-5.220383851753828</x:v>
      </x:c>
      <x:c r="AC642" s="20" t="n">
        <x:f>IF(OR(N642="",AA642="",AA642=0),"",AB642/AA642)</x:f>
        <x:v>-0.6525479814692285</x:v>
      </x:c>
      <x:c r="AD642" t="str">
        <x:f>IF(AA642="","NO STANDARD",IF(AC642&lt;=Config_Status!$B$2,"EFFICIENT",IF(AC642&lt;=Config_Status!$B$3,"NORMAL",IF(AC642&lt;=Config_Status!$B$4,"WARNING","OVER CONSUMPTION"))))</x:f>
        <x:v>EFFICIENT</x:v>
      </x:c>
      <x:c r="AE642" t="str">
        <x:f>IFERROR(VLOOKUP(G642,Master_Unit!$A$2:$N$78,13,FALSE),"UNIT NOT FOUND")</x:f>
        <x:v>Matched</x:v>
      </x:c>
    </x:row>
    <x:row r="643">
      <x:c r="A643" s="12" t="str">
        <x:v>FU-20260609-00642</x:v>
      </x:c>
      <x:c r="B643" s="12" t="n">
        <x:v>772</x:v>
      </x:c>
      <x:c r="C643" s="14" t="n">
        <x:v>46182</x:v>
      </x:c>
      <x:c r="D643" s="12" t="str">
        <x:v>Selasa</x:v>
      </x:c>
      <x:c r="E643" s="12" t="str">
        <x:v>06:41:00</x:v>
      </x:c>
      <x:c r="F643" s="12" t="str">
        <x:v>All Shift Day</x:v>
      </x:c>
      <x:c r="G643" s="12" t="str">
        <x:v>CTRL44G004</x:v>
      </x:c>
      <x:c r="H643" s="12" t="str">
        <x:v>Crane Truck</x:v>
      </x:c>
      <x:c r="I643" s="12" t="str">
        <x:v>CRANE TRUCK RENAULT KRANGE440-P6X4 A/T</x:v>
      </x:c>
      <x:c r="J643" s="16" t="n">
        <x:v>70</x:v>
      </x:c>
      <x:c r="K643" s="16" t="n">
        <x:v>987</x:v>
      </x:c>
      <x:c r="L643" s="16" t="n">
        <x:v>996</x:v>
      </x:c>
      <x:c r="M643" s="16" t="n">
        <x:v>9</x:v>
      </x:c>
      <x:c r="N643" s="16" t="n">
        <x:v>7.777777777777778</x:v>
      </x:c>
      <x:c r="O643" s="12" t="str">
        <x:v>FTRL44G005</x:v>
      </x:c>
      <x:c r="P643" s="12" t="str">
        <x:v>CTRL44G004</x:v>
      </x:c>
      <x:c r="Q643" s="12" t="str"/>
      <x:c r="R643" s="12" t="str"/>
      <x:c r="S643" s="12" t="str"/>
      <x:c r="T643" s="12" t="str">
        <x:v>ABM</x:v>
      </x:c>
      <x:c r="U643" s="12" t="str"/>
      <x:c r="V643" s="12" t="str"/>
      <x:c r="W643" s="12" t="str"/>
      <x:c r="X643" s="12" t="str">
        <x:v>CTRL44</x:v>
      </x:c>
      <x:c r="Y643" s="12" t="str">
        <x:v>ANDI &amp; ANGGI</x:v>
      </x:c>
      <x:c r="Z643" s="12" t="str"/>
      <x:c r="AA643" s="32" t="n">
        <x:f>IFERROR(VLOOKUP(G643,Master_Unit!$A$2:$N$78,7,FALSE),"")</x:f>
        <x:v>20</x:v>
      </x:c>
      <x:c r="AB643" s="32" t="n">
        <x:f>IF(OR(N643="",AA643=""),"",N643-AA643)</x:f>
        <x:v>-12.222222222222221</x:v>
      </x:c>
      <x:c r="AC643" s="20" t="n">
        <x:f>IF(OR(N643="",AA643="",AA643=0),"",AB643/AA643)</x:f>
        <x:v>-0.611111111111111</x:v>
      </x:c>
      <x:c r="AD643" t="str">
        <x:f>IF(AA643="","NO STANDARD",IF(AC643&lt;=Config_Status!$B$2,"EFFICIENT",IF(AC643&lt;=Config_Status!$B$3,"NORMAL",IF(AC643&lt;=Config_Status!$B$4,"WARNING","OVER CONSUMPTION"))))</x:f>
        <x:v>EFFICIENT</x:v>
      </x:c>
      <x:c r="AE643" t="str">
        <x:f>IFERROR(VLOOKUP(G643,Master_Unit!$A$2:$N$78,13,FALSE),"UNIT NOT FOUND")</x:f>
        <x:v>Matched</x:v>
      </x:c>
    </x:row>
    <x:row r="644">
      <x:c r="A644" s="12" t="str">
        <x:v>FU-20260609-00643</x:v>
      </x:c>
      <x:c r="B644" s="12" t="n">
        <x:v>773</x:v>
      </x:c>
      <x:c r="C644" s="14" t="n">
        <x:v>46182</x:v>
      </x:c>
      <x:c r="D644" s="12" t="str">
        <x:v>Selasa</x:v>
      </x:c>
      <x:c r="E644" s="12" t="str">
        <x:v>06:43:00</x:v>
      </x:c>
      <x:c r="F644" s="12" t="str">
        <x:v>All Shift Day</x:v>
      </x:c>
      <x:c r="G644" s="12" t="str">
        <x:v>FTRL44G005</x:v>
      </x:c>
      <x:c r="H644" s="12" t="str">
        <x:v>Fuel Truck</x:v>
      </x:c>
      <x:c r="I644" s="12" t="str">
        <x:v>FUEL TRUCK RENAULT KRANGE440-P6X4 A/T</x:v>
      </x:c>
      <x:c r="J644" s="16" t="n">
        <x:v>81</x:v>
      </x:c>
      <x:c r="K644" s="16" t="n">
        <x:v>3627</x:v>
      </x:c>
      <x:c r="L644" s="16" t="n">
        <x:v>3661</x:v>
      </x:c>
      <x:c r="M644" s="16" t="n">
        <x:v>34</x:v>
      </x:c>
      <x:c r="N644" s="16" t="n">
        <x:v>2.3823529411764706</x:v>
      </x:c>
      <x:c r="O644" s="12" t="str">
        <x:v>FTRL44G005</x:v>
      </x:c>
      <x:c r="P644" s="12" t="str">
        <x:v>FTRL44G005</x:v>
      </x:c>
      <x:c r="Q644" s="12" t="str"/>
      <x:c r="R644" s="12" t="str"/>
      <x:c r="S644" s="12" t="str"/>
      <x:c r="T644" s="12" t="str">
        <x:v>ABM</x:v>
      </x:c>
      <x:c r="U644" s="12" t="str"/>
      <x:c r="V644" s="12" t="str"/>
      <x:c r="W644" s="12" t="str"/>
      <x:c r="X644" s="12" t="str">
        <x:v>FTRL44</x:v>
      </x:c>
      <x:c r="Y644" s="12" t="str">
        <x:v>ANDI &amp; ANGGI</x:v>
      </x:c>
      <x:c r="Z644" s="12" t="str"/>
      <x:c r="AA644" s="32" t="n">
        <x:f>IFERROR(VLOOKUP(G644,Master_Unit!$A$2:$N$78,7,FALSE),"")</x:f>
        <x:v>13</x:v>
      </x:c>
      <x:c r="AB644" s="32" t="n">
        <x:f>IF(OR(N644="",AA644=""),"",N644-AA644)</x:f>
        <x:v>-10.617647058823529</x:v>
      </x:c>
      <x:c r="AC644" s="20" t="n">
        <x:f>IF(OR(N644="",AA644="",AA644=0),"",AB644/AA644)</x:f>
        <x:v>-0.8167420814479638</x:v>
      </x:c>
      <x:c r="AD644" t="str">
        <x:f>IF(AA644="","NO STANDARD",IF(AC644&lt;=Config_Status!$B$2,"EFFICIENT",IF(AC644&lt;=Config_Status!$B$3,"NORMAL",IF(AC644&lt;=Config_Status!$B$4,"WARNING","OVER CONSUMPTION"))))</x:f>
        <x:v>EFFICIENT</x:v>
      </x:c>
      <x:c r="AE644" t="str">
        <x:f>IFERROR(VLOOKUP(G644,Master_Unit!$A$2:$N$78,13,FALSE),"UNIT NOT FOUND")</x:f>
        <x:v>Matched</x:v>
      </x:c>
    </x:row>
    <x:row r="645">
      <x:c r="A645" s="12" t="str">
        <x:v>FU-20260609-00644</x:v>
      </x:c>
      <x:c r="B645" s="12" t="n">
        <x:v>774</x:v>
      </x:c>
      <x:c r="C645" s="14" t="n">
        <x:v>46182</x:v>
      </x:c>
      <x:c r="D645" s="12" t="str">
        <x:v>Selasa</x:v>
      </x:c>
      <x:c r="E645" s="12" t="str">
        <x:v>06:48:00</x:v>
      </x:c>
      <x:c r="F645" s="12" t="str">
        <x:v>All Shift Day</x:v>
      </x:c>
      <x:c r="G645" s="12" t="str">
        <x:v>GSHT25G001</x:v>
      </x:c>
      <x:c r="H645" s="12" t="str">
        <x:v>Genset</x:v>
      </x:c>
      <x:c r="I645" s="12" t="str">
        <x:v>GENSET HARTECH HT-250-V</x:v>
      </x:c>
      <x:c r="J645" s="16" t="n">
        <x:v>420</x:v>
      </x:c>
      <x:c r="K645" s="16" t="n">
        <x:v>1778.17</x:v>
      </x:c>
      <x:c r="L645" s="16" t="n">
        <x:v>1801.52</x:v>
      </x:c>
      <x:c r="M645" s="16" t="n">
        <x:v>23.34999999999991</x:v>
      </x:c>
      <x:c r="N645" s="16" t="n">
        <x:v>17.98715203426131</x:v>
      </x:c>
      <x:c r="O645" s="12" t="str">
        <x:v>FTRL44G005</x:v>
      </x:c>
      <x:c r="P645" s="12" t="str">
        <x:v>GSHT25G001</x:v>
      </x:c>
      <x:c r="Q645" s="12" t="str"/>
      <x:c r="R645" s="12" t="str"/>
      <x:c r="S645" s="12" t="str"/>
      <x:c r="T645" s="12" t="str">
        <x:v>ABM</x:v>
      </x:c>
      <x:c r="U645" s="12" t="str"/>
      <x:c r="V645" s="12" t="str"/>
      <x:c r="W645" s="12" t="str"/>
      <x:c r="X645" s="12" t="str">
        <x:v>GSHT25</x:v>
      </x:c>
      <x:c r="Y645" s="12" t="str">
        <x:v>ANDI &amp; ANGGI</x:v>
      </x:c>
      <x:c r="Z645" s="12" t="str"/>
      <x:c r="AA645" s="32" t="n">
        <x:f>IFERROR(VLOOKUP(G645,Master_Unit!$A$2:$N$78,7,FALSE),"")</x:f>
        <x:v>15</x:v>
      </x:c>
      <x:c r="AB645" s="32" t="n">
        <x:f>IF(OR(N645="",AA645=""),"",N645-AA645)</x:f>
        <x:v>2.9871520342613103</x:v>
      </x:c>
      <x:c r="AC645" s="20" t="n">
        <x:f>IF(OR(N645="",AA645="",AA645=0),"",AB645/AA645)</x:f>
        <x:v>0.19914346895075402</x:v>
      </x:c>
      <x:c r="AD645" t="str">
        <x:f>IF(AA645="","NO STANDARD",IF(AC645&lt;=Config_Status!$B$2,"EFFICIENT",IF(AC645&lt;=Config_Status!$B$3,"NORMAL",IF(AC645&lt;=Config_Status!$B$4,"WARNING","OVER CONSUMPTION"))))</x:f>
        <x:v>WARNING</x:v>
      </x:c>
      <x:c r="AE645" t="str">
        <x:f>IFERROR(VLOOKUP(G645,Master_Unit!$A$2:$N$78,13,FALSE),"UNIT NOT FOUND")</x:f>
        <x:v>Matched</x:v>
      </x:c>
    </x:row>
    <x:row r="646">
      <x:c r="A646" s="12" t="str">
        <x:v>FU-20260609-00645</x:v>
      </x:c>
      <x:c r="B646" s="12" t="n">
        <x:v>775</x:v>
      </x:c>
      <x:c r="C646" s="14" t="n">
        <x:v>46182</x:v>
      </x:c>
      <x:c r="D646" s="12" t="str">
        <x:v>Selasa</x:v>
      </x:c>
      <x:c r="E646" s="12" t="str">
        <x:v>07:24:00</x:v>
      </x:c>
      <x:c r="F646" s="12" t="str">
        <x:v>All Shift Day</x:v>
      </x:c>
      <x:c r="G646" s="12" t="str">
        <x:v>TLYM50G024</x:v>
      </x:c>
      <x:c r="H646" s="12" t="str">
        <x:v>Other</x:v>
      </x:c>
      <x:c r="I646" s="12" t="str">
        <x:v>TOWERLAMP YAMAGEN YDG5001SE-D-TLD4</x:v>
      </x:c>
      <x:c r="J646" s="16" t="n">
        <x:v>20</x:v>
      </x:c>
      <x:c r="K646" s="16" t="n">
        <x:v>4218.4</x:v>
      </x:c>
      <x:c r="L646" s="16" t="n">
        <x:v>4248.4</x:v>
      </x:c>
      <x:c r="M646" s="16" t="n">
        <x:v>30</x:v>
      </x:c>
      <x:c r="N646" s="16" t="n">
        <x:v>0.6666666666666666</x:v>
      </x:c>
      <x:c r="O646" s="12" t="str">
        <x:v>FTRL44G005</x:v>
      </x:c>
      <x:c r="P646" s="12" t="str">
        <x:v>TLYM50G024</x:v>
      </x:c>
      <x:c r="Q646" s="12" t="str"/>
      <x:c r="R646" s="12" t="str"/>
      <x:c r="S646" s="12" t="str"/>
      <x:c r="T646" s="12" t="str">
        <x:v>ABM</x:v>
      </x:c>
      <x:c r="U646" s="12" t="str"/>
      <x:c r="V646" s="12" t="str"/>
      <x:c r="W646" s="12" t="str"/>
      <x:c r="X646" s="12" t="str">
        <x:v>TLYM50</x:v>
      </x:c>
      <x:c r="Y646" s="12" t="str">
        <x:v>ANDI &amp; ANGGI</x:v>
      </x:c>
      <x:c r="Z646" s="12" t="str"/>
      <x:c r="AA646" s="32" t="n">
        <x:f>IFERROR(VLOOKUP(G646,Master_Unit!$A$2:$N$78,7,FALSE),"")</x:f>
        <x:v>2</x:v>
      </x:c>
      <x:c r="AB646" s="32" t="n">
        <x:f>IF(OR(N646="",AA646=""),"",N646-AA646)</x:f>
        <x:v>-1.3333333333333335</x:v>
      </x:c>
      <x:c r="AC646" s="20" t="n">
        <x:f>IF(OR(N646="",AA646="",AA646=0),"",AB646/AA646)</x:f>
        <x:v>-0.6666666666666667</x:v>
      </x:c>
      <x:c r="AD646" t="str">
        <x:f>IF(AA646="","NO STANDARD",IF(AC646&lt;=Config_Status!$B$2,"EFFICIENT",IF(AC646&lt;=Config_Status!$B$3,"NORMAL",IF(AC646&lt;=Config_Status!$B$4,"WARNING","OVER CONSUMPTION"))))</x:f>
        <x:v>EFFICIENT</x:v>
      </x:c>
      <x:c r="AE646" t="str">
        <x:f>IFERROR(VLOOKUP(G646,Master_Unit!$A$2:$N$78,13,FALSE),"UNIT NOT FOUND")</x:f>
        <x:v>Matched</x:v>
      </x:c>
    </x:row>
    <x:row r="647">
      <x:c r="A647" s="12" t="str">
        <x:v>FU-20260609-00646</x:v>
      </x:c>
      <x:c r="B647" s="12" t="n">
        <x:v>776</x:v>
      </x:c>
      <x:c r="C647" s="14" t="n">
        <x:v>46182</x:v>
      </x:c>
      <x:c r="D647" s="12" t="str">
        <x:v>Selasa</x:v>
      </x:c>
      <x:c r="E647" s="12" t="str">
        <x:v>07:28:00</x:v>
      </x:c>
      <x:c r="F647" s="12" t="str">
        <x:v>All Shift Day</x:v>
      </x:c>
      <x:c r="G647" s="12" t="str">
        <x:v>EXVV21G038</x:v>
      </x:c>
      <x:c r="H647" s="12" t="str">
        <x:v>Excavator</x:v>
      </x:c>
      <x:c r="I647" s="12" t="str">
        <x:v>EXCAVATOR VOLVO EC210D</x:v>
      </x:c>
      <x:c r="J647" s="16" t="n">
        <x:v>160</x:v>
      </x:c>
      <x:c r="K647" s="16" t="n">
        <x:v>4205.7</x:v>
      </x:c>
      <x:c r="L647" s="16" t="n">
        <x:v>4214.3</x:v>
      </x:c>
      <x:c r="M647" s="16" t="n">
        <x:v>8.600000000000364</x:v>
      </x:c>
      <x:c r="N647" s="16" t="n">
        <x:v>18.60465116278991</x:v>
      </x:c>
      <x:c r="O647" s="12" t="str">
        <x:v>FTRL44G005</x:v>
      </x:c>
      <x:c r="P647" s="12" t="str">
        <x:v>EXVV21G038</x:v>
      </x:c>
      <x:c r="Q647" s="12" t="str"/>
      <x:c r="R647" s="12" t="str"/>
      <x:c r="S647" s="12" t="str"/>
      <x:c r="T647" s="12" t="str">
        <x:v>ABM</x:v>
      </x:c>
      <x:c r="U647" s="12" t="str"/>
      <x:c r="V647" s="12" t="str"/>
      <x:c r="W647" s="12" t="str"/>
      <x:c r="X647" s="12" t="str">
        <x:v>EXVV21</x:v>
      </x:c>
      <x:c r="Y647" s="12" t="str">
        <x:v>ANDI &amp; ANGGI</x:v>
      </x:c>
      <x:c r="Z647" s="12" t="str"/>
      <x:c r="AA647" s="32" t="n">
        <x:f>IFERROR(VLOOKUP(G647,Master_Unit!$A$2:$N$78,7,FALSE),"")</x:f>
        <x:v>20</x:v>
      </x:c>
      <x:c r="AB647" s="32" t="n">
        <x:f>IF(OR(N647="",AA647=""),"",N647-AA647)</x:f>
        <x:v>-1.39534883721009</x:v>
      </x:c>
      <x:c r="AC647" s="20" t="n">
        <x:f>IF(OR(N647="",AA647="",AA647=0),"",AB647/AA647)</x:f>
        <x:v>-0.0697674418605045</x:v>
      </x:c>
      <x:c r="AD647" t="str">
        <x:f>IF(AA647="","NO STANDARD",IF(AC647&lt;=Config_Status!$B$2,"EFFICIENT",IF(AC647&lt;=Config_Status!$B$3,"NORMAL",IF(AC647&lt;=Config_Status!$B$4,"WARNING","OVER CONSUMPTION"))))</x:f>
        <x:v>NORMAL</x:v>
      </x:c>
      <x:c r="AE647" t="str">
        <x:f>IFERROR(VLOOKUP(G647,Master_Unit!$A$2:$N$78,13,FALSE),"UNIT NOT FOUND")</x:f>
        <x:v>Matched</x:v>
      </x:c>
    </x:row>
    <x:row r="648">
      <x:c r="A648" s="12" t="str">
        <x:v>FU-20260609-00647</x:v>
      </x:c>
      <x:c r="B648" s="12" t="n">
        <x:v>777</x:v>
      </x:c>
      <x:c r="C648" s="14" t="n">
        <x:v>46182</x:v>
      </x:c>
      <x:c r="D648" s="12" t="str">
        <x:v>Selasa</x:v>
      </x:c>
      <x:c r="E648" s="12" t="str">
        <x:v>07:34:00</x:v>
      </x:c>
      <x:c r="F648" s="12" t="str">
        <x:v>All Shift Day</x:v>
      </x:c>
      <x:c r="G648" s="12" t="str">
        <x:v>EXVV21G041</x:v>
      </x:c>
      <x:c r="H648" s="12" t="str">
        <x:v>Excavator</x:v>
      </x:c>
      <x:c r="I648" s="12" t="str">
        <x:v>EXCAVATOR VOLVO EC210D</x:v>
      </x:c>
      <x:c r="J648" s="16" t="n">
        <x:v>169</x:v>
      </x:c>
      <x:c r="K648" s="16" t="n">
        <x:v>4517.6</x:v>
      </x:c>
      <x:c r="L648" s="16" t="n">
        <x:v>4526.7</x:v>
      </x:c>
      <x:c r="M648" s="16" t="n">
        <x:v>9.099999999999454</x:v>
      </x:c>
      <x:c r="N648" s="16" t="n">
        <x:v>18.571428571429685</x:v>
      </x:c>
      <x:c r="O648" s="12" t="str">
        <x:v>FTRL44G005</x:v>
      </x:c>
      <x:c r="P648" s="12" t="str">
        <x:v>EXVV21G041</x:v>
      </x:c>
      <x:c r="Q648" s="12" t="str"/>
      <x:c r="R648" s="12" t="str"/>
      <x:c r="S648" s="12" t="str"/>
      <x:c r="T648" s="12" t="str">
        <x:v>ABM</x:v>
      </x:c>
      <x:c r="U648" s="12" t="str"/>
      <x:c r="V648" s="12" t="str"/>
      <x:c r="W648" s="12" t="str"/>
      <x:c r="X648" s="12" t="str">
        <x:v>EXVV21</x:v>
      </x:c>
      <x:c r="Y648" s="12" t="str">
        <x:v>ANDI &amp; ANGGI</x:v>
      </x:c>
      <x:c r="Z648" s="12" t="str"/>
      <x:c r="AA648" s="32" t="n">
        <x:f>IFERROR(VLOOKUP(G648,Master_Unit!$A$2:$N$78,7,FALSE),"")</x:f>
        <x:v>20</x:v>
      </x:c>
      <x:c r="AB648" s="32" t="n">
        <x:f>IF(OR(N648="",AA648=""),"",N648-AA648)</x:f>
        <x:v>-1.428571428570315</x:v>
      </x:c>
      <x:c r="AC648" s="20" t="n">
        <x:f>IF(OR(N648="",AA648="",AA648=0),"",AB648/AA648)</x:f>
        <x:v>-0.07142857142851575</x:v>
      </x:c>
      <x:c r="AD648" t="str">
        <x:f>IF(AA648="","NO STANDARD",IF(AC648&lt;=Config_Status!$B$2,"EFFICIENT",IF(AC648&lt;=Config_Status!$B$3,"NORMAL",IF(AC648&lt;=Config_Status!$B$4,"WARNING","OVER CONSUMPTION"))))</x:f>
        <x:v>NORMAL</x:v>
      </x:c>
      <x:c r="AE648" t="str">
        <x:f>IFERROR(VLOOKUP(G648,Master_Unit!$A$2:$N$78,13,FALSE),"UNIT NOT FOUND")</x:f>
        <x:v>Matched</x:v>
      </x:c>
    </x:row>
    <x:row r="649">
      <x:c r="A649" s="12" t="str">
        <x:v>FU-20260609-00648</x:v>
      </x:c>
      <x:c r="B649" s="12" t="n">
        <x:v>778</x:v>
      </x:c>
      <x:c r="C649" s="14" t="n">
        <x:v>46182</x:v>
      </x:c>
      <x:c r="D649" s="12" t="str">
        <x:v>Selasa</x:v>
      </x:c>
      <x:c r="E649" s="12" t="str">
        <x:v>07:38:00</x:v>
      </x:c>
      <x:c r="F649" s="12" t="str">
        <x:v>All Shift Day</x:v>
      </x:c>
      <x:c r="G649" s="12" t="str">
        <x:v>TLYM50G017</x:v>
      </x:c>
      <x:c r="H649" s="12" t="str">
        <x:v>Other</x:v>
      </x:c>
      <x:c r="I649" s="12" t="str">
        <x:v>TOWERLAMP YAMAGEN YDG5001SE-D-TLD4</x:v>
      </x:c>
      <x:c r="J649" s="16" t="n">
        <x:v>15</x:v>
      </x:c>
      <x:c r="K649" s="16" t="n">
        <x:v>3370</x:v>
      </x:c>
      <x:c r="L649" s="16" t="n">
        <x:v>3385.2</x:v>
      </x:c>
      <x:c r="M649" s="16" t="n">
        <x:v>15.199999999999818</x:v>
      </x:c>
      <x:c r="N649" s="16" t="n">
        <x:v>0.9868421052631697</x:v>
      </x:c>
      <x:c r="O649" s="12" t="str">
        <x:v>FTRL44G005</x:v>
      </x:c>
      <x:c r="P649" s="12" t="str">
        <x:v>TLYM50G017</x:v>
      </x:c>
      <x:c r="Q649" s="12" t="str"/>
      <x:c r="R649" s="12" t="str"/>
      <x:c r="S649" s="12" t="str"/>
      <x:c r="T649" s="12" t="str">
        <x:v>ABM</x:v>
      </x:c>
      <x:c r="U649" s="12" t="str"/>
      <x:c r="V649" s="12" t="str"/>
      <x:c r="W649" s="12" t="str"/>
      <x:c r="X649" s="12" t="str">
        <x:v>TLYM50</x:v>
      </x:c>
      <x:c r="Y649" s="12" t="str">
        <x:v>ANDI &amp; ANGGI</x:v>
      </x:c>
      <x:c r="Z649" s="12" t="str"/>
      <x:c r="AA649" s="32" t="n">
        <x:f>IFERROR(VLOOKUP(G649,Master_Unit!$A$2:$N$78,7,FALSE),"")</x:f>
        <x:v>2</x:v>
      </x:c>
      <x:c r="AB649" s="32" t="n">
        <x:f>IF(OR(N649="",AA649=""),"",N649-AA649)</x:f>
        <x:v>-1.0131578947368303</x:v>
      </x:c>
      <x:c r="AC649" s="20" t="n">
        <x:f>IF(OR(N649="",AA649="",AA649=0),"",AB649/AA649)</x:f>
        <x:v>-0.5065789473684151</x:v>
      </x:c>
      <x:c r="AD649" t="str">
        <x:f>IF(AA649="","NO STANDARD",IF(AC649&lt;=Config_Status!$B$2,"EFFICIENT",IF(AC649&lt;=Config_Status!$B$3,"NORMAL",IF(AC649&lt;=Config_Status!$B$4,"WARNING","OVER CONSUMPTION"))))</x:f>
        <x:v>EFFICIENT</x:v>
      </x:c>
      <x:c r="AE649" t="str">
        <x:f>IFERROR(VLOOKUP(G649,Master_Unit!$A$2:$N$78,13,FALSE),"UNIT NOT FOUND")</x:f>
        <x:v>Matched</x:v>
      </x:c>
    </x:row>
    <x:row r="650">
      <x:c r="A650" s="12" t="str">
        <x:v>FU-20260609-00649</x:v>
      </x:c>
      <x:c r="B650" s="12" t="n">
        <x:v>779</x:v>
      </x:c>
      <x:c r="C650" s="14" t="n">
        <x:v>46182</x:v>
      </x:c>
      <x:c r="D650" s="12" t="str">
        <x:v>Selasa</x:v>
      </x:c>
      <x:c r="E650" s="12" t="str">
        <x:v>07:55:00</x:v>
      </x:c>
      <x:c r="F650" s="12" t="str">
        <x:v>All Shift Day</x:v>
      </x:c>
      <x:c r="G650" s="12" t="str">
        <x:v>STRL44G153</x:v>
      </x:c>
      <x:c r="H650" s="12" t="str">
        <x:v>Dump Truck</x:v>
      </x:c>
      <x:c r="I650" s="12" t="str">
        <x:v>DUMP TRUCK RENAULT KRANGE440-P6X4 A/T</x:v>
      </x:c>
      <x:c r="J650" s="16" t="n">
        <x:v>153</x:v>
      </x:c>
      <x:c r="K650" s="16" t="n">
        <x:v>3997</x:v>
      </x:c>
      <x:c r="L650" s="16" t="n">
        <x:v>4003</x:v>
      </x:c>
      <x:c r="M650" s="16" t="n">
        <x:v>6</x:v>
      </x:c>
      <x:c r="N650" s="16" t="n">
        <x:v>25.5</x:v>
      </x:c>
      <x:c r="O650" s="12" t="str">
        <x:v>FTRL44G005</x:v>
      </x:c>
      <x:c r="P650" s="12" t="str">
        <x:v>STRL44G153</x:v>
      </x:c>
      <x:c r="Q650" s="12" t="str"/>
      <x:c r="R650" s="12" t="str"/>
      <x:c r="S650" s="12" t="str"/>
      <x:c r="T650" s="12" t="str">
        <x:v>ABM</x:v>
      </x:c>
      <x:c r="U650" s="12" t="str"/>
      <x:c r="V650" s="12" t="str"/>
      <x:c r="W650" s="12" t="str"/>
      <x:c r="X650" s="12" t="str">
        <x:v>STRL44</x:v>
      </x:c>
      <x:c r="Y650" s="12" t="str">
        <x:v>ANDI &amp; ANGGI</x:v>
      </x:c>
      <x:c r="Z650" s="12" t="str"/>
      <x:c r="AA650" s="32" t="n">
        <x:f>IFERROR(VLOOKUP(G650,Master_Unit!$A$2:$N$78,7,FALSE),"")</x:f>
        <x:v>20</x:v>
      </x:c>
      <x:c r="AB650" s="32" t="n">
        <x:f>IF(OR(N650="",AA650=""),"",N650-AA650)</x:f>
        <x:v>5.5</x:v>
      </x:c>
      <x:c r="AC650" s="20" t="n">
        <x:f>IF(OR(N650="",AA650="",AA650=0),"",AB650/AA650)</x:f>
        <x:v>0.275</x:v>
      </x:c>
      <x:c r="AD650" t="str">
        <x:f>IF(AA650="","NO STANDARD",IF(AC650&lt;=Config_Status!$B$2,"EFFICIENT",IF(AC650&lt;=Config_Status!$B$3,"NORMAL",IF(AC650&lt;=Config_Status!$B$4,"WARNING","OVER CONSUMPTION"))))</x:f>
        <x:v>OVER CONSUMPTION</x:v>
      </x:c>
      <x:c r="AE650" t="str">
        <x:f>IFERROR(VLOOKUP(G650,Master_Unit!$A$2:$N$78,13,FALSE),"UNIT NOT FOUND")</x:f>
        <x:v>Matched</x:v>
      </x:c>
    </x:row>
    <x:row r="651">
      <x:c r="A651" s="12" t="str">
        <x:v>FU-20260609-00650</x:v>
      </x:c>
      <x:c r="B651" s="12" t="n">
        <x:v>780</x:v>
      </x:c>
      <x:c r="C651" s="14" t="n">
        <x:v>46182</x:v>
      </x:c>
      <x:c r="D651" s="12" t="str">
        <x:v>Selasa</x:v>
      </x:c>
      <x:c r="E651" s="12" t="str">
        <x:v>08:02:00</x:v>
      </x:c>
      <x:c r="F651" s="12" t="str">
        <x:v>All Shift Day</x:v>
      </x:c>
      <x:c r="G651" s="12" t="str">
        <x:v>STRL44G146</x:v>
      </x:c>
      <x:c r="H651" s="12" t="str">
        <x:v>Dump Truck</x:v>
      </x:c>
      <x:c r="I651" s="12" t="str">
        <x:v>DUMP TRUCK RENAULT KRANGE440-P6X4 A/T</x:v>
      </x:c>
      <x:c r="J651" s="16" t="n">
        <x:v>164</x:v>
      </x:c>
      <x:c r="K651" s="16" t="n">
        <x:v>4939</x:v>
      </x:c>
      <x:c r="L651" s="16" t="n">
        <x:v>4946</x:v>
      </x:c>
      <x:c r="M651" s="16" t="n">
        <x:v>7</x:v>
      </x:c>
      <x:c r="N651" s="16" t="n">
        <x:v>23.428571428571427</x:v>
      </x:c>
      <x:c r="O651" s="12" t="str">
        <x:v>FTRL44G005</x:v>
      </x:c>
      <x:c r="P651" s="12" t="str">
        <x:v>STRL44G146</x:v>
      </x:c>
      <x:c r="Q651" s="12" t="str"/>
      <x:c r="R651" s="12" t="str"/>
      <x:c r="S651" s="12" t="str"/>
      <x:c r="T651" s="12" t="str">
        <x:v>ABM</x:v>
      </x:c>
      <x:c r="U651" s="12" t="str"/>
      <x:c r="V651" s="12" t="str"/>
      <x:c r="W651" s="12" t="str"/>
      <x:c r="X651" s="12" t="str">
        <x:v>STRL44</x:v>
      </x:c>
      <x:c r="Y651" s="12" t="str">
        <x:v>ANDI &amp; ANGGI</x:v>
      </x:c>
      <x:c r="Z651" s="12" t="str"/>
      <x:c r="AA651" s="32" t="n">
        <x:f>IFERROR(VLOOKUP(G651,Master_Unit!$A$2:$N$78,7,FALSE),"")</x:f>
        <x:v>20</x:v>
      </x:c>
      <x:c r="AB651" s="32" t="n">
        <x:f>IF(OR(N651="",AA651=""),"",N651-AA651)</x:f>
        <x:v>3.428571428571427</x:v>
      </x:c>
      <x:c r="AC651" s="20" t="n">
        <x:f>IF(OR(N651="",AA651="",AA651=0),"",AB651/AA651)</x:f>
        <x:v>0.17142857142857135</x:v>
      </x:c>
      <x:c r="AD651" t="str">
        <x:f>IF(AA651="","NO STANDARD",IF(AC651&lt;=Config_Status!$B$2,"EFFICIENT",IF(AC651&lt;=Config_Status!$B$3,"NORMAL",IF(AC651&lt;=Config_Status!$B$4,"WARNING","OVER CONSUMPTION"))))</x:f>
        <x:v>WARNING</x:v>
      </x:c>
      <x:c r="AE651" t="str">
        <x:f>IFERROR(VLOOKUP(G651,Master_Unit!$A$2:$N$78,13,FALSE),"UNIT NOT FOUND")</x:f>
        <x:v>Matched</x:v>
      </x:c>
    </x:row>
    <x:row r="652">
      <x:c r="A652" s="12" t="str">
        <x:v>FU-20260609-00651</x:v>
      </x:c>
      <x:c r="B652" s="12" t="n">
        <x:v>781</x:v>
      </x:c>
      <x:c r="C652" s="14" t="n">
        <x:v>46182</x:v>
      </x:c>
      <x:c r="D652" s="12" t="str">
        <x:v>Selasa</x:v>
      </x:c>
      <x:c r="E652" s="12" t="str">
        <x:v>08:05:00</x:v>
      </x:c>
      <x:c r="F652" s="12" t="str">
        <x:v>All Shift Day</x:v>
      </x:c>
      <x:c r="G652" s="12" t="str">
        <x:v>STRL44G152</x:v>
      </x:c>
      <x:c r="H652" s="12" t="str">
        <x:v>Dump Truck</x:v>
      </x:c>
      <x:c r="I652" s="12" t="str">
        <x:v>DUMP TRUCK RENAULT KRANGE440-P6X4 A/T</x:v>
      </x:c>
      <x:c r="J652" s="16" t="n">
        <x:v>160</x:v>
      </x:c>
      <x:c r="K652" s="16" t="n">
        <x:v>3705</x:v>
      </x:c>
      <x:c r="L652" s="16" t="n">
        <x:v>3711</x:v>
      </x:c>
      <x:c r="M652" s="16" t="n">
        <x:v>6</x:v>
      </x:c>
      <x:c r="N652" s="16" t="n">
        <x:v>26.666666666666668</x:v>
      </x:c>
      <x:c r="O652" s="12" t="str">
        <x:v>FTRL44G005</x:v>
      </x:c>
      <x:c r="P652" s="12" t="str">
        <x:v>STRL44G152</x:v>
      </x:c>
      <x:c r="Q652" s="12" t="str"/>
      <x:c r="R652" s="12" t="str"/>
      <x:c r="S652" s="12" t="str"/>
      <x:c r="T652" s="12" t="str">
        <x:v>ABM</x:v>
      </x:c>
      <x:c r="U652" s="12" t="str"/>
      <x:c r="V652" s="12" t="str"/>
      <x:c r="W652" s="12" t="str"/>
      <x:c r="X652" s="12" t="str">
        <x:v>STRL44</x:v>
      </x:c>
      <x:c r="Y652" s="12" t="str">
        <x:v>ANDI &amp; ANGGI</x:v>
      </x:c>
      <x:c r="Z652" s="12" t="str"/>
      <x:c r="AA652" s="32" t="n">
        <x:f>IFERROR(VLOOKUP(G652,Master_Unit!$A$2:$N$78,7,FALSE),"")</x:f>
        <x:v>20</x:v>
      </x:c>
      <x:c r="AB652" s="32" t="n">
        <x:f>IF(OR(N652="",AA652=""),"",N652-AA652)</x:f>
        <x:v>6.666666666666668</x:v>
      </x:c>
      <x:c r="AC652" s="20" t="n">
        <x:f>IF(OR(N652="",AA652="",AA652=0),"",AB652/AA652)</x:f>
        <x:v>0.33333333333333337</x:v>
      </x:c>
      <x:c r="AD652" t="str">
        <x:f>IF(AA652="","NO STANDARD",IF(AC652&lt;=Config_Status!$B$2,"EFFICIENT",IF(AC652&lt;=Config_Status!$B$3,"NORMAL",IF(AC652&lt;=Config_Status!$B$4,"WARNING","OVER CONSUMPTION"))))</x:f>
        <x:v>OVER CONSUMPTION</x:v>
      </x:c>
      <x:c r="AE652" t="str">
        <x:f>IFERROR(VLOOKUP(G652,Master_Unit!$A$2:$N$78,13,FALSE),"UNIT NOT FOUND")</x:f>
        <x:v>Matched</x:v>
      </x:c>
    </x:row>
    <x:row r="653">
      <x:c r="A653" s="12" t="str">
        <x:v>FU-20260609-00652</x:v>
      </x:c>
      <x:c r="B653" s="12" t="n">
        <x:v>782</x:v>
      </x:c>
      <x:c r="C653" s="14" t="n">
        <x:v>46182</x:v>
      </x:c>
      <x:c r="D653" s="12" t="str">
        <x:v>Selasa</x:v>
      </x:c>
      <x:c r="E653" s="12" t="str">
        <x:v>08:12:00</x:v>
      </x:c>
      <x:c r="F653" s="12" t="str">
        <x:v>All Shift Day</x:v>
      </x:c>
      <x:c r="G653" s="12" t="str">
        <x:v>STRL44G151</x:v>
      </x:c>
      <x:c r="H653" s="12" t="str">
        <x:v>Dump Truck</x:v>
      </x:c>
      <x:c r="I653" s="12" t="str">
        <x:v>DUMP TRUCK RENAULT KRANGE440-P6X4 A/T</x:v>
      </x:c>
      <x:c r="J653" s="16" t="n">
        <x:v>171</x:v>
      </x:c>
      <x:c r="K653" s="16" t="n">
        <x:v>4393</x:v>
      </x:c>
      <x:c r="L653" s="16" t="n">
        <x:v>4406</x:v>
      </x:c>
      <x:c r="M653" s="16" t="n">
        <x:v>13</x:v>
      </x:c>
      <x:c r="N653" s="16" t="n">
        <x:v>13.153846153846153</x:v>
      </x:c>
      <x:c r="O653" s="12" t="str">
        <x:v>FTRL44G005</x:v>
      </x:c>
      <x:c r="P653" s="12" t="str">
        <x:v>STRL44G151</x:v>
      </x:c>
      <x:c r="Q653" s="12" t="str"/>
      <x:c r="R653" s="12" t="str"/>
      <x:c r="S653" s="12" t="str"/>
      <x:c r="T653" s="12" t="str">
        <x:v>ABM</x:v>
      </x:c>
      <x:c r="U653" s="12" t="str"/>
      <x:c r="V653" s="12" t="str"/>
      <x:c r="W653" s="12" t="str"/>
      <x:c r="X653" s="12" t="str">
        <x:v>STRL44</x:v>
      </x:c>
      <x:c r="Y653" s="12" t="str">
        <x:v>ANDI &amp; ANGGI</x:v>
      </x:c>
      <x:c r="Z653" s="12" t="str"/>
      <x:c r="AA653" s="32" t="n">
        <x:f>IFERROR(VLOOKUP(G653,Master_Unit!$A$2:$N$78,7,FALSE),"")</x:f>
        <x:v>20</x:v>
      </x:c>
      <x:c r="AB653" s="32" t="n">
        <x:f>IF(OR(N653="",AA653=""),"",N653-AA653)</x:f>
        <x:v>-6.846153846153847</x:v>
      </x:c>
      <x:c r="AC653" s="20" t="n">
        <x:f>IF(OR(N653="",AA653="",AA653=0),"",AB653/AA653)</x:f>
        <x:v>-0.3423076923076923</x:v>
      </x:c>
      <x:c r="AD653" t="str">
        <x:f>IF(AA653="","NO STANDARD",IF(AC653&lt;=Config_Status!$B$2,"EFFICIENT",IF(AC653&lt;=Config_Status!$B$3,"NORMAL",IF(AC653&lt;=Config_Status!$B$4,"WARNING","OVER CONSUMPTION"))))</x:f>
        <x:v>EFFICIENT</x:v>
      </x:c>
      <x:c r="AE653" t="str">
        <x:f>IFERROR(VLOOKUP(G653,Master_Unit!$A$2:$N$78,13,FALSE),"UNIT NOT FOUND")</x:f>
        <x:v>Matched</x:v>
      </x:c>
    </x:row>
    <x:row r="654">
      <x:c r="A654" s="12" t="str">
        <x:v>FU-20260609-00653</x:v>
      </x:c>
      <x:c r="B654" s="12" t="n">
        <x:v>783</x:v>
      </x:c>
      <x:c r="C654" s="14" t="n">
        <x:v>46182</x:v>
      </x:c>
      <x:c r="D654" s="12" t="str">
        <x:v>Selasa</x:v>
      </x:c>
      <x:c r="E654" s="12" t="str">
        <x:v>08:13:00</x:v>
      </x:c>
      <x:c r="F654" s="12" t="str">
        <x:v>All Shift Day</x:v>
      </x:c>
      <x:c r="G654" s="12" t="str">
        <x:v>STRL44G139</x:v>
      </x:c>
      <x:c r="H654" s="12" t="str">
        <x:v>Dump Truck</x:v>
      </x:c>
      <x:c r="I654" s="12" t="str">
        <x:v>DUMP TRUCK RENAULT KRANGE440-P6X4 A/T</x:v>
      </x:c>
      <x:c r="J654" s="16" t="n">
        <x:v>163</x:v>
      </x:c>
      <x:c r="K654" s="16" t="n">
        <x:v>4977</x:v>
      </x:c>
      <x:c r="L654" s="16" t="n">
        <x:v>4984</x:v>
      </x:c>
      <x:c r="M654" s="16" t="n">
        <x:v>7</x:v>
      </x:c>
      <x:c r="N654" s="16" t="n">
        <x:v>23.285714285714285</x:v>
      </x:c>
      <x:c r="O654" s="12" t="str">
        <x:v>FTRL44G005</x:v>
      </x:c>
      <x:c r="P654" s="12" t="str">
        <x:v>STRL44G139</x:v>
      </x:c>
      <x:c r="Q654" s="12" t="str"/>
      <x:c r="R654" s="12" t="str"/>
      <x:c r="S654" s="12" t="str"/>
      <x:c r="T654" s="12" t="str">
        <x:v>ABM</x:v>
      </x:c>
      <x:c r="U654" s="12" t="str"/>
      <x:c r="V654" s="12" t="str"/>
      <x:c r="W654" s="12" t="str"/>
      <x:c r="X654" s="12" t="str">
        <x:v>STRL44</x:v>
      </x:c>
      <x:c r="Y654" s="12" t="str">
        <x:v>ANDI &amp; ANGGI</x:v>
      </x:c>
      <x:c r="Z654" s="12" t="str"/>
      <x:c r="AA654" s="32" t="n">
        <x:f>IFERROR(VLOOKUP(G654,Master_Unit!$A$2:$N$78,7,FALSE),"")</x:f>
        <x:v>20</x:v>
      </x:c>
      <x:c r="AB654" s="32" t="n">
        <x:f>IF(OR(N654="",AA654=""),"",N654-AA654)</x:f>
        <x:v>3.2857142857142847</x:v>
      </x:c>
      <x:c r="AC654" s="20" t="n">
        <x:f>IF(OR(N654="",AA654="",AA654=0),"",AB654/AA654)</x:f>
        <x:v>0.16428571428571423</x:v>
      </x:c>
      <x:c r="AD654" t="str">
        <x:f>IF(AA654="","NO STANDARD",IF(AC654&lt;=Config_Status!$B$2,"EFFICIENT",IF(AC654&lt;=Config_Status!$B$3,"NORMAL",IF(AC654&lt;=Config_Status!$B$4,"WARNING","OVER CONSUMPTION"))))</x:f>
        <x:v>WARNING</x:v>
      </x:c>
      <x:c r="AE654" t="str">
        <x:f>IFERROR(VLOOKUP(G654,Master_Unit!$A$2:$N$78,13,FALSE),"UNIT NOT FOUND")</x:f>
        <x:v>Matched</x:v>
      </x:c>
    </x:row>
    <x:row r="655">
      <x:c r="A655" s="12" t="str">
        <x:v>FU-20260609-00654</x:v>
      </x:c>
      <x:c r="B655" s="12" t="n">
        <x:v>784</x:v>
      </x:c>
      <x:c r="C655" s="14" t="n">
        <x:v>46182</x:v>
      </x:c>
      <x:c r="D655" s="12" t="str">
        <x:v>Selasa</x:v>
      </x:c>
      <x:c r="E655" s="12" t="str">
        <x:v>08:16:00</x:v>
      </x:c>
      <x:c r="F655" s="12" t="str">
        <x:v>All Shift Day</x:v>
      </x:c>
      <x:c r="G655" s="12" t="str">
        <x:v>STRL44G154</x:v>
      </x:c>
      <x:c r="H655" s="12" t="str">
        <x:v>Dump Truck</x:v>
      </x:c>
      <x:c r="I655" s="12" t="str">
        <x:v>DUMP TRUCK RENAULT KRANGE440-P6X4 A/T</x:v>
      </x:c>
      <x:c r="J655" s="16" t="n">
        <x:v>163</x:v>
      </x:c>
      <x:c r="K655" s="16" t="n">
        <x:v>4098</x:v>
      </x:c>
      <x:c r="L655" s="16" t="n">
        <x:v>4105</x:v>
      </x:c>
      <x:c r="M655" s="16" t="n">
        <x:v>7</x:v>
      </x:c>
      <x:c r="N655" s="16" t="n">
        <x:v>23.285714285714285</x:v>
      </x:c>
      <x:c r="O655" s="12" t="str">
        <x:v>FTRL44G005</x:v>
      </x:c>
      <x:c r="P655" s="12" t="str">
        <x:v>STRL44G154</x:v>
      </x:c>
      <x:c r="Q655" s="12" t="str"/>
      <x:c r="R655" s="12" t="str"/>
      <x:c r="S655" s="12" t="str"/>
      <x:c r="T655" s="12" t="str">
        <x:v>ABM</x:v>
      </x:c>
      <x:c r="U655" s="12" t="str"/>
      <x:c r="V655" s="12" t="str"/>
      <x:c r="W655" s="12" t="str"/>
      <x:c r="X655" s="12" t="str">
        <x:v>STRL44</x:v>
      </x:c>
      <x:c r="Y655" s="12" t="str">
        <x:v>ANDI &amp; ANGGI</x:v>
      </x:c>
      <x:c r="Z655" s="12" t="str"/>
      <x:c r="AA655" s="32" t="n">
        <x:f>IFERROR(VLOOKUP(G655,Master_Unit!$A$2:$N$78,7,FALSE),"")</x:f>
        <x:v>20</x:v>
      </x:c>
      <x:c r="AB655" s="32" t="n">
        <x:f>IF(OR(N655="",AA655=""),"",N655-AA655)</x:f>
        <x:v>3.2857142857142847</x:v>
      </x:c>
      <x:c r="AC655" s="20" t="n">
        <x:f>IF(OR(N655="",AA655="",AA655=0),"",AB655/AA655)</x:f>
        <x:v>0.16428571428571423</x:v>
      </x:c>
      <x:c r="AD655" t="str">
        <x:f>IF(AA655="","NO STANDARD",IF(AC655&lt;=Config_Status!$B$2,"EFFICIENT",IF(AC655&lt;=Config_Status!$B$3,"NORMAL",IF(AC655&lt;=Config_Status!$B$4,"WARNING","OVER CONSUMPTION"))))</x:f>
        <x:v>WARNING</x:v>
      </x:c>
      <x:c r="AE655" t="str">
        <x:f>IFERROR(VLOOKUP(G655,Master_Unit!$A$2:$N$78,13,FALSE),"UNIT NOT FOUND")</x:f>
        <x:v>Matched</x:v>
      </x:c>
    </x:row>
    <x:row r="656">
      <x:c r="A656" s="12" t="str">
        <x:v>FU-20260609-00655</x:v>
      </x:c>
      <x:c r="B656" s="12" t="n">
        <x:v>785</x:v>
      </x:c>
      <x:c r="C656" s="14" t="n">
        <x:v>46182</x:v>
      </x:c>
      <x:c r="D656" s="12" t="str">
        <x:v>Selasa</x:v>
      </x:c>
      <x:c r="E656" s="12" t="str">
        <x:v>08:19:00</x:v>
      </x:c>
      <x:c r="F656" s="12" t="str">
        <x:v>All Shift Day</x:v>
      </x:c>
      <x:c r="G656" s="12" t="str">
        <x:v>STRL44G142</x:v>
      </x:c>
      <x:c r="H656" s="12" t="str">
        <x:v>Dump Truck</x:v>
      </x:c>
      <x:c r="I656" s="12" t="str">
        <x:v>DUMP TRUCK RENAULT KRANGE440-P6X4 A/T</x:v>
      </x:c>
      <x:c r="J656" s="16" t="n">
        <x:v>163</x:v>
      </x:c>
      <x:c r="K656" s="16" t="n">
        <x:v>3348</x:v>
      </x:c>
      <x:c r="L656" s="16" t="n">
        <x:v>3355</x:v>
      </x:c>
      <x:c r="M656" s="16" t="n">
        <x:v>7</x:v>
      </x:c>
      <x:c r="N656" s="16" t="n">
        <x:v>23.285714285714285</x:v>
      </x:c>
      <x:c r="O656" s="12" t="str">
        <x:v>FTRL44G005</x:v>
      </x:c>
      <x:c r="P656" s="12" t="str">
        <x:v>STRL44G142</x:v>
      </x:c>
      <x:c r="Q656" s="12" t="str"/>
      <x:c r="R656" s="12" t="str"/>
      <x:c r="S656" s="12" t="str"/>
      <x:c r="T656" s="12" t="str">
        <x:v>ABM</x:v>
      </x:c>
      <x:c r="U656" s="12" t="str"/>
      <x:c r="V656" s="12" t="str"/>
      <x:c r="W656" s="12" t="str"/>
      <x:c r="X656" s="12" t="str">
        <x:v>STRL44</x:v>
      </x:c>
      <x:c r="Y656" s="12" t="str">
        <x:v>ANDI &amp; ANGGI</x:v>
      </x:c>
      <x:c r="Z656" s="12" t="str"/>
      <x:c r="AA656" s="32" t="n">
        <x:f>IFERROR(VLOOKUP(G656,Master_Unit!$A$2:$N$78,7,FALSE),"")</x:f>
        <x:v>20</x:v>
      </x:c>
      <x:c r="AB656" s="32" t="n">
        <x:f>IF(OR(N656="",AA656=""),"",N656-AA656)</x:f>
        <x:v>3.2857142857142847</x:v>
      </x:c>
      <x:c r="AC656" s="20" t="n">
        <x:f>IF(OR(N656="",AA656="",AA656=0),"",AB656/AA656)</x:f>
        <x:v>0.16428571428571423</x:v>
      </x:c>
      <x:c r="AD656" t="str">
        <x:f>IF(AA656="","NO STANDARD",IF(AC656&lt;=Config_Status!$B$2,"EFFICIENT",IF(AC656&lt;=Config_Status!$B$3,"NORMAL",IF(AC656&lt;=Config_Status!$B$4,"WARNING","OVER CONSUMPTION"))))</x:f>
        <x:v>WARNING</x:v>
      </x:c>
      <x:c r="AE656" t="str">
        <x:f>IFERROR(VLOOKUP(G656,Master_Unit!$A$2:$N$78,13,FALSE),"UNIT NOT FOUND")</x:f>
        <x:v>Matched</x:v>
      </x:c>
    </x:row>
    <x:row r="657">
      <x:c r="A657" s="12" t="str">
        <x:v>FU-20260609-00656</x:v>
      </x:c>
      <x:c r="B657" s="12" t="n">
        <x:v>786</x:v>
      </x:c>
      <x:c r="C657" s="14" t="n">
        <x:v>46182</x:v>
      </x:c>
      <x:c r="D657" s="12" t="str">
        <x:v>Selasa</x:v>
      </x:c>
      <x:c r="E657" s="12" t="str">
        <x:v>08:22:00</x:v>
      </x:c>
      <x:c r="F657" s="12" t="str">
        <x:v>All Shift Day</x:v>
      </x:c>
      <x:c r="G657" s="12" t="str">
        <x:v>STRL44G157</x:v>
      </x:c>
      <x:c r="H657" s="12" t="str">
        <x:v>Dump Truck</x:v>
      </x:c>
      <x:c r="I657" s="12" t="str">
        <x:v>DUMP TRUCK RENAULT KRANGE440-P6X4 A/T</x:v>
      </x:c>
      <x:c r="J657" s="16" t="n">
        <x:v>164</x:v>
      </x:c>
      <x:c r="K657" s="16" t="n">
        <x:v>4068</x:v>
      </x:c>
      <x:c r="L657" s="16" t="n">
        <x:v>4075</x:v>
      </x:c>
      <x:c r="M657" s="16" t="n">
        <x:v>7</x:v>
      </x:c>
      <x:c r="N657" s="16" t="n">
        <x:v>23.428571428571427</x:v>
      </x:c>
      <x:c r="O657" s="12" t="str">
        <x:v>FTRL44G005</x:v>
      </x:c>
      <x:c r="P657" s="12" t="str">
        <x:v>STRL44G157</x:v>
      </x:c>
      <x:c r="Q657" s="12" t="str"/>
      <x:c r="R657" s="12" t="str"/>
      <x:c r="S657" s="12" t="str"/>
      <x:c r="T657" s="12" t="str">
        <x:v>ABM</x:v>
      </x:c>
      <x:c r="U657" s="12" t="str"/>
      <x:c r="V657" s="12" t="str"/>
      <x:c r="W657" s="12" t="str"/>
      <x:c r="X657" s="12" t="str">
        <x:v>STRL44</x:v>
      </x:c>
      <x:c r="Y657" s="12" t="str">
        <x:v>ANDI &amp; ANGGI</x:v>
      </x:c>
      <x:c r="Z657" s="12" t="str"/>
      <x:c r="AA657" s="32" t="n">
        <x:f>IFERROR(VLOOKUP(G657,Master_Unit!$A$2:$N$78,7,FALSE),"")</x:f>
        <x:v>20</x:v>
      </x:c>
      <x:c r="AB657" s="32" t="n">
        <x:f>IF(OR(N657="",AA657=""),"",N657-AA657)</x:f>
        <x:v>3.428571428571427</x:v>
      </x:c>
      <x:c r="AC657" s="20" t="n">
        <x:f>IF(OR(N657="",AA657="",AA657=0),"",AB657/AA657)</x:f>
        <x:v>0.17142857142857135</x:v>
      </x:c>
      <x:c r="AD657" t="str">
        <x:f>IF(AA657="","NO STANDARD",IF(AC657&lt;=Config_Status!$B$2,"EFFICIENT",IF(AC657&lt;=Config_Status!$B$3,"NORMAL",IF(AC657&lt;=Config_Status!$B$4,"WARNING","OVER CONSUMPTION"))))</x:f>
        <x:v>WARNING</x:v>
      </x:c>
      <x:c r="AE657" t="str">
        <x:f>IFERROR(VLOOKUP(G657,Master_Unit!$A$2:$N$78,13,FALSE),"UNIT NOT FOUND")</x:f>
        <x:v>Matched</x:v>
      </x:c>
    </x:row>
    <x:row r="658">
      <x:c r="A658" s="12" t="str">
        <x:v>FU-20260609-00657</x:v>
      </x:c>
      <x:c r="B658" s="12" t="n">
        <x:v>787</x:v>
      </x:c>
      <x:c r="C658" s="14" t="n">
        <x:v>46182</x:v>
      </x:c>
      <x:c r="D658" s="12" t="str">
        <x:v>Selasa</x:v>
      </x:c>
      <x:c r="E658" s="12" t="str">
        <x:v>08:31:00</x:v>
      </x:c>
      <x:c r="F658" s="12" t="str">
        <x:v>All Shift Day</x:v>
      </x:c>
      <x:c r="G658" s="12" t="str">
        <x:v>STRL44G155</x:v>
      </x:c>
      <x:c r="H658" s="12" t="str">
        <x:v>Dump Truck</x:v>
      </x:c>
      <x:c r="I658" s="12" t="str">
        <x:v>DUMP TRUCK RENAULT KRANGE440-P6X4 A/T</x:v>
      </x:c>
      <x:c r="J658" s="16" t="n">
        <x:v>163</x:v>
      </x:c>
      <x:c r="K658" s="16" t="n">
        <x:v>3967</x:v>
      </x:c>
      <x:c r="L658" s="16" t="n">
        <x:v>3974</x:v>
      </x:c>
      <x:c r="M658" s="16" t="n">
        <x:v>7</x:v>
      </x:c>
      <x:c r="N658" s="16" t="n">
        <x:v>23.285714285714285</x:v>
      </x:c>
      <x:c r="O658" s="12" t="str">
        <x:v>FTRL44G005</x:v>
      </x:c>
      <x:c r="P658" s="12" t="str">
        <x:v>STRL44G155</x:v>
      </x:c>
      <x:c r="Q658" s="12" t="str"/>
      <x:c r="R658" s="12" t="str"/>
      <x:c r="S658" s="12" t="str"/>
      <x:c r="T658" s="12" t="str">
        <x:v>ABM</x:v>
      </x:c>
      <x:c r="U658" s="12" t="str"/>
      <x:c r="V658" s="12" t="str"/>
      <x:c r="W658" s="12" t="str"/>
      <x:c r="X658" s="12" t="str">
        <x:v>STRL44</x:v>
      </x:c>
      <x:c r="Y658" s="12" t="str">
        <x:v>ANDI &amp; ANGGI</x:v>
      </x:c>
      <x:c r="Z658" s="12" t="str"/>
      <x:c r="AA658" s="32" t="n">
        <x:f>IFERROR(VLOOKUP(G658,Master_Unit!$A$2:$N$78,7,FALSE),"")</x:f>
        <x:v>20</x:v>
      </x:c>
      <x:c r="AB658" s="32" t="n">
        <x:f>IF(OR(N658="",AA658=""),"",N658-AA658)</x:f>
        <x:v>3.2857142857142847</x:v>
      </x:c>
      <x:c r="AC658" s="20" t="n">
        <x:f>IF(OR(N658="",AA658="",AA658=0),"",AB658/AA658)</x:f>
        <x:v>0.16428571428571423</x:v>
      </x:c>
      <x:c r="AD658" t="str">
        <x:f>IF(AA658="","NO STANDARD",IF(AC658&lt;=Config_Status!$B$2,"EFFICIENT",IF(AC658&lt;=Config_Status!$B$3,"NORMAL",IF(AC658&lt;=Config_Status!$B$4,"WARNING","OVER CONSUMPTION"))))</x:f>
        <x:v>WARNING</x:v>
      </x:c>
      <x:c r="AE658" t="str">
        <x:f>IFERROR(VLOOKUP(G658,Master_Unit!$A$2:$N$78,13,FALSE),"UNIT NOT FOUND")</x:f>
        <x:v>Matched</x:v>
      </x:c>
    </x:row>
    <x:row r="659">
      <x:c r="A659" s="12" t="str">
        <x:v>FU-20260609-00658</x:v>
      </x:c>
      <x:c r="B659" s="12" t="n">
        <x:v>788</x:v>
      </x:c>
      <x:c r="C659" s="14" t="n">
        <x:v>46182</x:v>
      </x:c>
      <x:c r="D659" s="12" t="str">
        <x:v>Selasa</x:v>
      </x:c>
      <x:c r="E659" s="12" t="str">
        <x:v>08:36:00</x:v>
      </x:c>
      <x:c r="F659" s="12" t="str">
        <x:v>All Shift Day</x:v>
      </x:c>
      <x:c r="G659" s="12" t="str">
        <x:v>STRL44G143</x:v>
      </x:c>
      <x:c r="H659" s="12" t="str">
        <x:v>Dump Truck</x:v>
      </x:c>
      <x:c r="I659" s="12" t="str">
        <x:v>DUMP TRUCK RENAULT KRANGE440-P6X4 A/T</x:v>
      </x:c>
      <x:c r="J659" s="16" t="n">
        <x:v>163</x:v>
      </x:c>
      <x:c r="K659" s="16" t="n">
        <x:v>5240</x:v>
      </x:c>
      <x:c r="L659" s="16" t="n">
        <x:v>5247</x:v>
      </x:c>
      <x:c r="M659" s="16" t="n">
        <x:v>7</x:v>
      </x:c>
      <x:c r="N659" s="16" t="n">
        <x:v>23.285714285714285</x:v>
      </x:c>
      <x:c r="O659" s="12" t="str">
        <x:v>FTRL44G005</x:v>
      </x:c>
      <x:c r="P659" s="12" t="str">
        <x:v>STRL44G143</x:v>
      </x:c>
      <x:c r="Q659" s="12" t="str"/>
      <x:c r="R659" s="12" t="str"/>
      <x:c r="S659" s="12" t="str"/>
      <x:c r="T659" s="12" t="str">
        <x:v>ABM</x:v>
      </x:c>
      <x:c r="U659" s="12" t="str"/>
      <x:c r="V659" s="12" t="str"/>
      <x:c r="W659" s="12" t="str"/>
      <x:c r="X659" s="12" t="str">
        <x:v>STRL44</x:v>
      </x:c>
      <x:c r="Y659" s="12" t="str">
        <x:v>ANDI &amp; ANGGI</x:v>
      </x:c>
      <x:c r="Z659" s="12" t="str"/>
      <x:c r="AA659" s="32" t="n">
        <x:f>IFERROR(VLOOKUP(G659,Master_Unit!$A$2:$N$78,7,FALSE),"")</x:f>
        <x:v>20</x:v>
      </x:c>
      <x:c r="AB659" s="32" t="n">
        <x:f>IF(OR(N659="",AA659=""),"",N659-AA659)</x:f>
        <x:v>3.2857142857142847</x:v>
      </x:c>
      <x:c r="AC659" s="20" t="n">
        <x:f>IF(OR(N659="",AA659="",AA659=0),"",AB659/AA659)</x:f>
        <x:v>0.16428571428571423</x:v>
      </x:c>
      <x:c r="AD659" t="str">
        <x:f>IF(AA659="","NO STANDARD",IF(AC659&lt;=Config_Status!$B$2,"EFFICIENT",IF(AC659&lt;=Config_Status!$B$3,"NORMAL",IF(AC659&lt;=Config_Status!$B$4,"WARNING","OVER CONSUMPTION"))))</x:f>
        <x:v>WARNING</x:v>
      </x:c>
      <x:c r="AE659" t="str">
        <x:f>IFERROR(VLOOKUP(G659,Master_Unit!$A$2:$N$78,13,FALSE),"UNIT NOT FOUND")</x:f>
        <x:v>Matched</x:v>
      </x:c>
    </x:row>
    <x:row r="660">
      <x:c r="A660" s="12" t="str">
        <x:v>FU-20260609-00659</x:v>
      </x:c>
      <x:c r="B660" s="12" t="n">
        <x:v>789</x:v>
      </x:c>
      <x:c r="C660" s="14" t="n">
        <x:v>46182</x:v>
      </x:c>
      <x:c r="D660" s="12" t="str">
        <x:v>Selasa</x:v>
      </x:c>
      <x:c r="E660" s="12" t="str">
        <x:v>08:37:00</x:v>
      </x:c>
      <x:c r="F660" s="12" t="str">
        <x:v>All Shift Day</x:v>
      </x:c>
      <x:c r="G660" s="12" t="str">
        <x:v>STRL44G149</x:v>
      </x:c>
      <x:c r="H660" s="12" t="str">
        <x:v>Dump Truck</x:v>
      </x:c>
      <x:c r="I660" s="12" t="str">
        <x:v>DUMP TRUCK RENAULT KRANGE440-P6X4 A/T</x:v>
      </x:c>
      <x:c r="J660" s="16" t="n">
        <x:v>153</x:v>
      </x:c>
      <x:c r="K660" s="16" t="n">
        <x:v>4300</x:v>
      </x:c>
      <x:c r="L660" s="16" t="n">
        <x:v>4306</x:v>
      </x:c>
      <x:c r="M660" s="16" t="n">
        <x:v>6</x:v>
      </x:c>
      <x:c r="N660" s="16" t="n">
        <x:v>25.5</x:v>
      </x:c>
      <x:c r="O660" s="12" t="str">
        <x:v>FTRL44G005</x:v>
      </x:c>
      <x:c r="P660" s="12" t="str">
        <x:v>STRL44G149</x:v>
      </x:c>
      <x:c r="Q660" s="12" t="str"/>
      <x:c r="R660" s="12" t="str"/>
      <x:c r="S660" s="12" t="str"/>
      <x:c r="T660" s="12" t="str">
        <x:v>ABM</x:v>
      </x:c>
      <x:c r="U660" s="12" t="str"/>
      <x:c r="V660" s="12" t="str"/>
      <x:c r="W660" s="12" t="str"/>
      <x:c r="X660" s="12" t="str">
        <x:v>STRL44</x:v>
      </x:c>
      <x:c r="Y660" s="12" t="str">
        <x:v>ANDI &amp; ANGGI</x:v>
      </x:c>
      <x:c r="Z660" s="12" t="str"/>
      <x:c r="AA660" s="32" t="n">
        <x:f>IFERROR(VLOOKUP(G660,Master_Unit!$A$2:$N$78,7,FALSE),"")</x:f>
        <x:v>20</x:v>
      </x:c>
      <x:c r="AB660" s="32" t="n">
        <x:f>IF(OR(N660="",AA660=""),"",N660-AA660)</x:f>
        <x:v>5.5</x:v>
      </x:c>
      <x:c r="AC660" s="20" t="n">
        <x:f>IF(OR(N660="",AA660="",AA660=0),"",AB660/AA660)</x:f>
        <x:v>0.275</x:v>
      </x:c>
      <x:c r="AD660" t="str">
        <x:f>IF(AA660="","NO STANDARD",IF(AC660&lt;=Config_Status!$B$2,"EFFICIENT",IF(AC660&lt;=Config_Status!$B$3,"NORMAL",IF(AC660&lt;=Config_Status!$B$4,"WARNING","OVER CONSUMPTION"))))</x:f>
        <x:v>OVER CONSUMPTION</x:v>
      </x:c>
      <x:c r="AE660" t="str">
        <x:f>IFERROR(VLOOKUP(G660,Master_Unit!$A$2:$N$78,13,FALSE),"UNIT NOT FOUND")</x:f>
        <x:v>Matched</x:v>
      </x:c>
    </x:row>
    <x:row r="661">
      <x:c r="A661" s="12" t="str">
        <x:v>FU-20260609-00660</x:v>
      </x:c>
      <x:c r="B661" s="12" t="n">
        <x:v>790</x:v>
      </x:c>
      <x:c r="C661" s="14" t="n">
        <x:v>46182</x:v>
      </x:c>
      <x:c r="D661" s="12" t="str">
        <x:v>Selasa</x:v>
      </x:c>
      <x:c r="E661" s="12" t="str">
        <x:v>09:03:00</x:v>
      </x:c>
      <x:c r="F661" s="12" t="str">
        <x:v>All Shift Day</x:v>
      </x:c>
      <x:c r="G661" s="12" t="str">
        <x:v>STRL44G144</x:v>
      </x:c>
      <x:c r="H661" s="12" t="str">
        <x:v>Dump Truck</x:v>
      </x:c>
      <x:c r="I661" s="12" t="str">
        <x:v>DUMP TRUCK RENAULT KRANGE440-P6X4 A/T</x:v>
      </x:c>
      <x:c r="J661" s="16" t="n">
        <x:v>153</x:v>
      </x:c>
      <x:c r="K661" s="16" t="n">
        <x:v>1535</x:v>
      </x:c>
      <x:c r="L661" s="16" t="n">
        <x:v>1541</x:v>
      </x:c>
      <x:c r="M661" s="16" t="n">
        <x:v>6</x:v>
      </x:c>
      <x:c r="N661" s="16" t="n">
        <x:v>25.5</x:v>
      </x:c>
      <x:c r="O661" s="12" t="str">
        <x:v>FTRL44G005</x:v>
      </x:c>
      <x:c r="P661" s="12" t="str">
        <x:v>STRL44G144</x:v>
      </x:c>
      <x:c r="Q661" s="12" t="str"/>
      <x:c r="R661" s="12" t="str"/>
      <x:c r="S661" s="12" t="str"/>
      <x:c r="T661" s="12" t="str">
        <x:v>ABM</x:v>
      </x:c>
      <x:c r="U661" s="12" t="str"/>
      <x:c r="V661" s="12" t="str"/>
      <x:c r="W661" s="12" t="str"/>
      <x:c r="X661" s="12" t="str">
        <x:v>STRL44</x:v>
      </x:c>
      <x:c r="Y661" s="12" t="str">
        <x:v>ANDI &amp; ANGGI</x:v>
      </x:c>
      <x:c r="Z661" s="12" t="str"/>
      <x:c r="AA661" s="32" t="n">
        <x:f>IFERROR(VLOOKUP(G661,Master_Unit!$A$2:$N$78,7,FALSE),"")</x:f>
        <x:v>20</x:v>
      </x:c>
      <x:c r="AB661" s="32" t="n">
        <x:f>IF(OR(N661="",AA661=""),"",N661-AA661)</x:f>
        <x:v>5.5</x:v>
      </x:c>
      <x:c r="AC661" s="20" t="n">
        <x:f>IF(OR(N661="",AA661="",AA661=0),"",AB661/AA661)</x:f>
        <x:v>0.275</x:v>
      </x:c>
      <x:c r="AD661" t="str">
        <x:f>IF(AA661="","NO STANDARD",IF(AC661&lt;=Config_Status!$B$2,"EFFICIENT",IF(AC661&lt;=Config_Status!$B$3,"NORMAL",IF(AC661&lt;=Config_Status!$B$4,"WARNING","OVER CONSUMPTION"))))</x:f>
        <x:v>OVER CONSUMPTION</x:v>
      </x:c>
      <x:c r="AE661" t="str">
        <x:f>IFERROR(VLOOKUP(G661,Master_Unit!$A$2:$N$78,13,FALSE),"UNIT NOT FOUND")</x:f>
        <x:v>Matched</x:v>
      </x:c>
    </x:row>
    <x:row r="662">
      <x:c r="A662" s="12" t="str">
        <x:v>FU-20260609-00661</x:v>
      </x:c>
      <x:c r="B662" s="12" t="n">
        <x:v>791</x:v>
      </x:c>
      <x:c r="C662" s="14" t="n">
        <x:v>46182</x:v>
      </x:c>
      <x:c r="D662" s="12" t="str">
        <x:v>Selasa</x:v>
      </x:c>
      <x:c r="E662" s="12" t="str">
        <x:v>18:21:00</x:v>
      </x:c>
      <x:c r="F662" s="12" t="str">
        <x:v>All Shift Night</x:v>
      </x:c>
      <x:c r="G662" s="12" t="str">
        <x:v>EXVV35G004</x:v>
      </x:c>
      <x:c r="H662" s="12" t="str">
        <x:v>Excavator</x:v>
      </x:c>
      <x:c r="I662" s="12" t="str">
        <x:v>EXCAVATOR VOLVO EC350D</x:v>
      </x:c>
      <x:c r="J662" s="16" t="n">
        <x:v>213</x:v>
      </x:c>
      <x:c r="K662" s="16" t="n">
        <x:v>2562.1</x:v>
      </x:c>
      <x:c r="L662" s="16" t="n">
        <x:v>2566.3</x:v>
      </x:c>
      <x:c r="M662" s="16" t="n">
        <x:v>4.200000000000273</x:v>
      </x:c>
      <x:c r="N662" s="16" t="n">
        <x:v>50.71428571428242</x:v>
      </x:c>
      <x:c r="O662" s="12" t="str">
        <x:v>FTRL44G004</x:v>
      </x:c>
      <x:c r="P662" s="12" t="str">
        <x:v>EXVV35G004</x:v>
      </x:c>
      <x:c r="Q662" s="12" t="str"/>
      <x:c r="R662" s="12" t="str"/>
      <x:c r="S662" s="12" t="str"/>
      <x:c r="T662" s="12" t="str">
        <x:v>ABM</x:v>
      </x:c>
      <x:c r="U662" s="12" t="str"/>
      <x:c r="V662" s="12" t="str"/>
      <x:c r="W662" s="12" t="str"/>
      <x:c r="X662" s="12" t="str">
        <x:v>EXVV35</x:v>
      </x:c>
      <x:c r="Y662" s="12" t="str">
        <x:v>RAFIF &amp; YOGI</x:v>
      </x:c>
      <x:c r="Z662" s="12" t="str"/>
      <x:c r="AA662" s="32" t="n">
        <x:f>IFERROR(VLOOKUP(G662,Master_Unit!$A$2:$N$78,7,FALSE),"")</x:f>
        <x:v>25</x:v>
      </x:c>
      <x:c r="AB662" s="32" t="n">
        <x:f>IF(OR(N662="",AA662=""),"",N662-AA662)</x:f>
        <x:v>25.71428571428242</x:v>
      </x:c>
      <x:c r="AC662" s="20" t="n">
        <x:f>IF(OR(N662="",AA662="",AA662=0),"",AB662/AA662)</x:f>
        <x:v>1.0285714285712968</x:v>
      </x:c>
      <x:c r="AD662" t="str">
        <x:f>IF(AA662="","NO STANDARD",IF(AC662&lt;=Config_Status!$B$2,"EFFICIENT",IF(AC662&lt;=Config_Status!$B$3,"NORMAL",IF(AC662&lt;=Config_Status!$B$4,"WARNING","OVER CONSUMPTION"))))</x:f>
        <x:v>OVER CONSUMPTION</x:v>
      </x:c>
      <x:c r="AE662" t="str">
        <x:f>IFERROR(VLOOKUP(G662,Master_Unit!$A$2:$N$78,13,FALSE),"UNIT NOT FOUND")</x:f>
        <x:v>Matched</x:v>
      </x:c>
    </x:row>
    <x:row r="663">
      <x:c r="A663" s="12" t="str">
        <x:v>FU-20260609-00662</x:v>
      </x:c>
      <x:c r="B663" s="12" t="n">
        <x:v>792</x:v>
      </x:c>
      <x:c r="C663" s="14" t="n">
        <x:v>46182</x:v>
      </x:c>
      <x:c r="D663" s="12" t="str">
        <x:v>Selasa</x:v>
      </x:c>
      <x:c r="E663" s="12" t="str">
        <x:v>18:28:00</x:v>
      </x:c>
      <x:c r="F663" s="12" t="str">
        <x:v>All Shift Night</x:v>
      </x:c>
      <x:c r="G663" s="12" t="str">
        <x:v>EXVV21G036</x:v>
      </x:c>
      <x:c r="H663" s="12" t="str">
        <x:v>Excavator</x:v>
      </x:c>
      <x:c r="I663" s="12" t="str">
        <x:v>EXCAVATOR VOLVO EC210D</x:v>
      </x:c>
      <x:c r="J663" s="16" t="n">
        <x:v>158</x:v>
      </x:c>
      <x:c r="K663" s="16" t="n">
        <x:v>7569.1</x:v>
      </x:c>
      <x:c r="L663" s="16" t="n">
        <x:v>7573.3</x:v>
      </x:c>
      <x:c r="M663" s="16" t="n">
        <x:v>4.199999999999818</x:v>
      </x:c>
      <x:c r="N663" s="16" t="n">
        <x:v>37.61904761904925</x:v>
      </x:c>
      <x:c r="O663" s="12" t="str">
        <x:v>FTRL44G004</x:v>
      </x:c>
      <x:c r="P663" s="12" t="str">
        <x:v>EXVV21G036</x:v>
      </x:c>
      <x:c r="Q663" s="12" t="str"/>
      <x:c r="R663" s="12" t="str"/>
      <x:c r="S663" s="12" t="str"/>
      <x:c r="T663" s="12" t="str">
        <x:v>ABM</x:v>
      </x:c>
      <x:c r="U663" s="12" t="str"/>
      <x:c r="V663" s="12" t="str"/>
      <x:c r="W663" s="12" t="str"/>
      <x:c r="X663" s="12" t="str">
        <x:v>EXVV21</x:v>
      </x:c>
      <x:c r="Y663" s="12" t="str">
        <x:v>RAFIF &amp; YOGI</x:v>
      </x:c>
      <x:c r="Z663" s="12" t="str"/>
      <x:c r="AA663" s="32" t="n">
        <x:f>IFERROR(VLOOKUP(G663,Master_Unit!$A$2:$N$78,7,FALSE),"")</x:f>
        <x:v>20</x:v>
      </x:c>
      <x:c r="AB663" s="32" t="n">
        <x:f>IF(OR(N663="",AA663=""),"",N663-AA663)</x:f>
        <x:v>17.619047619049248</x:v>
      </x:c>
      <x:c r="AC663" s="20" t="n">
        <x:f>IF(OR(N663="",AA663="",AA663=0),"",AB663/AA663)</x:f>
        <x:v>0.8809523809524624</x:v>
      </x:c>
      <x:c r="AD663" t="str">
        <x:f>IF(AA663="","NO STANDARD",IF(AC663&lt;=Config_Status!$B$2,"EFFICIENT",IF(AC663&lt;=Config_Status!$B$3,"NORMAL",IF(AC663&lt;=Config_Status!$B$4,"WARNING","OVER CONSUMPTION"))))</x:f>
        <x:v>OVER CONSUMPTION</x:v>
      </x:c>
      <x:c r="AE663" t="str">
        <x:f>IFERROR(VLOOKUP(G663,Master_Unit!$A$2:$N$78,13,FALSE),"UNIT NOT FOUND")</x:f>
        <x:v>Matched</x:v>
      </x:c>
    </x:row>
    <x:row r="664">
      <x:c r="A664" s="12" t="str">
        <x:v>FU-20260609-00663</x:v>
      </x:c>
      <x:c r="B664" s="12" t="n">
        <x:v>793</x:v>
      </x:c>
      <x:c r="C664" s="14" t="n">
        <x:v>46182</x:v>
      </x:c>
      <x:c r="D664" s="12" t="str">
        <x:v>Selasa</x:v>
      </x:c>
      <x:c r="E664" s="12" t="str">
        <x:v>18:33:00</x:v>
      </x:c>
      <x:c r="F664" s="12" t="str">
        <x:v>All Shift Night</x:v>
      </x:c>
      <x:c r="G664" s="12" t="str">
        <x:v>EXVV35G006</x:v>
      </x:c>
      <x:c r="H664" s="12" t="str">
        <x:v>Excavator</x:v>
      </x:c>
      <x:c r="I664" s="12" t="str">
        <x:v>EXCAVATOR VOLVO EC350D</x:v>
      </x:c>
      <x:c r="J664" s="16" t="n">
        <x:v>200</x:v>
      </x:c>
      <x:c r="K664" s="16" t="n">
        <x:v>3174</x:v>
      </x:c>
      <x:c r="L664" s="16" t="n">
        <x:v>3178</x:v>
      </x:c>
      <x:c r="M664" s="16" t="n">
        <x:v>4</x:v>
      </x:c>
      <x:c r="N664" s="16" t="n">
        <x:v>50</x:v>
      </x:c>
      <x:c r="O664" s="12" t="str">
        <x:v>FTRL44G004</x:v>
      </x:c>
      <x:c r="P664" s="12" t="str">
        <x:v>EXVV35G006</x:v>
      </x:c>
      <x:c r="Q664" s="12" t="str"/>
      <x:c r="R664" s="12" t="str"/>
      <x:c r="S664" s="12" t="str"/>
      <x:c r="T664" s="12" t="str">
        <x:v>ABM</x:v>
      </x:c>
      <x:c r="U664" s="12" t="str"/>
      <x:c r="V664" s="12" t="str"/>
      <x:c r="W664" s="12" t="str"/>
      <x:c r="X664" s="12" t="str">
        <x:v>EXVV35</x:v>
      </x:c>
      <x:c r="Y664" s="12" t="str">
        <x:v>RAFIF &amp; YOGI</x:v>
      </x:c>
      <x:c r="Z664" s="12" t="str"/>
      <x:c r="AA664" s="32" t="n">
        <x:f>IFERROR(VLOOKUP(G664,Master_Unit!$A$2:$N$78,7,FALSE),"")</x:f>
        <x:v>25</x:v>
      </x:c>
      <x:c r="AB664" s="32" t="n">
        <x:f>IF(OR(N664="",AA664=""),"",N664-AA664)</x:f>
        <x:v>25</x:v>
      </x:c>
      <x:c r="AC664" s="20" t="n">
        <x:f>IF(OR(N664="",AA664="",AA664=0),"",AB664/AA664)</x:f>
        <x:v>1</x:v>
      </x:c>
      <x:c r="AD664" t="str">
        <x:f>IF(AA664="","NO STANDARD",IF(AC664&lt;=Config_Status!$B$2,"EFFICIENT",IF(AC664&lt;=Config_Status!$B$3,"NORMAL",IF(AC664&lt;=Config_Status!$B$4,"WARNING","OVER CONSUMPTION"))))</x:f>
        <x:v>OVER CONSUMPTION</x:v>
      </x:c>
      <x:c r="AE664" t="str">
        <x:f>IFERROR(VLOOKUP(G664,Master_Unit!$A$2:$N$78,13,FALSE),"UNIT NOT FOUND")</x:f>
        <x:v>Matched</x:v>
      </x:c>
    </x:row>
    <x:row r="665">
      <x:c r="A665" s="12" t="str">
        <x:v>FU-20260609-00664</x:v>
      </x:c>
      <x:c r="B665" s="12" t="n">
        <x:v>794</x:v>
      </x:c>
      <x:c r="C665" s="14" t="n">
        <x:v>46182</x:v>
      </x:c>
      <x:c r="D665" s="12" t="str">
        <x:v>Selasa</x:v>
      </x:c>
      <x:c r="E665" s="12" t="str">
        <x:v>19:06:00</x:v>
      </x:c>
      <x:c r="F665" s="12" t="str">
        <x:v>All Shift Night</x:v>
      </x:c>
      <x:c r="G665" s="12" t="str">
        <x:v>EXVV21G038</x:v>
      </x:c>
      <x:c r="H665" s="12" t="str">
        <x:v>Excavator</x:v>
      </x:c>
      <x:c r="I665" s="12" t="str">
        <x:v>EXCAVATOR VOLVO EC210D</x:v>
      </x:c>
      <x:c r="J665" s="16" t="n">
        <x:v>152</x:v>
      </x:c>
      <x:c r="K665" s="16" t="n">
        <x:v>4214.3</x:v>
      </x:c>
      <x:c r="L665" s="16" t="n">
        <x:v>4224</x:v>
      </x:c>
      <x:c r="M665" s="16" t="n">
        <x:v>9.699999999999818</x:v>
      </x:c>
      <x:c r="N665" s="16" t="n">
        <x:v>15.6701030927838</x:v>
      </x:c>
      <x:c r="O665" s="12" t="str">
        <x:v>FTRL44G004</x:v>
      </x:c>
      <x:c r="P665" s="12" t="str">
        <x:v>EXVV21G038</x:v>
      </x:c>
      <x:c r="Q665" s="12" t="str"/>
      <x:c r="R665" s="12" t="str"/>
      <x:c r="S665" s="12" t="str"/>
      <x:c r="T665" s="12" t="str">
        <x:v>ABM</x:v>
      </x:c>
      <x:c r="U665" s="12" t="str"/>
      <x:c r="V665" s="12" t="str"/>
      <x:c r="W665" s="12" t="str"/>
      <x:c r="X665" s="12" t="str">
        <x:v>EXVV21</x:v>
      </x:c>
      <x:c r="Y665" s="12" t="str">
        <x:v>RAFIF &amp; YOGI</x:v>
      </x:c>
      <x:c r="Z665" s="12" t="str"/>
      <x:c r="AA665" s="32" t="n">
        <x:f>IFERROR(VLOOKUP(G665,Master_Unit!$A$2:$N$78,7,FALSE),"")</x:f>
        <x:v>20</x:v>
      </x:c>
      <x:c r="AB665" s="32" t="n">
        <x:f>IF(OR(N665="",AA665=""),"",N665-AA665)</x:f>
        <x:v>-4.329896907216201</x:v>
      </x:c>
      <x:c r="AC665" s="20" t="n">
        <x:f>IF(OR(N665="",AA665="",AA665=0),"",AB665/AA665)</x:f>
        <x:v>-0.21649484536081004</x:v>
      </x:c>
      <x:c r="AD665" t="str">
        <x:f>IF(AA665="","NO STANDARD",IF(AC665&lt;=Config_Status!$B$2,"EFFICIENT",IF(AC665&lt;=Config_Status!$B$3,"NORMAL",IF(AC665&lt;=Config_Status!$B$4,"WARNING","OVER CONSUMPTION"))))</x:f>
        <x:v>EFFICIENT</x:v>
      </x:c>
      <x:c r="AE665" t="str">
        <x:f>IFERROR(VLOOKUP(G665,Master_Unit!$A$2:$N$78,13,FALSE),"UNIT NOT FOUND")</x:f>
        <x:v>Matched</x:v>
      </x:c>
    </x:row>
    <x:row r="666">
      <x:c r="A666" s="12" t="str">
        <x:v>FU-20260609-00665</x:v>
      </x:c>
      <x:c r="B666" s="12" t="n">
        <x:v>795</x:v>
      </x:c>
      <x:c r="C666" s="14" t="n">
        <x:v>46182</x:v>
      </x:c>
      <x:c r="D666" s="12" t="str">
        <x:v>Selasa</x:v>
      </x:c>
      <x:c r="E666" s="12" t="str">
        <x:v>19:21:00</x:v>
      </x:c>
      <x:c r="F666" s="12" t="str">
        <x:v>All Shift Night</x:v>
      </x:c>
      <x:c r="G666" s="12" t="str">
        <x:v>EXVV21G041</x:v>
      </x:c>
      <x:c r="H666" s="12" t="str">
        <x:v>Excavator</x:v>
      </x:c>
      <x:c r="I666" s="12" t="str">
        <x:v>EXCAVATOR VOLVO EC210D</x:v>
      </x:c>
      <x:c r="J666" s="16" t="n">
        <x:v>151</x:v>
      </x:c>
      <x:c r="K666" s="16" t="n">
        <x:v>4526.7</x:v>
      </x:c>
      <x:c r="L666" s="16" t="n">
        <x:v>4536.4</x:v>
      </x:c>
      <x:c r="M666" s="16" t="n">
        <x:v>9.699999999999818</x:v>
      </x:c>
      <x:c r="N666" s="16" t="n">
        <x:v>15.567010309278642</x:v>
      </x:c>
      <x:c r="O666" s="12" t="str">
        <x:v>FTRL44G004</x:v>
      </x:c>
      <x:c r="P666" s="12" t="str">
        <x:v>EXVV21G041</x:v>
      </x:c>
      <x:c r="Q666" s="12" t="str"/>
      <x:c r="R666" s="12" t="str"/>
      <x:c r="S666" s="12" t="str"/>
      <x:c r="T666" s="12" t="str">
        <x:v>ABM</x:v>
      </x:c>
      <x:c r="U666" s="12" t="str"/>
      <x:c r="V666" s="12" t="str"/>
      <x:c r="W666" s="12" t="str"/>
      <x:c r="X666" s="12" t="str">
        <x:v>EXVV21</x:v>
      </x:c>
      <x:c r="Y666" s="12" t="str">
        <x:v>RAFIF &amp; YOGI</x:v>
      </x:c>
      <x:c r="Z666" s="12" t="str"/>
      <x:c r="AA666" s="32" t="n">
        <x:f>IFERROR(VLOOKUP(G666,Master_Unit!$A$2:$N$78,7,FALSE),"")</x:f>
        <x:v>20</x:v>
      </x:c>
      <x:c r="AB666" s="32" t="n">
        <x:f>IF(OR(N666="",AA666=""),"",N666-AA666)</x:f>
        <x:v>-4.432989690721358</x:v>
      </x:c>
      <x:c r="AC666" s="20" t="n">
        <x:f>IF(OR(N666="",AA666="",AA666=0),"",AB666/AA666)</x:f>
        <x:v>-0.22164948453606792</x:v>
      </x:c>
      <x:c r="AD666" t="str">
        <x:f>IF(AA666="","NO STANDARD",IF(AC666&lt;=Config_Status!$B$2,"EFFICIENT",IF(AC666&lt;=Config_Status!$B$3,"NORMAL",IF(AC666&lt;=Config_Status!$B$4,"WARNING","OVER CONSUMPTION"))))</x:f>
        <x:v>EFFICIENT</x:v>
      </x:c>
      <x:c r="AE666" t="str">
        <x:f>IFERROR(VLOOKUP(G666,Master_Unit!$A$2:$N$78,13,FALSE),"UNIT NOT FOUND")</x:f>
        <x:v>Matched</x:v>
      </x:c>
    </x:row>
    <x:row r="667">
      <x:c r="A667" s="12" t="str">
        <x:v>FU-20260609-00666</x:v>
      </x:c>
      <x:c r="B667" s="12" t="n">
        <x:v>796</x:v>
      </x:c>
      <x:c r="C667" s="14" t="n">
        <x:v>46182</x:v>
      </x:c>
      <x:c r="D667" s="12" t="str">
        <x:v>Selasa</x:v>
      </x:c>
      <x:c r="E667" s="12" t="str">
        <x:v>22:04:00</x:v>
      </x:c>
      <x:c r="F667" s="12" t="str">
        <x:v>All Shift Night</x:v>
      </x:c>
      <x:c r="G667" s="12" t="str">
        <x:v>STRL44G149</x:v>
      </x:c>
      <x:c r="H667" s="12" t="str">
        <x:v>Dump Truck</x:v>
      </x:c>
      <x:c r="I667" s="12" t="str">
        <x:v>DUMP TRUCK RENAULT KRANGE440-P6X4 A/T</x:v>
      </x:c>
      <x:c r="J667" s="16" t="n">
        <x:v>163</x:v>
      </x:c>
      <x:c r="K667" s="16" t="n">
        <x:v>4306</x:v>
      </x:c>
      <x:c r="L667" s="16" t="n">
        <x:v>4316</x:v>
      </x:c>
      <x:c r="M667" s="16" t="n">
        <x:v>10</x:v>
      </x:c>
      <x:c r="N667" s="16" t="n">
        <x:v>16.3</x:v>
      </x:c>
      <x:c r="O667" s="12" t="str">
        <x:v>FTRL44G004</x:v>
      </x:c>
      <x:c r="P667" s="12" t="str">
        <x:v>STRL44G149</x:v>
      </x:c>
      <x:c r="Q667" s="12" t="str"/>
      <x:c r="R667" s="12" t="str"/>
      <x:c r="S667" s="12" t="str"/>
      <x:c r="T667" s="12" t="str">
        <x:v>ABM</x:v>
      </x:c>
      <x:c r="U667" s="12" t="str"/>
      <x:c r="V667" s="12" t="str"/>
      <x:c r="W667" s="12" t="str"/>
      <x:c r="X667" s="12" t="str">
        <x:v>STRL44</x:v>
      </x:c>
      <x:c r="Y667" s="12" t="str">
        <x:v>RAFIF &amp; YOGI</x:v>
      </x:c>
      <x:c r="Z667" s="12" t="str"/>
      <x:c r="AA667" s="32" t="n">
        <x:f>IFERROR(VLOOKUP(G667,Master_Unit!$A$2:$N$78,7,FALSE),"")</x:f>
        <x:v>20</x:v>
      </x:c>
      <x:c r="AB667" s="32" t="n">
        <x:f>IF(OR(N667="",AA667=""),"",N667-AA667)</x:f>
        <x:v>-3.6999999999999993</x:v>
      </x:c>
      <x:c r="AC667" s="20" t="n">
        <x:f>IF(OR(N667="",AA667="",AA667=0),"",AB667/AA667)</x:f>
        <x:v>-0.18499999999999997</x:v>
      </x:c>
      <x:c r="AD667" t="str">
        <x:f>IF(AA667="","NO STANDARD",IF(AC667&lt;=Config_Status!$B$2,"EFFICIENT",IF(AC667&lt;=Config_Status!$B$3,"NORMAL",IF(AC667&lt;=Config_Status!$B$4,"WARNING","OVER CONSUMPTION"))))</x:f>
        <x:v>EFFICIENT</x:v>
      </x:c>
      <x:c r="AE667" t="str">
        <x:f>IFERROR(VLOOKUP(G667,Master_Unit!$A$2:$N$78,13,FALSE),"UNIT NOT FOUND")</x:f>
        <x:v>Matched</x:v>
      </x:c>
    </x:row>
    <x:row r="668">
      <x:c r="A668" s="12" t="str">
        <x:v>FU-20260609-00667</x:v>
      </x:c>
      <x:c r="B668" s="12" t="n">
        <x:v>797</x:v>
      </x:c>
      <x:c r="C668" s="14" t="n">
        <x:v>46182</x:v>
      </x:c>
      <x:c r="D668" s="12" t="str">
        <x:v>Selasa</x:v>
      </x:c>
      <x:c r="E668" s="12" t="str">
        <x:v>22:08:00</x:v>
      </x:c>
      <x:c r="F668" s="12" t="str">
        <x:v>All Shift Night</x:v>
      </x:c>
      <x:c r="G668" s="12" t="str">
        <x:v>STRL44G142</x:v>
      </x:c>
      <x:c r="H668" s="12" t="str">
        <x:v>Dump Truck</x:v>
      </x:c>
      <x:c r="I668" s="12" t="str">
        <x:v>DUMP TRUCK RENAULT KRANGE440-P6X4 A/T</x:v>
      </x:c>
      <x:c r="J668" s="16" t="n">
        <x:v>164</x:v>
      </x:c>
      <x:c r="K668" s="16" t="n">
        <x:v>3355</x:v>
      </x:c>
      <x:c r="L668" s="16" t="n">
        <x:v>3365</x:v>
      </x:c>
      <x:c r="M668" s="16" t="n">
        <x:v>10</x:v>
      </x:c>
      <x:c r="N668" s="16" t="n">
        <x:v>16.4</x:v>
      </x:c>
      <x:c r="O668" s="12" t="str">
        <x:v>FTRL44G004</x:v>
      </x:c>
      <x:c r="P668" s="12" t="str">
        <x:v>STRL44G142</x:v>
      </x:c>
      <x:c r="Q668" s="12" t="str"/>
      <x:c r="R668" s="12" t="str"/>
      <x:c r="S668" s="12" t="str"/>
      <x:c r="T668" s="12" t="str">
        <x:v>ABM</x:v>
      </x:c>
      <x:c r="U668" s="12" t="str"/>
      <x:c r="V668" s="12" t="str"/>
      <x:c r="W668" s="12" t="str"/>
      <x:c r="X668" s="12" t="str">
        <x:v>STRL44</x:v>
      </x:c>
      <x:c r="Y668" s="12" t="str">
        <x:v>RAFIF &amp; YOGI</x:v>
      </x:c>
      <x:c r="Z668" s="12" t="str"/>
      <x:c r="AA668" s="32" t="n">
        <x:f>IFERROR(VLOOKUP(G668,Master_Unit!$A$2:$N$78,7,FALSE),"")</x:f>
        <x:v>20</x:v>
      </x:c>
      <x:c r="AB668" s="32" t="n">
        <x:f>IF(OR(N668="",AA668=""),"",N668-AA668)</x:f>
        <x:v>-3.6000000000000014</x:v>
      </x:c>
      <x:c r="AC668" s="20" t="n">
        <x:f>IF(OR(N668="",AA668="",AA668=0),"",AB668/AA668)</x:f>
        <x:v>-0.18000000000000008</x:v>
      </x:c>
      <x:c r="AD668" t="str">
        <x:f>IF(AA668="","NO STANDARD",IF(AC668&lt;=Config_Status!$B$2,"EFFICIENT",IF(AC668&lt;=Config_Status!$B$3,"NORMAL",IF(AC668&lt;=Config_Status!$B$4,"WARNING","OVER CONSUMPTION"))))</x:f>
        <x:v>EFFICIENT</x:v>
      </x:c>
      <x:c r="AE668" t="str">
        <x:f>IFERROR(VLOOKUP(G668,Master_Unit!$A$2:$N$78,13,FALSE),"UNIT NOT FOUND")</x:f>
        <x:v>Matched</x:v>
      </x:c>
    </x:row>
    <x:row r="669">
      <x:c r="A669" s="12" t="str">
        <x:v>FU-20260609-00668</x:v>
      </x:c>
      <x:c r="B669" s="12" t="n">
        <x:v>798</x:v>
      </x:c>
      <x:c r="C669" s="14" t="n">
        <x:v>46182</x:v>
      </x:c>
      <x:c r="D669" s="12" t="str">
        <x:v>Selasa</x:v>
      </x:c>
      <x:c r="E669" s="12" t="str">
        <x:v>22:11:00</x:v>
      </x:c>
      <x:c r="F669" s="12" t="str">
        <x:v>All Shift Night</x:v>
      </x:c>
      <x:c r="G669" s="12" t="str">
        <x:v>STRL44G151</x:v>
      </x:c>
      <x:c r="H669" s="12" t="str">
        <x:v>Dump Truck</x:v>
      </x:c>
      <x:c r="I669" s="12" t="str">
        <x:v>DUMP TRUCK RENAULT KRANGE440-P6X4 A/T</x:v>
      </x:c>
      <x:c r="J669" s="16" t="n">
        <x:v>163</x:v>
      </x:c>
      <x:c r="K669" s="16" t="n">
        <x:v>4406</x:v>
      </x:c>
      <x:c r="L669" s="16" t="n">
        <x:v>4415</x:v>
      </x:c>
      <x:c r="M669" s="16" t="n">
        <x:v>9</x:v>
      </x:c>
      <x:c r="N669" s="16" t="n">
        <x:v>18.11111111111111</x:v>
      </x:c>
      <x:c r="O669" s="12" t="str">
        <x:v>FTRL44G004</x:v>
      </x:c>
      <x:c r="P669" s="12" t="str">
        <x:v>STRL44G151</x:v>
      </x:c>
      <x:c r="Q669" s="12" t="str"/>
      <x:c r="R669" s="12" t="str"/>
      <x:c r="S669" s="12" t="str"/>
      <x:c r="T669" s="12" t="str">
        <x:v>ABM</x:v>
      </x:c>
      <x:c r="U669" s="12" t="str"/>
      <x:c r="V669" s="12" t="str"/>
      <x:c r="W669" s="12" t="str"/>
      <x:c r="X669" s="12" t="str">
        <x:v>STRL44</x:v>
      </x:c>
      <x:c r="Y669" s="12" t="str">
        <x:v>RAFIF &amp; YOGI</x:v>
      </x:c>
      <x:c r="Z669" s="12" t="str"/>
      <x:c r="AA669" s="32" t="n">
        <x:f>IFERROR(VLOOKUP(G669,Master_Unit!$A$2:$N$78,7,FALSE),"")</x:f>
        <x:v>20</x:v>
      </x:c>
      <x:c r="AB669" s="32" t="n">
        <x:f>IF(OR(N669="",AA669=""),"",N669-AA669)</x:f>
        <x:v>-1.8888888888888893</x:v>
      </x:c>
      <x:c r="AC669" s="20" t="n">
        <x:f>IF(OR(N669="",AA669="",AA669=0),"",AB669/AA669)</x:f>
        <x:v>-0.09444444444444447</x:v>
      </x:c>
      <x:c r="AD669" t="str">
        <x:f>IF(AA669="","NO STANDARD",IF(AC669&lt;=Config_Status!$B$2,"EFFICIENT",IF(AC669&lt;=Config_Status!$B$3,"NORMAL",IF(AC669&lt;=Config_Status!$B$4,"WARNING","OVER CONSUMPTION"))))</x:f>
        <x:v>NORMAL</x:v>
      </x:c>
      <x:c r="AE669" t="str">
        <x:f>IFERROR(VLOOKUP(G669,Master_Unit!$A$2:$N$78,13,FALSE),"UNIT NOT FOUND")</x:f>
        <x:v>Matched</x:v>
      </x:c>
    </x:row>
    <x:row r="670">
      <x:c r="A670" s="12" t="str">
        <x:v>FU-20260609-00669</x:v>
      </x:c>
      <x:c r="B670" s="12" t="n">
        <x:v>799</x:v>
      </x:c>
      <x:c r="C670" s="14" t="n">
        <x:v>46182</x:v>
      </x:c>
      <x:c r="D670" s="12" t="str">
        <x:v>Selasa</x:v>
      </x:c>
      <x:c r="E670" s="12" t="str">
        <x:v>22:19:00</x:v>
      </x:c>
      <x:c r="F670" s="12" t="str">
        <x:v>All Shift Night</x:v>
      </x:c>
      <x:c r="G670" s="12" t="str">
        <x:v>STRL44G157</x:v>
      </x:c>
      <x:c r="H670" s="12" t="str">
        <x:v>Dump Truck</x:v>
      </x:c>
      <x:c r="I670" s="12" t="str">
        <x:v>DUMP TRUCK RENAULT KRANGE440-P6X4 A/T</x:v>
      </x:c>
      <x:c r="J670" s="16" t="n">
        <x:v>163</x:v>
      </x:c>
      <x:c r="K670" s="16" t="n">
        <x:v>4075</x:v>
      </x:c>
      <x:c r="L670" s="16" t="n">
        <x:v>4083</x:v>
      </x:c>
      <x:c r="M670" s="16" t="n">
        <x:v>8</x:v>
      </x:c>
      <x:c r="N670" s="16" t="n">
        <x:v>20.375</x:v>
      </x:c>
      <x:c r="O670" s="12" t="str">
        <x:v>FTRL44G004</x:v>
      </x:c>
      <x:c r="P670" s="12" t="str">
        <x:v>STRL44G157</x:v>
      </x:c>
      <x:c r="Q670" s="12" t="str"/>
      <x:c r="R670" s="12" t="str"/>
      <x:c r="S670" s="12" t="str"/>
      <x:c r="T670" s="12" t="str">
        <x:v>ABM</x:v>
      </x:c>
      <x:c r="U670" s="12" t="str"/>
      <x:c r="V670" s="12" t="str"/>
      <x:c r="W670" s="12" t="str"/>
      <x:c r="X670" s="12" t="str">
        <x:v>STRL44</x:v>
      </x:c>
      <x:c r="Y670" s="12" t="str">
        <x:v>RAFIF &amp; YOGI</x:v>
      </x:c>
      <x:c r="Z670" s="12" t="str"/>
      <x:c r="AA670" s="32" t="n">
        <x:f>IFERROR(VLOOKUP(G670,Master_Unit!$A$2:$N$78,7,FALSE),"")</x:f>
        <x:v>20</x:v>
      </x:c>
      <x:c r="AB670" s="32" t="n">
        <x:f>IF(OR(N670="",AA670=""),"",N670-AA670)</x:f>
        <x:v>0.375</x:v>
      </x:c>
      <x:c r="AC670" s="20" t="n">
        <x:f>IF(OR(N670="",AA670="",AA670=0),"",AB670/AA670)</x:f>
        <x:v>0.01875</x:v>
      </x:c>
      <x:c r="AD670" t="str">
        <x:f>IF(AA670="","NO STANDARD",IF(AC670&lt;=Config_Status!$B$2,"EFFICIENT",IF(AC670&lt;=Config_Status!$B$3,"NORMAL",IF(AC670&lt;=Config_Status!$B$4,"WARNING","OVER CONSUMPTION"))))</x:f>
        <x:v>NORMAL</x:v>
      </x:c>
      <x:c r="AE670" t="str">
        <x:f>IFERROR(VLOOKUP(G670,Master_Unit!$A$2:$N$78,13,FALSE),"UNIT NOT FOUND")</x:f>
        <x:v>Matched</x:v>
      </x:c>
    </x:row>
    <x:row r="671">
      <x:c r="A671" s="12" t="str">
        <x:v>FU-20260609-00670</x:v>
      </x:c>
      <x:c r="B671" s="12" t="n">
        <x:v>800</x:v>
      </x:c>
      <x:c r="C671" s="14" t="n">
        <x:v>46182</x:v>
      </x:c>
      <x:c r="D671" s="12" t="str">
        <x:v>Selasa</x:v>
      </x:c>
      <x:c r="E671" s="12" t="str">
        <x:v>22:22:00</x:v>
      </x:c>
      <x:c r="F671" s="12" t="str">
        <x:v>All Shift Night</x:v>
      </x:c>
      <x:c r="G671" s="12" t="str">
        <x:v>STRL44G146</x:v>
      </x:c>
      <x:c r="H671" s="12" t="str">
        <x:v>Dump Truck</x:v>
      </x:c>
      <x:c r="I671" s="12" t="str">
        <x:v>DUMP TRUCK RENAULT KRANGE440-P6X4 A/T</x:v>
      </x:c>
      <x:c r="J671" s="16" t="n">
        <x:v>153</x:v>
      </x:c>
      <x:c r="K671" s="16" t="n">
        <x:v>4946</x:v>
      </x:c>
      <x:c r="L671" s="16" t="n">
        <x:v>4955</x:v>
      </x:c>
      <x:c r="M671" s="16" t="n">
        <x:v>9</x:v>
      </x:c>
      <x:c r="N671" s="16" t="n">
        <x:v>17</x:v>
      </x:c>
      <x:c r="O671" s="12" t="str">
        <x:v>FTRL44G004</x:v>
      </x:c>
      <x:c r="P671" s="12" t="str">
        <x:v>STRL44G146</x:v>
      </x:c>
      <x:c r="Q671" s="12" t="str"/>
      <x:c r="R671" s="12" t="str"/>
      <x:c r="S671" s="12" t="str"/>
      <x:c r="T671" s="12" t="str">
        <x:v>ABM</x:v>
      </x:c>
      <x:c r="U671" s="12" t="str"/>
      <x:c r="V671" s="12" t="str"/>
      <x:c r="W671" s="12" t="str"/>
      <x:c r="X671" s="12" t="str">
        <x:v>STRL44</x:v>
      </x:c>
      <x:c r="Y671" s="12" t="str">
        <x:v>RAFIF &amp; YOGI</x:v>
      </x:c>
      <x:c r="Z671" s="12" t="str"/>
      <x:c r="AA671" s="32" t="n">
        <x:f>IFERROR(VLOOKUP(G671,Master_Unit!$A$2:$N$78,7,FALSE),"")</x:f>
        <x:v>20</x:v>
      </x:c>
      <x:c r="AB671" s="32" t="n">
        <x:f>IF(OR(N671="",AA671=""),"",N671-AA671)</x:f>
        <x:v>-3</x:v>
      </x:c>
      <x:c r="AC671" s="20" t="n">
        <x:f>IF(OR(N671="",AA671="",AA671=0),"",AB671/AA671)</x:f>
        <x:v>-0.15</x:v>
      </x:c>
      <x:c r="AD671" t="str">
        <x:f>IF(AA671="","NO STANDARD",IF(AC671&lt;=Config_Status!$B$2,"EFFICIENT",IF(AC671&lt;=Config_Status!$B$3,"NORMAL",IF(AC671&lt;=Config_Status!$B$4,"WARNING","OVER CONSUMPTION"))))</x:f>
        <x:v>EFFICIENT</x:v>
      </x:c>
      <x:c r="AE671" t="str">
        <x:f>IFERROR(VLOOKUP(G671,Master_Unit!$A$2:$N$78,13,FALSE),"UNIT NOT FOUND")</x:f>
        <x:v>Matched</x:v>
      </x:c>
    </x:row>
    <x:row r="672">
      <x:c r="A672" s="12" t="str">
        <x:v>FU-20260609-00671</x:v>
      </x:c>
      <x:c r="B672" s="12" t="n">
        <x:v>801</x:v>
      </x:c>
      <x:c r="C672" s="14" t="n">
        <x:v>46182</x:v>
      </x:c>
      <x:c r="D672" s="12" t="str">
        <x:v>Selasa</x:v>
      </x:c>
      <x:c r="E672" s="12" t="str">
        <x:v>22:26:00</x:v>
      </x:c>
      <x:c r="F672" s="12" t="str">
        <x:v>All Shift Night</x:v>
      </x:c>
      <x:c r="G672" s="12" t="str">
        <x:v>STRL44G156</x:v>
      </x:c>
      <x:c r="H672" s="12" t="str">
        <x:v>Dump Truck</x:v>
      </x:c>
      <x:c r="I672" s="12" t="str">
        <x:v>DUMP TRUCK RENAULT KRANGE440-P6X4 A/T</x:v>
      </x:c>
      <x:c r="J672" s="16" t="n">
        <x:v>164</x:v>
      </x:c>
      <x:c r="K672" s="16" t="n">
        <x:v>3784</x:v>
      </x:c>
      <x:c r="L672" s="16" t="n">
        <x:v>3793</x:v>
      </x:c>
      <x:c r="M672" s="16" t="n">
        <x:v>9</x:v>
      </x:c>
      <x:c r="N672" s="16" t="n">
        <x:v>18.22222222222222</x:v>
      </x:c>
      <x:c r="O672" s="12" t="str">
        <x:v>FTRL44G004</x:v>
      </x:c>
      <x:c r="P672" s="12" t="str">
        <x:v>STRL44G156</x:v>
      </x:c>
      <x:c r="Q672" s="12" t="str"/>
      <x:c r="R672" s="12" t="str"/>
      <x:c r="S672" s="12" t="str"/>
      <x:c r="T672" s="12" t="str">
        <x:v>ABM</x:v>
      </x:c>
      <x:c r="U672" s="12" t="str"/>
      <x:c r="V672" s="12" t="str"/>
      <x:c r="W672" s="12" t="str"/>
      <x:c r="X672" s="12" t="str">
        <x:v>STRL44</x:v>
      </x:c>
      <x:c r="Y672" s="12" t="str">
        <x:v>RAFIF &amp; YOGI</x:v>
      </x:c>
      <x:c r="Z672" s="12" t="str"/>
      <x:c r="AA672" s="32" t="n">
        <x:f>IFERROR(VLOOKUP(G672,Master_Unit!$A$2:$N$78,7,FALSE),"")</x:f>
        <x:v>20</x:v>
      </x:c>
      <x:c r="AB672" s="32" t="n">
        <x:f>IF(OR(N672="",AA672=""),"",N672-AA672)</x:f>
        <x:v>-1.7777777777777786</x:v>
      </x:c>
      <x:c r="AC672" s="20" t="n">
        <x:f>IF(OR(N672="",AA672="",AA672=0),"",AB672/AA672)</x:f>
        <x:v>-0.08888888888888893</x:v>
      </x:c>
      <x:c r="AD672" t="str">
        <x:f>IF(AA672="","NO STANDARD",IF(AC672&lt;=Config_Status!$B$2,"EFFICIENT",IF(AC672&lt;=Config_Status!$B$3,"NORMAL",IF(AC672&lt;=Config_Status!$B$4,"WARNING","OVER CONSUMPTION"))))</x:f>
        <x:v>NORMAL</x:v>
      </x:c>
      <x:c r="AE672" t="str">
        <x:f>IFERROR(VLOOKUP(G672,Master_Unit!$A$2:$N$78,13,FALSE),"UNIT NOT FOUND")</x:f>
        <x:v>Matched</x:v>
      </x:c>
    </x:row>
    <x:row r="673">
      <x:c r="A673" s="12" t="str">
        <x:v>FU-20260609-00672</x:v>
      </x:c>
      <x:c r="B673" s="12" t="n">
        <x:v>802</x:v>
      </x:c>
      <x:c r="C673" s="14" t="n">
        <x:v>46182</x:v>
      </x:c>
      <x:c r="D673" s="12" t="str">
        <x:v>Selasa</x:v>
      </x:c>
      <x:c r="E673" s="12" t="str">
        <x:v>22:31:00</x:v>
      </x:c>
      <x:c r="F673" s="12" t="str">
        <x:v>All Shift Night</x:v>
      </x:c>
      <x:c r="G673" s="12" t="str">
        <x:v>STRL44G144</x:v>
      </x:c>
      <x:c r="H673" s="12" t="str">
        <x:v>Dump Truck</x:v>
      </x:c>
      <x:c r="I673" s="12" t="str">
        <x:v>DUMP TRUCK RENAULT KRANGE440-P6X4 A/T</x:v>
      </x:c>
      <x:c r="J673" s="16" t="n">
        <x:v>162</x:v>
      </x:c>
      <x:c r="K673" s="16" t="n">
        <x:v>1541</x:v>
      </x:c>
      <x:c r="L673" s="16" t="n">
        <x:v>1549</x:v>
      </x:c>
      <x:c r="M673" s="16" t="n">
        <x:v>8</x:v>
      </x:c>
      <x:c r="N673" s="16" t="n">
        <x:v>20.25</x:v>
      </x:c>
      <x:c r="O673" s="12" t="str">
        <x:v>FTRL44G004</x:v>
      </x:c>
      <x:c r="P673" s="12" t="str">
        <x:v>STRL44G144</x:v>
      </x:c>
      <x:c r="Q673" s="12" t="str"/>
      <x:c r="R673" s="12" t="str"/>
      <x:c r="S673" s="12" t="str"/>
      <x:c r="T673" s="12" t="str">
        <x:v>ABM</x:v>
      </x:c>
      <x:c r="U673" s="12" t="str"/>
      <x:c r="V673" s="12" t="str"/>
      <x:c r="W673" s="12" t="str"/>
      <x:c r="X673" s="12" t="str">
        <x:v>STRL44</x:v>
      </x:c>
      <x:c r="Y673" s="12" t="str">
        <x:v>RAFIF &amp; YOGI</x:v>
      </x:c>
      <x:c r="Z673" s="12" t="str"/>
      <x:c r="AA673" s="32" t="n">
        <x:f>IFERROR(VLOOKUP(G673,Master_Unit!$A$2:$N$78,7,FALSE),"")</x:f>
        <x:v>20</x:v>
      </x:c>
      <x:c r="AB673" s="32" t="n">
        <x:f>IF(OR(N673="",AA673=""),"",N673-AA673)</x:f>
        <x:v>0.25</x:v>
      </x:c>
      <x:c r="AC673" s="20" t="n">
        <x:f>IF(OR(N673="",AA673="",AA673=0),"",AB673/AA673)</x:f>
        <x:v>0.0125</x:v>
      </x:c>
      <x:c r="AD673" t="str">
        <x:f>IF(AA673="","NO STANDARD",IF(AC673&lt;=Config_Status!$B$2,"EFFICIENT",IF(AC673&lt;=Config_Status!$B$3,"NORMAL",IF(AC673&lt;=Config_Status!$B$4,"WARNING","OVER CONSUMPTION"))))</x:f>
        <x:v>NORMAL</x:v>
      </x:c>
      <x:c r="AE673" t="str">
        <x:f>IFERROR(VLOOKUP(G673,Master_Unit!$A$2:$N$78,13,FALSE),"UNIT NOT FOUND")</x:f>
        <x:v>Matched</x:v>
      </x:c>
    </x:row>
    <x:row r="674">
      <x:c r="A674" s="12" t="str">
        <x:v>FU-20260609-00673</x:v>
      </x:c>
      <x:c r="B674" s="12" t="n">
        <x:v>803</x:v>
      </x:c>
      <x:c r="C674" s="14" t="n">
        <x:v>46182</x:v>
      </x:c>
      <x:c r="D674" s="12" t="str">
        <x:v>Selasa</x:v>
      </x:c>
      <x:c r="E674" s="12" t="str">
        <x:v>22:59:00</x:v>
      </x:c>
      <x:c r="F674" s="12" t="str">
        <x:v>All Shift Night</x:v>
      </x:c>
      <x:c r="G674" s="12" t="str">
        <x:v>STRL44G145</x:v>
      </x:c>
      <x:c r="H674" s="12" t="str">
        <x:v>Dump Truck</x:v>
      </x:c>
      <x:c r="I674" s="12" t="str">
        <x:v>DUMP TRUCK RENAULT KRANGE440-P6X4 A/T</x:v>
      </x:c>
      <x:c r="J674" s="16" t="n">
        <x:v>164</x:v>
      </x:c>
      <x:c r="K674" s="16" t="n">
        <x:v>4960</x:v>
      </x:c>
      <x:c r="L674" s="16" t="n">
        <x:v>4964</x:v>
      </x:c>
      <x:c r="M674" s="16" t="n">
        <x:v>4</x:v>
      </x:c>
      <x:c r="N674" s="16" t="n">
        <x:v>41</x:v>
      </x:c>
      <x:c r="O674" s="12" t="str">
        <x:v>FTRL44G004</x:v>
      </x:c>
      <x:c r="P674" s="12" t="str">
        <x:v>STRL44G145</x:v>
      </x:c>
      <x:c r="Q674" s="12" t="str"/>
      <x:c r="R674" s="12" t="str"/>
      <x:c r="S674" s="12" t="str"/>
      <x:c r="T674" s="12" t="str">
        <x:v>ABM</x:v>
      </x:c>
      <x:c r="U674" s="12" t="str"/>
      <x:c r="V674" s="12" t="str"/>
      <x:c r="W674" s="12" t="str"/>
      <x:c r="X674" s="12" t="str">
        <x:v>STRL44</x:v>
      </x:c>
      <x:c r="Y674" s="12" t="str">
        <x:v>RAFIF &amp; YOGI</x:v>
      </x:c>
      <x:c r="Z674" s="12" t="str"/>
      <x:c r="AA674" s="32" t="n">
        <x:f>IFERROR(VLOOKUP(G674,Master_Unit!$A$2:$N$78,7,FALSE),"")</x:f>
        <x:v>20</x:v>
      </x:c>
      <x:c r="AB674" s="32" t="n">
        <x:f>IF(OR(N674="",AA674=""),"",N674-AA674)</x:f>
        <x:v>21</x:v>
      </x:c>
      <x:c r="AC674" s="20" t="n">
        <x:f>IF(OR(N674="",AA674="",AA674=0),"",AB674/AA674)</x:f>
        <x:v>1.05</x:v>
      </x:c>
      <x:c r="AD674" t="str">
        <x:f>IF(AA674="","NO STANDARD",IF(AC674&lt;=Config_Status!$B$2,"EFFICIENT",IF(AC674&lt;=Config_Status!$B$3,"NORMAL",IF(AC674&lt;=Config_Status!$B$4,"WARNING","OVER CONSUMPTION"))))</x:f>
        <x:v>OVER CONSUMPTION</x:v>
      </x:c>
      <x:c r="AE674" t="str">
        <x:f>IFERROR(VLOOKUP(G674,Master_Unit!$A$2:$N$78,13,FALSE),"UNIT NOT FOUND")</x:f>
        <x:v>Matched</x:v>
      </x:c>
    </x:row>
    <x:row r="675">
      <x:c r="A675" s="12" t="str">
        <x:v>FU-20260609-00674</x:v>
      </x:c>
      <x:c r="B675" s="12" t="n">
        <x:v>804</x:v>
      </x:c>
      <x:c r="C675" s="14" t="n">
        <x:v>46182</x:v>
      </x:c>
      <x:c r="D675" s="12" t="str">
        <x:v>Selasa</x:v>
      </x:c>
      <x:c r="E675" s="12" t="str">
        <x:v>23:14:00</x:v>
      </x:c>
      <x:c r="F675" s="12" t="str">
        <x:v>All Shift Night</x:v>
      </x:c>
      <x:c r="G675" s="12" t="str">
        <x:v>LVTH24R033</x:v>
      </x:c>
      <x:c r="H675" s="12" t="str">
        <x:v>Light Vehicle</x:v>
      </x:c>
      <x:c r="I675" s="12" t="str">
        <x:v>LIGHT VEHICLE TOYOTA HILUX</x:v>
      </x:c>
      <x:c r="J675" s="16" t="n">
        <x:v>20</x:v>
      </x:c>
      <x:c r="K675" s="16" t="n">
        <x:v>138760</x:v>
      </x:c>
      <x:c r="L675" s="16" t="n">
        <x:v>138940</x:v>
      </x:c>
      <x:c r="M675" s="16" t="n">
        <x:v>180</x:v>
      </x:c>
      <x:c r="N675" s="16" t="n">
        <x:v>0.1111111111111111</x:v>
      </x:c>
      <x:c r="O675" s="12" t="str">
        <x:v>FTRL44G004</x:v>
      </x:c>
      <x:c r="P675" s="12" t="str">
        <x:v>LVTH24R033</x:v>
      </x:c>
      <x:c r="Q675" s="12" t="str"/>
      <x:c r="R675" s="12" t="str"/>
      <x:c r="S675" s="12" t="str"/>
      <x:c r="T675" s="12" t="str">
        <x:v>ABM</x:v>
      </x:c>
      <x:c r="U675" s="12" t="str"/>
      <x:c r="V675" s="12" t="str"/>
      <x:c r="W675" s="12" t="str"/>
      <x:c r="X675" s="12" t="str">
        <x:v>LVTH24</x:v>
      </x:c>
      <x:c r="Y675" s="12" t="str">
        <x:v>RAFIF &amp; YOGI</x:v>
      </x:c>
      <x:c r="Z675" s="12" t="str"/>
      <x:c r="AA675" s="32" t="n">
        <x:f>IFERROR(VLOOKUP(G675,Master_Unit!$A$2:$N$78,7,FALSE),"")</x:f>
        <x:v>0.2</x:v>
      </x:c>
      <x:c r="AB675" s="32" t="n">
        <x:f>IF(OR(N675="",AA675=""),"",N675-AA675)</x:f>
        <x:v>-0.0888888888888889</x:v>
      </x:c>
      <x:c r="AC675" s="20" t="n">
        <x:f>IF(OR(N675="",AA675="",AA675=0),"",AB675/AA675)</x:f>
        <x:v>-0.44444444444444453</x:v>
      </x:c>
      <x:c r="AD675" t="str">
        <x:f>IF(AA675="","NO STANDARD",IF(AC675&lt;=Config_Status!$B$2,"EFFICIENT",IF(AC675&lt;=Config_Status!$B$3,"NORMAL",IF(AC675&lt;=Config_Status!$B$4,"WARNING","OVER CONSUMPTION"))))</x:f>
        <x:v>EFFICIENT</x:v>
      </x:c>
      <x:c r="AE675" t="str">
        <x:f>IFERROR(VLOOKUP(G675,Master_Unit!$A$2:$N$78,13,FALSE),"UNIT NOT FOUND")</x:f>
        <x:v>Matched</x:v>
      </x:c>
    </x:row>
    <x:row r="676">
      <x:c r="A676" s="12" t="str">
        <x:v>FU-20260609-00675</x:v>
      </x:c>
      <x:c r="B676" s="12" t="n">
        <x:v>805</x:v>
      </x:c>
      <x:c r="C676" s="14" t="n">
        <x:v>46182</x:v>
      </x:c>
      <x:c r="D676" s="12" t="str">
        <x:v>Selasa</x:v>
      </x:c>
      <x:c r="E676" s="12" t="str">
        <x:v>23:34:00</x:v>
      </x:c>
      <x:c r="F676" s="12" t="str">
        <x:v>All Shift Night</x:v>
      </x:c>
      <x:c r="G676" s="12" t="str">
        <x:v>STRL44G139</x:v>
      </x:c>
      <x:c r="H676" s="12" t="str">
        <x:v>Dump Truck</x:v>
      </x:c>
      <x:c r="I676" s="12" t="str">
        <x:v>DUMP TRUCK RENAULT KRANGE440-P6X4 A/T</x:v>
      </x:c>
      <x:c r="J676" s="16" t="n">
        <x:v>163</x:v>
      </x:c>
      <x:c r="K676" s="16" t="n">
        <x:v>4984</x:v>
      </x:c>
      <x:c r="L676" s="16" t="n">
        <x:v>4993</x:v>
      </x:c>
      <x:c r="M676" s="16" t="n">
        <x:v>9</x:v>
      </x:c>
      <x:c r="N676" s="16" t="n">
        <x:v>18.11111111111111</x:v>
      </x:c>
      <x:c r="O676" s="12" t="str">
        <x:v>FTRL44G004</x:v>
      </x:c>
      <x:c r="P676" s="12" t="str">
        <x:v>STRL44G139</x:v>
      </x:c>
      <x:c r="Q676" s="12" t="str"/>
      <x:c r="R676" s="12" t="str"/>
      <x:c r="S676" s="12" t="str"/>
      <x:c r="T676" s="12" t="str">
        <x:v>ABM</x:v>
      </x:c>
      <x:c r="U676" s="12" t="str"/>
      <x:c r="V676" s="12" t="str"/>
      <x:c r="W676" s="12" t="str"/>
      <x:c r="X676" s="12" t="str">
        <x:v>STRL44</x:v>
      </x:c>
      <x:c r="Y676" s="12" t="str">
        <x:v>RAFIF &amp; YOGI</x:v>
      </x:c>
      <x:c r="Z676" s="12" t="str"/>
      <x:c r="AA676" s="32" t="n">
        <x:f>IFERROR(VLOOKUP(G676,Master_Unit!$A$2:$N$78,7,FALSE),"")</x:f>
        <x:v>20</x:v>
      </x:c>
      <x:c r="AB676" s="32" t="n">
        <x:f>IF(OR(N676="",AA676=""),"",N676-AA676)</x:f>
        <x:v>-1.8888888888888893</x:v>
      </x:c>
      <x:c r="AC676" s="20" t="n">
        <x:f>IF(OR(N676="",AA676="",AA676=0),"",AB676/AA676)</x:f>
        <x:v>-0.09444444444444447</x:v>
      </x:c>
      <x:c r="AD676" t="str">
        <x:f>IF(AA676="","NO STANDARD",IF(AC676&lt;=Config_Status!$B$2,"EFFICIENT",IF(AC676&lt;=Config_Status!$B$3,"NORMAL",IF(AC676&lt;=Config_Status!$B$4,"WARNING","OVER CONSUMPTION"))))</x:f>
        <x:v>NORMAL</x:v>
      </x:c>
      <x:c r="AE676" t="str">
        <x:f>IFERROR(VLOOKUP(G676,Master_Unit!$A$2:$N$78,13,FALSE),"UNIT NOT FOUND")</x:f>
        <x:v>Matched</x:v>
      </x:c>
    </x:row>
    <x:row r="677">
      <x:c r="A677" s="12" t="str">
        <x:v>FU-20260609-00676</x:v>
      </x:c>
      <x:c r="B677" s="12" t="n">
        <x:v>806</x:v>
      </x:c>
      <x:c r="C677" s="14" t="n">
        <x:v>46182</x:v>
      </x:c>
      <x:c r="D677" s="12" t="str">
        <x:v>Selasa</x:v>
      </x:c>
      <x:c r="E677" s="12" t="str">
        <x:v>23:38:00</x:v>
      </x:c>
      <x:c r="F677" s="12" t="str">
        <x:v>All Shift Night</x:v>
      </x:c>
      <x:c r="G677" s="12" t="str">
        <x:v>STRL44G155</x:v>
      </x:c>
      <x:c r="H677" s="12" t="str">
        <x:v>Dump Truck</x:v>
      </x:c>
      <x:c r="I677" s="12" t="str">
        <x:v>DUMP TRUCK RENAULT KRANGE440-P6X4 A/T</x:v>
      </x:c>
      <x:c r="J677" s="16" t="n">
        <x:v>163</x:v>
      </x:c>
      <x:c r="K677" s="16" t="n">
        <x:v>3974</x:v>
      </x:c>
      <x:c r="L677" s="16" t="n">
        <x:v>3983</x:v>
      </x:c>
      <x:c r="M677" s="16" t="n">
        <x:v>9</x:v>
      </x:c>
      <x:c r="N677" s="16" t="n">
        <x:v>18.11111111111111</x:v>
      </x:c>
      <x:c r="O677" s="12" t="str">
        <x:v>FTRL44G004</x:v>
      </x:c>
      <x:c r="P677" s="12" t="str">
        <x:v>STRL44G155</x:v>
      </x:c>
      <x:c r="Q677" s="12" t="str"/>
      <x:c r="R677" s="12" t="str"/>
      <x:c r="S677" s="12" t="str"/>
      <x:c r="T677" s="12" t="str">
        <x:v>ABM</x:v>
      </x:c>
      <x:c r="U677" s="12" t="str"/>
      <x:c r="V677" s="12" t="str"/>
      <x:c r="W677" s="12" t="str"/>
      <x:c r="X677" s="12" t="str">
        <x:v>STRL44</x:v>
      </x:c>
      <x:c r="Y677" s="12" t="str">
        <x:v>RAFIF &amp; YOGI</x:v>
      </x:c>
      <x:c r="Z677" s="12" t="str"/>
      <x:c r="AA677" s="32" t="n">
        <x:f>IFERROR(VLOOKUP(G677,Master_Unit!$A$2:$N$78,7,FALSE),"")</x:f>
        <x:v>20</x:v>
      </x:c>
      <x:c r="AB677" s="32" t="n">
        <x:f>IF(OR(N677="",AA677=""),"",N677-AA677)</x:f>
        <x:v>-1.8888888888888893</x:v>
      </x:c>
      <x:c r="AC677" s="20" t="n">
        <x:f>IF(OR(N677="",AA677="",AA677=0),"",AB677/AA677)</x:f>
        <x:v>-0.09444444444444447</x:v>
      </x:c>
      <x:c r="AD677" t="str">
        <x:f>IF(AA677="","NO STANDARD",IF(AC677&lt;=Config_Status!$B$2,"EFFICIENT",IF(AC677&lt;=Config_Status!$B$3,"NORMAL",IF(AC677&lt;=Config_Status!$B$4,"WARNING","OVER CONSUMPTION"))))</x:f>
        <x:v>NORMAL</x:v>
      </x:c>
      <x:c r="AE677" t="str">
        <x:f>IFERROR(VLOOKUP(G677,Master_Unit!$A$2:$N$78,13,FALSE),"UNIT NOT FOUND")</x:f>
        <x:v>Matched</x:v>
      </x:c>
    </x:row>
    <x:row r="678">
      <x:c r="A678" s="12" t="str">
        <x:v>FU-20260609-00677</x:v>
      </x:c>
      <x:c r="B678" s="12" t="n">
        <x:v>807</x:v>
      </x:c>
      <x:c r="C678" s="14" t="n">
        <x:v>46182</x:v>
      </x:c>
      <x:c r="D678" s="12" t="str">
        <x:v>Selasa</x:v>
      </x:c>
      <x:c r="E678" s="12" t="str">
        <x:v>23:45:00</x:v>
      </x:c>
      <x:c r="F678" s="12" t="str">
        <x:v>All Shift Night</x:v>
      </x:c>
      <x:c r="G678" s="12" t="str">
        <x:v>STRL44G153</x:v>
      </x:c>
      <x:c r="H678" s="12" t="str">
        <x:v>Dump Truck</x:v>
      </x:c>
      <x:c r="I678" s="12" t="str">
        <x:v>DUMP TRUCK RENAULT KRANGE440-P6X4 A/T</x:v>
      </x:c>
      <x:c r="J678" s="16" t="n">
        <x:v>163</x:v>
      </x:c>
      <x:c r="K678" s="16" t="n">
        <x:v>4003</x:v>
      </x:c>
      <x:c r="L678" s="16" t="n">
        <x:v>4013</x:v>
      </x:c>
      <x:c r="M678" s="16" t="n">
        <x:v>10</x:v>
      </x:c>
      <x:c r="N678" s="16" t="n">
        <x:v>16.3</x:v>
      </x:c>
      <x:c r="O678" s="12" t="str">
        <x:v>FTRL44G004</x:v>
      </x:c>
      <x:c r="P678" s="12" t="str">
        <x:v>STRL44G153</x:v>
      </x:c>
      <x:c r="Q678" s="12" t="str"/>
      <x:c r="R678" s="12" t="str"/>
      <x:c r="S678" s="12" t="str"/>
      <x:c r="T678" s="12" t="str">
        <x:v>ABM</x:v>
      </x:c>
      <x:c r="U678" s="12" t="str"/>
      <x:c r="V678" s="12" t="str"/>
      <x:c r="W678" s="12" t="str"/>
      <x:c r="X678" s="12" t="str">
        <x:v>STRL44</x:v>
      </x:c>
      <x:c r="Y678" s="12" t="str">
        <x:v>RAFIF &amp; YOGI</x:v>
      </x:c>
      <x:c r="Z678" s="12" t="str"/>
      <x:c r="AA678" s="32" t="n">
        <x:f>IFERROR(VLOOKUP(G678,Master_Unit!$A$2:$N$78,7,FALSE),"")</x:f>
        <x:v>20</x:v>
      </x:c>
      <x:c r="AB678" s="32" t="n">
        <x:f>IF(OR(N678="",AA678=""),"",N678-AA678)</x:f>
        <x:v>-3.6999999999999993</x:v>
      </x:c>
      <x:c r="AC678" s="20" t="n">
        <x:f>IF(OR(N678="",AA678="",AA678=0),"",AB678/AA678)</x:f>
        <x:v>-0.18499999999999997</x:v>
      </x:c>
      <x:c r="AD678" t="str">
        <x:f>IF(AA678="","NO STANDARD",IF(AC678&lt;=Config_Status!$B$2,"EFFICIENT",IF(AC678&lt;=Config_Status!$B$3,"NORMAL",IF(AC678&lt;=Config_Status!$B$4,"WARNING","OVER CONSUMPTION"))))</x:f>
        <x:v>EFFICIENT</x:v>
      </x:c>
      <x:c r="AE678" t="str">
        <x:f>IFERROR(VLOOKUP(G678,Master_Unit!$A$2:$N$78,13,FALSE),"UNIT NOT FOUND")</x:f>
        <x:v>Matched</x:v>
      </x:c>
    </x:row>
    <x:row r="679">
      <x:c r="A679" s="12" t="str">
        <x:v>FU-20260609-00678</x:v>
      </x:c>
      <x:c r="B679" s="12" t="n">
        <x:v>808</x:v>
      </x:c>
      <x:c r="C679" s="14" t="n">
        <x:v>46182</x:v>
      </x:c>
      <x:c r="D679" s="12" t="str">
        <x:v>Selasa</x:v>
      </x:c>
      <x:c r="E679" s="12" t="str">
        <x:v>23:51:00</x:v>
      </x:c>
      <x:c r="F679" s="12" t="str">
        <x:v>All Shift Night</x:v>
      </x:c>
      <x:c r="G679" s="12" t="str">
        <x:v>STRL44G143</x:v>
      </x:c>
      <x:c r="H679" s="12" t="str">
        <x:v>Dump Truck</x:v>
      </x:c>
      <x:c r="I679" s="12" t="str">
        <x:v>DUMP TRUCK RENAULT KRANGE440-P6X4 A/T</x:v>
      </x:c>
      <x:c r="J679" s="16" t="n">
        <x:v>164</x:v>
      </x:c>
      <x:c r="K679" s="16" t="n">
        <x:v>5247</x:v>
      </x:c>
      <x:c r="L679" s="16" t="n">
        <x:v>5256</x:v>
      </x:c>
      <x:c r="M679" s="16" t="n">
        <x:v>9</x:v>
      </x:c>
      <x:c r="N679" s="16" t="n">
        <x:v>18.22222222222222</x:v>
      </x:c>
      <x:c r="O679" s="12" t="str">
        <x:v>FTRL44G004</x:v>
      </x:c>
      <x:c r="P679" s="12" t="str">
        <x:v>STRL44G143</x:v>
      </x:c>
      <x:c r="Q679" s="12" t="str"/>
      <x:c r="R679" s="12" t="str"/>
      <x:c r="S679" s="12" t="str"/>
      <x:c r="T679" s="12" t="str">
        <x:v>ABM</x:v>
      </x:c>
      <x:c r="U679" s="12" t="str"/>
      <x:c r="V679" s="12" t="str"/>
      <x:c r="W679" s="12" t="str"/>
      <x:c r="X679" s="12" t="str">
        <x:v>STRL44</x:v>
      </x:c>
      <x:c r="Y679" s="12" t="str">
        <x:v>RAFIF &amp; YOGI</x:v>
      </x:c>
      <x:c r="Z679" s="12" t="str"/>
      <x:c r="AA679" s="32" t="n">
        <x:f>IFERROR(VLOOKUP(G679,Master_Unit!$A$2:$N$78,7,FALSE),"")</x:f>
        <x:v>20</x:v>
      </x:c>
      <x:c r="AB679" s="32" t="n">
        <x:f>IF(OR(N679="",AA679=""),"",N679-AA679)</x:f>
        <x:v>-1.7777777777777786</x:v>
      </x:c>
      <x:c r="AC679" s="20" t="n">
        <x:f>IF(OR(N679="",AA679="",AA679=0),"",AB679/AA679)</x:f>
        <x:v>-0.08888888888888893</x:v>
      </x:c>
      <x:c r="AD679" t="str">
        <x:f>IF(AA679="","NO STANDARD",IF(AC679&lt;=Config_Status!$B$2,"EFFICIENT",IF(AC679&lt;=Config_Status!$B$3,"NORMAL",IF(AC679&lt;=Config_Status!$B$4,"WARNING","OVER CONSUMPTION"))))</x:f>
        <x:v>NORMAL</x:v>
      </x:c>
      <x:c r="AE679" t="str">
        <x:f>IFERROR(VLOOKUP(G679,Master_Unit!$A$2:$N$78,13,FALSE),"UNIT NOT FOUND")</x:f>
        <x:v>Matched</x:v>
      </x:c>
    </x:row>
    <x:row r="680">
      <x:c r="A680" s="12" t="str">
        <x:v>FU-20260609-00679</x:v>
      </x:c>
      <x:c r="B680" s="12" t="n">
        <x:v>809</x:v>
      </x:c>
      <x:c r="C680" s="14" t="n">
        <x:v>46182</x:v>
      </x:c>
      <x:c r="D680" s="12" t="str">
        <x:v>Selasa</x:v>
      </x:c>
      <x:c r="E680" s="12" t="str">
        <x:v>23:54:00</x:v>
      </x:c>
      <x:c r="F680" s="12" t="str">
        <x:v>All Shift Night</x:v>
      </x:c>
      <x:c r="G680" s="12" t="str">
        <x:v>STRL44G152</x:v>
      </x:c>
      <x:c r="H680" s="12" t="str">
        <x:v>Dump Truck</x:v>
      </x:c>
      <x:c r="I680" s="12" t="str">
        <x:v>DUMP TRUCK RENAULT KRANGE440-P6X4 A/T</x:v>
      </x:c>
      <x:c r="J680" s="16" t="n">
        <x:v>153</x:v>
      </x:c>
      <x:c r="K680" s="16" t="n">
        <x:v>3711</x:v>
      </x:c>
      <x:c r="L680" s="16" t="n">
        <x:v>3720</x:v>
      </x:c>
      <x:c r="M680" s="16" t="n">
        <x:v>9</x:v>
      </x:c>
      <x:c r="N680" s="16" t="n">
        <x:v>17</x:v>
      </x:c>
      <x:c r="O680" s="12" t="str">
        <x:v>FTRL44G004</x:v>
      </x:c>
      <x:c r="P680" s="12" t="str">
        <x:v>STRL44G152</x:v>
      </x:c>
      <x:c r="Q680" s="12" t="str"/>
      <x:c r="R680" s="12" t="str"/>
      <x:c r="S680" s="12" t="str"/>
      <x:c r="T680" s="12" t="str">
        <x:v>ABM</x:v>
      </x:c>
      <x:c r="U680" s="12" t="str"/>
      <x:c r="V680" s="12" t="str"/>
      <x:c r="W680" s="12" t="str"/>
      <x:c r="X680" s="12" t="str">
        <x:v>STRL44</x:v>
      </x:c>
      <x:c r="Y680" s="12" t="str">
        <x:v>RAFIF &amp; YOGI</x:v>
      </x:c>
      <x:c r="Z680" s="12" t="str"/>
      <x:c r="AA680" s="32" t="n">
        <x:f>IFERROR(VLOOKUP(G680,Master_Unit!$A$2:$N$78,7,FALSE),"")</x:f>
        <x:v>20</x:v>
      </x:c>
      <x:c r="AB680" s="32" t="n">
        <x:f>IF(OR(N680="",AA680=""),"",N680-AA680)</x:f>
        <x:v>-3</x:v>
      </x:c>
      <x:c r="AC680" s="20" t="n">
        <x:f>IF(OR(N680="",AA680="",AA680=0),"",AB680/AA680)</x:f>
        <x:v>-0.15</x:v>
      </x:c>
      <x:c r="AD680" t="str">
        <x:f>IF(AA680="","NO STANDARD",IF(AC680&lt;=Config_Status!$B$2,"EFFICIENT",IF(AC680&lt;=Config_Status!$B$3,"NORMAL",IF(AC680&lt;=Config_Status!$B$4,"WARNING","OVER CONSUMPTION"))))</x:f>
        <x:v>EFFICIENT</x:v>
      </x:c>
      <x:c r="AE680" t="str">
        <x:f>IFERROR(VLOOKUP(G680,Master_Unit!$A$2:$N$78,13,FALSE),"UNIT NOT FOUND")</x:f>
        <x:v>Matched</x:v>
      </x:c>
    </x:row>
    <x:row r="681">
      <x:c r="A681" s="12" t="str">
        <x:v>FU-20260609-00680</x:v>
      </x:c>
      <x:c r="B681" s="12" t="n">
        <x:v>810</x:v>
      </x:c>
      <x:c r="C681" s="14" t="n">
        <x:v>46182</x:v>
      </x:c>
      <x:c r="D681" s="12" t="str">
        <x:v>Selasa</x:v>
      </x:c>
      <x:c r="E681" s="12" t="str">
        <x:v>18:13:00</x:v>
      </x:c>
      <x:c r="F681" s="12" t="str">
        <x:v>All Shift Night</x:v>
      </x:c>
      <x:c r="G681" s="12" t="str">
        <x:v>EXVV21G035</x:v>
      </x:c>
      <x:c r="H681" s="12" t="str">
        <x:v>Excavator</x:v>
      </x:c>
      <x:c r="I681" s="12" t="str">
        <x:v>EXCAVATOR VOLVO EC210D</x:v>
      </x:c>
      <x:c r="J681" s="16" t="n">
        <x:v>153</x:v>
      </x:c>
      <x:c r="K681" s="16" t="n">
        <x:v>8387</x:v>
      </x:c>
      <x:c r="L681" s="16" t="n">
        <x:v>8397.6</x:v>
      </x:c>
      <x:c r="M681" s="16" t="n">
        <x:v>10.600000000000364</x:v>
      </x:c>
      <x:c r="N681" s="16" t="n">
        <x:v>14.433962264150448</x:v>
      </x:c>
      <x:c r="O681" s="12" t="str">
        <x:v>FTRL44G005</x:v>
      </x:c>
      <x:c r="P681" s="12" t="str">
        <x:v>EXVV21G035</x:v>
      </x:c>
      <x:c r="Q681" s="12" t="str"/>
      <x:c r="R681" s="12" t="str"/>
      <x:c r="S681" s="12" t="str"/>
      <x:c r="T681" s="12" t="str">
        <x:v>ABM</x:v>
      </x:c>
      <x:c r="U681" s="12" t="str"/>
      <x:c r="V681" s="12" t="str"/>
      <x:c r="W681" s="12" t="str"/>
      <x:c r="X681" s="12" t="str">
        <x:v>EXVV21</x:v>
      </x:c>
      <x:c r="Y681" s="12" t="str">
        <x:v>BADRI &amp; KAMRAN</x:v>
      </x:c>
      <x:c r="Z681" s="12" t="str"/>
      <x:c r="AA681" s="32" t="n">
        <x:f>IFERROR(VLOOKUP(G681,Master_Unit!$A$2:$N$78,7,FALSE),"")</x:f>
        <x:v>20</x:v>
      </x:c>
      <x:c r="AB681" s="32" t="n">
        <x:f>IF(OR(N681="",AA681=""),"",N681-AA681)</x:f>
        <x:v>-5.566037735849552</x:v>
      </x:c>
      <x:c r="AC681" s="20" t="n">
        <x:f>IF(OR(N681="",AA681="",AA681=0),"",AB681/AA681)</x:f>
        <x:v>-0.2783018867924776</x:v>
      </x:c>
      <x:c r="AD681" t="str">
        <x:f>IF(AA681="","NO STANDARD",IF(AC681&lt;=Config_Status!$B$2,"EFFICIENT",IF(AC681&lt;=Config_Status!$B$3,"NORMAL",IF(AC681&lt;=Config_Status!$B$4,"WARNING","OVER CONSUMPTION"))))</x:f>
        <x:v>EFFICIENT</x:v>
      </x:c>
      <x:c r="AE681" t="str">
        <x:f>IFERROR(VLOOKUP(G681,Master_Unit!$A$2:$N$78,13,FALSE),"UNIT NOT FOUND")</x:f>
        <x:v>Matched</x:v>
      </x:c>
    </x:row>
    <x:row r="682">
      <x:c r="A682" s="12" t="str">
        <x:v>FU-20260609-00681</x:v>
      </x:c>
      <x:c r="B682" s="12" t="n">
        <x:v>811</x:v>
      </x:c>
      <x:c r="C682" s="14" t="n">
        <x:v>46182</x:v>
      </x:c>
      <x:c r="D682" s="12" t="str">
        <x:v>Selasa</x:v>
      </x:c>
      <x:c r="E682" s="12" t="str">
        <x:v>18:26:00</x:v>
      </x:c>
      <x:c r="F682" s="12" t="str">
        <x:v>All Shift Night</x:v>
      </x:c>
      <x:c r="G682" s="12" t="str">
        <x:v>STRL44G138</x:v>
      </x:c>
      <x:c r="H682" s="12" t="str">
        <x:v>Dump Truck</x:v>
      </x:c>
      <x:c r="I682" s="12" t="str">
        <x:v>DUMP TRUCK RENAULT KRANGE440-P6X4 A/T</x:v>
      </x:c>
      <x:c r="J682" s="16" t="n">
        <x:v>154</x:v>
      </x:c>
      <x:c r="K682" s="16" t="n">
        <x:v>5315</x:v>
      </x:c>
      <x:c r="L682" s="16" t="n">
        <x:v>5324</x:v>
      </x:c>
      <x:c r="M682" s="16" t="n">
        <x:v>9</x:v>
      </x:c>
      <x:c r="N682" s="16" t="n">
        <x:v>17.11111111111111</x:v>
      </x:c>
      <x:c r="O682" s="12" t="str">
        <x:v>FTRL44G005</x:v>
      </x:c>
      <x:c r="P682" s="12" t="str">
        <x:v>STRL44G138</x:v>
      </x:c>
      <x:c r="Q682" s="12" t="str"/>
      <x:c r="R682" s="12" t="str"/>
      <x:c r="S682" s="12" t="str"/>
      <x:c r="T682" s="12" t="str">
        <x:v>ABM</x:v>
      </x:c>
      <x:c r="U682" s="12" t="str"/>
      <x:c r="V682" s="12" t="str"/>
      <x:c r="W682" s="12" t="str"/>
      <x:c r="X682" s="12" t="str">
        <x:v>STRL44</x:v>
      </x:c>
      <x:c r="Y682" s="12" t="str">
        <x:v>BADRI &amp; KAMRAN</x:v>
      </x:c>
      <x:c r="Z682" s="12" t="str"/>
      <x:c r="AA682" s="32" t="n">
        <x:f>IFERROR(VLOOKUP(G682,Master_Unit!$A$2:$N$78,7,FALSE),"")</x:f>
        <x:v>20</x:v>
      </x:c>
      <x:c r="AB682" s="32" t="n">
        <x:f>IF(OR(N682="",AA682=""),"",N682-AA682)</x:f>
        <x:v>-2.8888888888888893</x:v>
      </x:c>
      <x:c r="AC682" s="20" t="n">
        <x:f>IF(OR(N682="",AA682="",AA682=0),"",AB682/AA682)</x:f>
        <x:v>-0.14444444444444446</x:v>
      </x:c>
      <x:c r="AD682" t="str">
        <x:f>IF(AA682="","NO STANDARD",IF(AC682&lt;=Config_Status!$B$2,"EFFICIENT",IF(AC682&lt;=Config_Status!$B$3,"NORMAL",IF(AC682&lt;=Config_Status!$B$4,"WARNING","OVER CONSUMPTION"))))</x:f>
        <x:v>EFFICIENT</x:v>
      </x:c>
      <x:c r="AE682" t="str">
        <x:f>IFERROR(VLOOKUP(G682,Master_Unit!$A$2:$N$78,13,FALSE),"UNIT NOT FOUND")</x:f>
        <x:v>Matched</x:v>
      </x:c>
    </x:row>
    <x:row r="683">
      <x:c r="A683" s="12" t="str">
        <x:v>FU-20260609-00682</x:v>
      </x:c>
      <x:c r="B683" s="12" t="n">
        <x:v>812</x:v>
      </x:c>
      <x:c r="C683" s="14" t="n">
        <x:v>46182</x:v>
      </x:c>
      <x:c r="D683" s="12" t="str">
        <x:v>Selasa</x:v>
      </x:c>
      <x:c r="E683" s="12" t="str">
        <x:v>18:36:00</x:v>
      </x:c>
      <x:c r="F683" s="12" t="str">
        <x:v>All Shift Night</x:v>
      </x:c>
      <x:c r="G683" s="12" t="str">
        <x:v>LVTH24R024</x:v>
      </x:c>
      <x:c r="H683" s="12" t="str">
        <x:v>Light Vehicle</x:v>
      </x:c>
      <x:c r="I683" s="12" t="str">
        <x:v>LIGHT VEHICLE TOYOTA HILUX</x:v>
      </x:c>
      <x:c r="J683" s="16" t="n">
        <x:v>20</x:v>
      </x:c>
      <x:c r="K683" s="16" t="n">
        <x:v>46324</x:v>
      </x:c>
      <x:c r="L683" s="16" t="n">
        <x:v>46539</x:v>
      </x:c>
      <x:c r="M683" s="16" t="n">
        <x:v>215</x:v>
      </x:c>
      <x:c r="N683" s="16" t="n">
        <x:v>0.09302325581395349</x:v>
      </x:c>
      <x:c r="O683" s="12" t="str">
        <x:v>FTRL44G005</x:v>
      </x:c>
      <x:c r="P683" s="12" t="str">
        <x:v>LVTH24R024</x:v>
      </x:c>
      <x:c r="Q683" s="12" t="str"/>
      <x:c r="R683" s="12" t="str"/>
      <x:c r="S683" s="12" t="str"/>
      <x:c r="T683" s="12" t="str">
        <x:v>ABM</x:v>
      </x:c>
      <x:c r="U683" s="12" t="str"/>
      <x:c r="V683" s="12" t="str"/>
      <x:c r="W683" s="12" t="str"/>
      <x:c r="X683" s="12" t="str">
        <x:v>LVTH24</x:v>
      </x:c>
      <x:c r="Y683" s="12" t="str">
        <x:v>BADRI &amp; KAMRAN</x:v>
      </x:c>
      <x:c r="Z683" s="12" t="str"/>
      <x:c r="AA683" s="32" t="n">
        <x:f>IFERROR(VLOOKUP(G683,Master_Unit!$A$2:$N$78,7,FALSE),"")</x:f>
        <x:v>0.2</x:v>
      </x:c>
      <x:c r="AB683" s="32" t="n">
        <x:f>IF(OR(N683="",AA683=""),"",N683-AA683)</x:f>
        <x:v>-0.10697674418604652</x:v>
      </x:c>
      <x:c r="AC683" s="20" t="n">
        <x:f>IF(OR(N683="",AA683="",AA683=0),"",AB683/AA683)</x:f>
        <x:v>-0.5348837209302326</x:v>
      </x:c>
      <x:c r="AD683" t="str">
        <x:f>IF(AA683="","NO STANDARD",IF(AC683&lt;=Config_Status!$B$2,"EFFICIENT",IF(AC683&lt;=Config_Status!$B$3,"NORMAL",IF(AC683&lt;=Config_Status!$B$4,"WARNING","OVER CONSUMPTION"))))</x:f>
        <x:v>EFFICIENT</x:v>
      </x:c>
      <x:c r="AE683" t="str">
        <x:f>IFERROR(VLOOKUP(G683,Master_Unit!$A$2:$N$78,13,FALSE),"UNIT NOT FOUND")</x:f>
        <x:v>Matched</x:v>
      </x:c>
    </x:row>
    <x:row r="684">
      <x:c r="A684" s="12" t="str">
        <x:v>FU-20260609-00683</x:v>
      </x:c>
      <x:c r="B684" s="12" t="n">
        <x:v>813</x:v>
      </x:c>
      <x:c r="C684" s="14" t="n">
        <x:v>46182</x:v>
      </x:c>
      <x:c r="D684" s="12" t="str">
        <x:v>Selasa</x:v>
      </x:c>
      <x:c r="E684" s="12" t="str">
        <x:v>18:37:00</x:v>
      </x:c>
      <x:c r="F684" s="12" t="str">
        <x:v>All Shift Night</x:v>
      </x:c>
      <x:c r="G684" s="12" t="str">
        <x:v>EXVV21G037</x:v>
      </x:c>
      <x:c r="H684" s="12" t="str">
        <x:v>Excavator</x:v>
      </x:c>
      <x:c r="I684" s="12" t="str">
        <x:v>EXCAVATOR VOLVO EC210D</x:v>
      </x:c>
      <x:c r="J684" s="16" t="n">
        <x:v>131</x:v>
      </x:c>
      <x:c r="K684" s="16" t="n">
        <x:v>6858.3</x:v>
      </x:c>
      <x:c r="L684" s="16" t="n">
        <x:v>6866.1</x:v>
      </x:c>
      <x:c r="M684" s="16" t="n">
        <x:v>7.800000000000182</x:v>
      </x:c>
      <x:c r="N684" s="16" t="n">
        <x:v>16.794871794871405</x:v>
      </x:c>
      <x:c r="O684" s="12" t="str">
        <x:v>FTRL44G005</x:v>
      </x:c>
      <x:c r="P684" s="12" t="str">
        <x:v>EXVV21G037</x:v>
      </x:c>
      <x:c r="Q684" s="12" t="str"/>
      <x:c r="R684" s="12" t="str"/>
      <x:c r="S684" s="12" t="str"/>
      <x:c r="T684" s="12" t="str">
        <x:v>ABM</x:v>
      </x:c>
      <x:c r="U684" s="12" t="str"/>
      <x:c r="V684" s="12" t="str"/>
      <x:c r="W684" s="12" t="str"/>
      <x:c r="X684" s="12" t="str">
        <x:v>EXVV21</x:v>
      </x:c>
      <x:c r="Y684" s="12" t="str">
        <x:v>BADRI &amp; KAMRAN</x:v>
      </x:c>
      <x:c r="Z684" s="12" t="str"/>
      <x:c r="AA684" s="32" t="n">
        <x:f>IFERROR(VLOOKUP(G684,Master_Unit!$A$2:$N$78,7,FALSE),"")</x:f>
        <x:v>20</x:v>
      </x:c>
      <x:c r="AB684" s="32" t="n">
        <x:f>IF(OR(N684="",AA684=""),"",N684-AA684)</x:f>
        <x:v>-3.205128205128595</x:v>
      </x:c>
      <x:c r="AC684" s="20" t="n">
        <x:f>IF(OR(N684="",AA684="",AA684=0),"",AB684/AA684)</x:f>
        <x:v>-0.16025641025642975</x:v>
      </x:c>
      <x:c r="AD684" t="str">
        <x:f>IF(AA684="","NO STANDARD",IF(AC684&lt;=Config_Status!$B$2,"EFFICIENT",IF(AC684&lt;=Config_Status!$B$3,"NORMAL",IF(AC684&lt;=Config_Status!$B$4,"WARNING","OVER CONSUMPTION"))))</x:f>
        <x:v>EFFICIENT</x:v>
      </x:c>
      <x:c r="AE684" t="str">
        <x:f>IFERROR(VLOOKUP(G684,Master_Unit!$A$2:$N$78,13,FALSE),"UNIT NOT FOUND")</x:f>
        <x:v>Matched</x:v>
      </x:c>
    </x:row>
    <x:row r="685">
      <x:c r="A685" s="12" t="str">
        <x:v>FU-20260609-00684</x:v>
      </x:c>
      <x:c r="B685" s="12" t="n">
        <x:v>814</x:v>
      </x:c>
      <x:c r="C685" s="14" t="n">
        <x:v>46182</x:v>
      </x:c>
      <x:c r="D685" s="12" t="str">
        <x:v>Selasa</x:v>
      </x:c>
      <x:c r="E685" s="12" t="str">
        <x:v>18:40:00</x:v>
      </x:c>
      <x:c r="F685" s="12" t="str">
        <x:v>All Shift Night</x:v>
      </x:c>
      <x:c r="G685" s="12" t="str">
        <x:v>EXVV21G032</x:v>
      </x:c>
      <x:c r="H685" s="12" t="str">
        <x:v>Excavator</x:v>
      </x:c>
      <x:c r="I685" s="12" t="str">
        <x:v>EXCAVATOR VOLVO EC210D</x:v>
      </x:c>
      <x:c r="J685" s="16" t="n">
        <x:v>153</x:v>
      </x:c>
      <x:c r="K685" s="16" t="n">
        <x:v>7509.3</x:v>
      </x:c>
      <x:c r="L685" s="16" t="n">
        <x:v>7518.3</x:v>
      </x:c>
      <x:c r="M685" s="16" t="n">
        <x:v>9</x:v>
      </x:c>
      <x:c r="N685" s="16" t="n">
        <x:v>17</x:v>
      </x:c>
      <x:c r="O685" s="12" t="str">
        <x:v>FTRL44G005</x:v>
      </x:c>
      <x:c r="P685" s="12" t="str">
        <x:v>EXVV21G032</x:v>
      </x:c>
      <x:c r="Q685" s="12" t="str"/>
      <x:c r="R685" s="12" t="str"/>
      <x:c r="S685" s="12" t="str"/>
      <x:c r="T685" s="12" t="str">
        <x:v>ABM</x:v>
      </x:c>
      <x:c r="U685" s="12" t="str"/>
      <x:c r="V685" s="12" t="str"/>
      <x:c r="W685" s="12" t="str"/>
      <x:c r="X685" s="12" t="str">
        <x:v>EXVV21</x:v>
      </x:c>
      <x:c r="Y685" s="12" t="str">
        <x:v>BADRI &amp; KAMRAN</x:v>
      </x:c>
      <x:c r="Z685" s="12" t="str"/>
      <x:c r="AA685" s="32" t="n">
        <x:f>IFERROR(VLOOKUP(G685,Master_Unit!$A$2:$N$78,7,FALSE),"")</x:f>
        <x:v>20</x:v>
      </x:c>
      <x:c r="AB685" s="32" t="n">
        <x:f>IF(OR(N685="",AA685=""),"",N685-AA685)</x:f>
        <x:v>-3</x:v>
      </x:c>
      <x:c r="AC685" s="20" t="n">
        <x:f>IF(OR(N685="",AA685="",AA685=0),"",AB685/AA685)</x:f>
        <x:v>-0.15</x:v>
      </x:c>
      <x:c r="AD685" t="str">
        <x:f>IF(AA685="","NO STANDARD",IF(AC685&lt;=Config_Status!$B$2,"EFFICIENT",IF(AC685&lt;=Config_Status!$B$3,"NORMAL",IF(AC685&lt;=Config_Status!$B$4,"WARNING","OVER CONSUMPTION"))))</x:f>
        <x:v>EFFICIENT</x:v>
      </x:c>
      <x:c r="AE685" t="str">
        <x:f>IFERROR(VLOOKUP(G685,Master_Unit!$A$2:$N$78,13,FALSE),"UNIT NOT FOUND")</x:f>
        <x:v>Matched</x:v>
      </x:c>
    </x:row>
    <x:row r="686">
      <x:c r="A686" s="12" t="str">
        <x:v>FU-20260609-00685</x:v>
      </x:c>
      <x:c r="B686" s="12" t="n">
        <x:v>815</x:v>
      </x:c>
      <x:c r="C686" s="14" t="n">
        <x:v>46182</x:v>
      </x:c>
      <x:c r="D686" s="12" t="str">
        <x:v>Selasa</x:v>
      </x:c>
      <x:c r="E686" s="12" t="str">
        <x:v>18:43:00</x:v>
      </x:c>
      <x:c r="F686" s="12" t="str">
        <x:v>All Shift Night</x:v>
      </x:c>
      <x:c r="G686" s="12" t="str">
        <x:v>EXVV21G039</x:v>
      </x:c>
      <x:c r="H686" s="12" t="str">
        <x:v>Excavator</x:v>
      </x:c>
      <x:c r="I686" s="12" t="str">
        <x:v>EXCAVATOR VOLVO EC210D</x:v>
      </x:c>
      <x:c r="J686" s="16" t="n">
        <x:v>154</x:v>
      </x:c>
      <x:c r="K686" s="16" t="n">
        <x:v>6278.4</x:v>
      </x:c>
      <x:c r="L686" s="16" t="n">
        <x:v>6282.7</x:v>
      </x:c>
      <x:c r="M686" s="16" t="n">
        <x:v>4.300000000000182</x:v>
      </x:c>
      <x:c r="N686" s="16" t="n">
        <x:v>35.81395348837058</x:v>
      </x:c>
      <x:c r="O686" s="12" t="str">
        <x:v>FTRL44G005</x:v>
      </x:c>
      <x:c r="P686" s="12" t="str">
        <x:v>EXVV21G039</x:v>
      </x:c>
      <x:c r="Q686" s="12" t="str"/>
      <x:c r="R686" s="12" t="str"/>
      <x:c r="S686" s="12" t="str"/>
      <x:c r="T686" s="12" t="str">
        <x:v>ABM</x:v>
      </x:c>
      <x:c r="U686" s="12" t="str"/>
      <x:c r="V686" s="12" t="str"/>
      <x:c r="W686" s="12" t="str"/>
      <x:c r="X686" s="12" t="str">
        <x:v>EXVV21</x:v>
      </x:c>
      <x:c r="Y686" s="12" t="str">
        <x:v>BADRI &amp; KAMRAN</x:v>
      </x:c>
      <x:c r="Z686" s="12" t="str"/>
      <x:c r="AA686" s="32" t="n">
        <x:f>IFERROR(VLOOKUP(G686,Master_Unit!$A$2:$N$78,7,FALSE),"")</x:f>
        <x:v>20</x:v>
      </x:c>
      <x:c r="AB686" s="32" t="n">
        <x:f>IF(OR(N686="",AA686=""),"",N686-AA686)</x:f>
        <x:v>15.81395348837058</x:v>
      </x:c>
      <x:c r="AC686" s="20" t="n">
        <x:f>IF(OR(N686="",AA686="",AA686=0),"",AB686/AA686)</x:f>
        <x:v>0.790697674418529</x:v>
      </x:c>
      <x:c r="AD686" t="str">
        <x:f>IF(AA686="","NO STANDARD",IF(AC686&lt;=Config_Status!$B$2,"EFFICIENT",IF(AC686&lt;=Config_Status!$B$3,"NORMAL",IF(AC686&lt;=Config_Status!$B$4,"WARNING","OVER CONSUMPTION"))))</x:f>
        <x:v>OVER CONSUMPTION</x:v>
      </x:c>
      <x:c r="AE686" t="str">
        <x:f>IFERROR(VLOOKUP(G686,Master_Unit!$A$2:$N$78,13,FALSE),"UNIT NOT FOUND")</x:f>
        <x:v>Matched</x:v>
      </x:c>
    </x:row>
    <x:row r="687">
      <x:c r="A687" s="12" t="str">
        <x:v>FU-20260609-00686</x:v>
      </x:c>
      <x:c r="B687" s="12" t="n">
        <x:v>816</x:v>
      </x:c>
      <x:c r="C687" s="14" t="n">
        <x:v>46182</x:v>
      </x:c>
      <x:c r="D687" s="12" t="str">
        <x:v>Selasa</x:v>
      </x:c>
      <x:c r="E687" s="12" t="str">
        <x:v>18:47:00</x:v>
      </x:c>
      <x:c r="F687" s="12" t="str">
        <x:v>All Shift Night</x:v>
      </x:c>
      <x:c r="G687" s="12" t="str">
        <x:v>EXVV21G042</x:v>
      </x:c>
      <x:c r="H687" s="12" t="str">
        <x:v>Excavator</x:v>
      </x:c>
      <x:c r="I687" s="12" t="str">
        <x:v>EXCAVATOR VOLVO EC210D</x:v>
      </x:c>
      <x:c r="J687" s="16" t="n">
        <x:v>145</x:v>
      </x:c>
      <x:c r="K687" s="16" t="n">
        <x:v>7730.6</x:v>
      </x:c>
      <x:c r="L687" s="16" t="n">
        <x:v>7738.7</x:v>
      </x:c>
      <x:c r="M687" s="16" t="n">
        <x:v>8.099999999999454</x:v>
      </x:c>
      <x:c r="N687" s="16" t="n">
        <x:v>17.901234567902442</x:v>
      </x:c>
      <x:c r="O687" s="12" t="str">
        <x:v>FTRL44G005</x:v>
      </x:c>
      <x:c r="P687" s="12" t="str">
        <x:v>EXVV21G042</x:v>
      </x:c>
      <x:c r="Q687" s="12" t="str"/>
      <x:c r="R687" s="12" t="str"/>
      <x:c r="S687" s="12" t="str"/>
      <x:c r="T687" s="12" t="str">
        <x:v>ABM</x:v>
      </x:c>
      <x:c r="U687" s="12" t="str"/>
      <x:c r="V687" s="12" t="str"/>
      <x:c r="W687" s="12" t="str"/>
      <x:c r="X687" s="12" t="str">
        <x:v>EXVV21</x:v>
      </x:c>
      <x:c r="Y687" s="12" t="str">
        <x:v>BADRI &amp; KAMRAN</x:v>
      </x:c>
      <x:c r="Z687" s="12" t="str"/>
      <x:c r="AA687" s="32" t="n">
        <x:f>IFERROR(VLOOKUP(G687,Master_Unit!$A$2:$N$78,7,FALSE),"")</x:f>
        <x:v>20</x:v>
      </x:c>
      <x:c r="AB687" s="32" t="n">
        <x:f>IF(OR(N687="",AA687=""),"",N687-AA687)</x:f>
        <x:v>-2.098765432097558</x:v>
      </x:c>
      <x:c r="AC687" s="20" t="n">
        <x:f>IF(OR(N687="",AA687="",AA687=0),"",AB687/AA687)</x:f>
        <x:v>-0.1049382716048779</x:v>
      </x:c>
      <x:c r="AD687" t="str">
        <x:f>IF(AA687="","NO STANDARD",IF(AC687&lt;=Config_Status!$B$2,"EFFICIENT",IF(AC687&lt;=Config_Status!$B$3,"NORMAL",IF(AC687&lt;=Config_Status!$B$4,"WARNING","OVER CONSUMPTION"))))</x:f>
        <x:v>EFFICIENT</x:v>
      </x:c>
      <x:c r="AE687" t="str">
        <x:f>IFERROR(VLOOKUP(G687,Master_Unit!$A$2:$N$78,13,FALSE),"UNIT NOT FOUND")</x:f>
        <x:v>Matched</x:v>
      </x:c>
    </x:row>
    <x:row r="688">
      <x:c r="A688" s="12" t="str">
        <x:v>FU-20260609-00687</x:v>
      </x:c>
      <x:c r="B688" s="12" t="n">
        <x:v>817</x:v>
      </x:c>
      <x:c r="C688" s="14" t="n">
        <x:v>46182</x:v>
      </x:c>
      <x:c r="D688" s="12" t="str">
        <x:v>Selasa</x:v>
      </x:c>
      <x:c r="E688" s="12" t="str">
        <x:v>18:50:00</x:v>
      </x:c>
      <x:c r="F688" s="12" t="str">
        <x:v>All Shift Night</x:v>
      </x:c>
      <x:c r="G688" s="12" t="str">
        <x:v>VRVV11G013</x:v>
      </x:c>
      <x:c r="H688" s="12" t="str">
        <x:v>Compactor</x:v>
      </x:c>
      <x:c r="I688" s="12" t="str">
        <x:v>VIBRO COMPACTOR VOLVO SD110NE</x:v>
      </x:c>
      <x:c r="J688" s="16" t="n">
        <x:v>75</x:v>
      </x:c>
      <x:c r="K688" s="16" t="n">
        <x:v>3198.2</x:v>
      </x:c>
      <x:c r="L688" s="16" t="n">
        <x:v>3204.1</x:v>
      </x:c>
      <x:c r="M688" s="16" t="n">
        <x:v>5.900000000000091</x:v>
      </x:c>
      <x:c r="N688" s="16" t="n">
        <x:v>12.711864406779465</x:v>
      </x:c>
      <x:c r="O688" s="12" t="str">
        <x:v>FTRL44G005</x:v>
      </x:c>
      <x:c r="P688" s="12" t="str">
        <x:v>VRVV11G013</x:v>
      </x:c>
      <x:c r="Q688" s="12" t="str"/>
      <x:c r="R688" s="12" t="str"/>
      <x:c r="S688" s="12" t="str"/>
      <x:c r="T688" s="12" t="str">
        <x:v>ABM</x:v>
      </x:c>
      <x:c r="U688" s="12" t="str"/>
      <x:c r="V688" s="12" t="str"/>
      <x:c r="W688" s="12" t="str"/>
      <x:c r="X688" s="12" t="str">
        <x:v>VRVV11</x:v>
      </x:c>
      <x:c r="Y688" s="12" t="str">
        <x:v>BADRI &amp; KAMRAN</x:v>
      </x:c>
      <x:c r="Z688" s="12" t="str"/>
      <x:c r="AA688" s="32" t="n">
        <x:f>IFERROR(VLOOKUP(G688,Master_Unit!$A$2:$N$78,7,FALSE),"")</x:f>
        <x:v>15</x:v>
      </x:c>
      <x:c r="AB688" s="32" t="n">
        <x:f>IF(OR(N688="",AA688=""),"",N688-AA688)</x:f>
        <x:v>-2.2881355932205345</x:v>
      </x:c>
      <x:c r="AC688" s="20" t="n">
        <x:f>IF(OR(N688="",AA688="",AA688=0),"",AB688/AA688)</x:f>
        <x:v>-0.15254237288136896</x:v>
      </x:c>
      <x:c r="AD688" t="str">
        <x:f>IF(AA688="","NO STANDARD",IF(AC688&lt;=Config_Status!$B$2,"EFFICIENT",IF(AC688&lt;=Config_Status!$B$3,"NORMAL",IF(AC688&lt;=Config_Status!$B$4,"WARNING","OVER CONSUMPTION"))))</x:f>
        <x:v>EFFICIENT</x:v>
      </x:c>
      <x:c r="AE688" t="str">
        <x:f>IFERROR(VLOOKUP(G688,Master_Unit!$A$2:$N$78,13,FALSE),"UNIT NOT FOUND")</x:f>
        <x:v>Matched</x:v>
      </x:c>
    </x:row>
    <x:row r="689">
      <x:c r="A689" s="12" t="str">
        <x:v>FU-20260609-00688</x:v>
      </x:c>
      <x:c r="B689" s="12" t="n">
        <x:v>818</x:v>
      </x:c>
      <x:c r="C689" s="14" t="n">
        <x:v>46182</x:v>
      </x:c>
      <x:c r="D689" s="12" t="str">
        <x:v>Selasa</x:v>
      </x:c>
      <x:c r="E689" s="12" t="str">
        <x:v>18:58:00</x:v>
      </x:c>
      <x:c r="F689" s="12" t="str">
        <x:v>All Shift Night</x:v>
      </x:c>
      <x:c r="G689" s="12" t="str">
        <x:v>EXVV35G005</x:v>
      </x:c>
      <x:c r="H689" s="12" t="str">
        <x:v>Excavator</x:v>
      </x:c>
      <x:c r="I689" s="12" t="str">
        <x:v>EXCAVATOR VOLVO EC350D</x:v>
      </x:c>
      <x:c r="J689" s="16" t="n">
        <x:v>213</x:v>
      </x:c>
      <x:c r="K689" s="16" t="n">
        <x:v>5190.5</x:v>
      </x:c>
      <x:c r="L689" s="16" t="n">
        <x:v>5198.8</x:v>
      </x:c>
      <x:c r="M689" s="16" t="n">
        <x:v>8.300000000000182</x:v>
      </x:c>
      <x:c r="N689" s="16" t="n">
        <x:v>25.662650602409077</x:v>
      </x:c>
      <x:c r="O689" s="12" t="str">
        <x:v>FTRL44G005</x:v>
      </x:c>
      <x:c r="P689" s="12" t="str">
        <x:v>EXVV35G005</x:v>
      </x:c>
      <x:c r="Q689" s="12" t="str"/>
      <x:c r="R689" s="12" t="str"/>
      <x:c r="S689" s="12" t="str"/>
      <x:c r="T689" s="12" t="str">
        <x:v>ABM</x:v>
      </x:c>
      <x:c r="U689" s="12" t="str"/>
      <x:c r="V689" s="12" t="str"/>
      <x:c r="W689" s="12" t="str"/>
      <x:c r="X689" s="12" t="str">
        <x:v>EXVV35</x:v>
      </x:c>
      <x:c r="Y689" s="12" t="str">
        <x:v>BADRI &amp; KAMRAN</x:v>
      </x:c>
      <x:c r="Z689" s="12" t="str"/>
      <x:c r="AA689" s="32" t="n">
        <x:f>IFERROR(VLOOKUP(G689,Master_Unit!$A$2:$N$78,7,FALSE),"")</x:f>
        <x:v>25</x:v>
      </x:c>
      <x:c r="AB689" s="32" t="n">
        <x:f>IF(OR(N689="",AA689=""),"",N689-AA689)</x:f>
        <x:v>0.6626506024090766</x:v>
      </x:c>
      <x:c r="AC689" s="20" t="n">
        <x:f>IF(OR(N689="",AA689="",AA689=0),"",AB689/AA689)</x:f>
        <x:v>0.026506024096363063</x:v>
      </x:c>
      <x:c r="AD689" t="str">
        <x:f>IF(AA689="","NO STANDARD",IF(AC689&lt;=Config_Status!$B$2,"EFFICIENT",IF(AC689&lt;=Config_Status!$B$3,"NORMAL",IF(AC689&lt;=Config_Status!$B$4,"WARNING","OVER CONSUMPTION"))))</x:f>
        <x:v>NORMAL</x:v>
      </x:c>
      <x:c r="AE689" t="str">
        <x:f>IFERROR(VLOOKUP(G689,Master_Unit!$A$2:$N$78,13,FALSE),"UNIT NOT FOUND")</x:f>
        <x:v>Matched</x:v>
      </x:c>
    </x:row>
    <x:row r="690">
      <x:c r="A690" s="12" t="str">
        <x:v>FU-20260609-00689</x:v>
      </x:c>
      <x:c r="B690" s="12" t="n">
        <x:v>819</x:v>
      </x:c>
      <x:c r="C690" s="14" t="n">
        <x:v>46182</x:v>
      </x:c>
      <x:c r="D690" s="12" t="str">
        <x:v>Selasa</x:v>
      </x:c>
      <x:c r="E690" s="12" t="str">
        <x:v>19:05:00</x:v>
      </x:c>
      <x:c r="F690" s="12" t="str">
        <x:v>All Shift Night</x:v>
      </x:c>
      <x:c r="G690" s="12" t="str">
        <x:v>BDKM85G039</x:v>
      </x:c>
      <x:c r="H690" s="12" t="str">
        <x:v>Dozer</x:v>
      </x:c>
      <x:c r="I690" s="12" t="str">
        <x:v>BULDOZER KOMATSU D85ESS-2</x:v>
      </x:c>
      <x:c r="J690" s="16" t="n">
        <x:v>141</x:v>
      </x:c>
      <x:c r="K690" s="16" t="n">
        <x:v>7081.1</x:v>
      </x:c>
      <x:c r="L690" s="16" t="n">
        <x:v>7089.8</x:v>
      </x:c>
      <x:c r="M690" s="16" t="n">
        <x:v>8.699999999999818</x:v>
      </x:c>
      <x:c r="N690" s="16" t="n">
        <x:v>16.206896551724476</x:v>
      </x:c>
      <x:c r="O690" s="12" t="str">
        <x:v>FTRL44G005</x:v>
      </x:c>
      <x:c r="P690" s="12" t="str">
        <x:v>BDKM85G039</x:v>
      </x:c>
      <x:c r="Q690" s="12" t="str"/>
      <x:c r="R690" s="12" t="str"/>
      <x:c r="S690" s="12" t="str"/>
      <x:c r="T690" s="12" t="str">
        <x:v>ABM</x:v>
      </x:c>
      <x:c r="U690" s="12" t="str"/>
      <x:c r="V690" s="12" t="str"/>
      <x:c r="W690" s="12" t="str"/>
      <x:c r="X690" s="12" t="str">
        <x:v>BDKM85</x:v>
      </x:c>
      <x:c r="Y690" s="12" t="str">
        <x:v>BADRI &amp; KAMRAN</x:v>
      </x:c>
      <x:c r="Z690" s="12" t="str"/>
      <x:c r="AA690" s="32" t="n">
        <x:f>IFERROR(VLOOKUP(G690,Master_Unit!$A$2:$N$78,7,FALSE),"")</x:f>
        <x:v>30</x:v>
      </x:c>
      <x:c r="AB690" s="32" t="n">
        <x:f>IF(OR(N690="",AA690=""),"",N690-AA690)</x:f>
        <x:v>-13.793103448275524</x:v>
      </x:c>
      <x:c r="AC690" s="20" t="n">
        <x:f>IF(OR(N690="",AA690="",AA690=0),"",AB690/AA690)</x:f>
        <x:v>-0.45977011494251746</x:v>
      </x:c>
      <x:c r="AD690" t="str">
        <x:f>IF(AA690="","NO STANDARD",IF(AC690&lt;=Config_Status!$B$2,"EFFICIENT",IF(AC690&lt;=Config_Status!$B$3,"NORMAL",IF(AC690&lt;=Config_Status!$B$4,"WARNING","OVER CONSUMPTION"))))</x:f>
        <x:v>EFFICIENT</x:v>
      </x:c>
      <x:c r="AE690" t="str">
        <x:f>IFERROR(VLOOKUP(G690,Master_Unit!$A$2:$N$78,13,FALSE),"UNIT NOT FOUND")</x:f>
        <x:v>Matched</x:v>
      </x:c>
    </x:row>
    <x:row r="691">
      <x:c r="A691" s="12" t="str">
        <x:v>FU-20260609-00690</x:v>
      </x:c>
      <x:c r="B691" s="12" t="n">
        <x:v>820</x:v>
      </x:c>
      <x:c r="C691" s="14" t="n">
        <x:v>46182</x:v>
      </x:c>
      <x:c r="D691" s="12" t="str">
        <x:v>Selasa</x:v>
      </x:c>
      <x:c r="E691" s="12" t="str">
        <x:v>19:22:00</x:v>
      </x:c>
      <x:c r="F691" s="12" t="str">
        <x:v>All Shift Night</x:v>
      </x:c>
      <x:c r="G691" s="12" t="str">
        <x:v>STRL44G141</x:v>
      </x:c>
      <x:c r="H691" s="12" t="str">
        <x:v>Dump Truck</x:v>
      </x:c>
      <x:c r="I691" s="12" t="str">
        <x:v>DUMP TRUCK RENAULT KRANGE440-P6X4 A/T</x:v>
      </x:c>
      <x:c r="J691" s="16" t="n">
        <x:v>136</x:v>
      </x:c>
      <x:c r="K691" s="16" t="n">
        <x:v>3171</x:v>
      </x:c>
      <x:c r="L691" s="16" t="n">
        <x:v>3188</x:v>
      </x:c>
      <x:c r="M691" s="16" t="n">
        <x:v>17</x:v>
      </x:c>
      <x:c r="N691" s="16" t="n">
        <x:v>8</x:v>
      </x:c>
      <x:c r="O691" s="12" t="str">
        <x:v>FTRL44G005</x:v>
      </x:c>
      <x:c r="P691" s="12" t="str">
        <x:v>STRL44G141</x:v>
      </x:c>
      <x:c r="Q691" s="12" t="str"/>
      <x:c r="R691" s="12" t="str"/>
      <x:c r="S691" s="12" t="str"/>
      <x:c r="T691" s="12" t="str">
        <x:v>ABM</x:v>
      </x:c>
      <x:c r="U691" s="12" t="str"/>
      <x:c r="V691" s="12" t="str"/>
      <x:c r="W691" s="12" t="str"/>
      <x:c r="X691" s="12" t="str">
        <x:v>STRL44</x:v>
      </x:c>
      <x:c r="Y691" s="12" t="str">
        <x:v>BADRI &amp; KAMRAN</x:v>
      </x:c>
      <x:c r="Z691" s="12" t="str"/>
      <x:c r="AA691" s="32" t="n">
        <x:f>IFERROR(VLOOKUP(G691,Master_Unit!$A$2:$N$78,7,FALSE),"")</x:f>
        <x:v>20</x:v>
      </x:c>
      <x:c r="AB691" s="32" t="n">
        <x:f>IF(OR(N691="",AA691=""),"",N691-AA691)</x:f>
        <x:v>-12</x:v>
      </x:c>
      <x:c r="AC691" s="20" t="n">
        <x:f>IF(OR(N691="",AA691="",AA691=0),"",AB691/AA691)</x:f>
        <x:v>-0.6</x:v>
      </x:c>
      <x:c r="AD691" t="str">
        <x:f>IF(AA691="","NO STANDARD",IF(AC691&lt;=Config_Status!$B$2,"EFFICIENT",IF(AC691&lt;=Config_Status!$B$3,"NORMAL",IF(AC691&lt;=Config_Status!$B$4,"WARNING","OVER CONSUMPTION"))))</x:f>
        <x:v>EFFICIENT</x:v>
      </x:c>
      <x:c r="AE691" t="str">
        <x:f>IFERROR(VLOOKUP(G691,Master_Unit!$A$2:$N$78,13,FALSE),"UNIT NOT FOUND")</x:f>
        <x:v>Matched</x:v>
      </x:c>
    </x:row>
    <x:row r="692">
      <x:c r="A692" s="12" t="str">
        <x:v>FU-20260610-00691</x:v>
      </x:c>
      <x:c r="B692" s="12" t="n">
        <x:v>821</x:v>
      </x:c>
      <x:c r="C692" s="14" t="n">
        <x:v>46183</x:v>
      </x:c>
      <x:c r="D692" s="12" t="str">
        <x:v>Rabu</x:v>
      </x:c>
      <x:c r="E692" s="12" t="str">
        <x:v>06:21:00</x:v>
      </x:c>
      <x:c r="F692" s="12" t="str">
        <x:v>All Shift Day</x:v>
      </x:c>
      <x:c r="G692" s="12" t="str">
        <x:v>STRL44G154</x:v>
      </x:c>
      <x:c r="H692" s="12" t="str">
        <x:v>Dump Truck</x:v>
      </x:c>
      <x:c r="I692" s="12" t="str">
        <x:v>DUMP TRUCK RENAULT KRANGE440-P6X4 A/T</x:v>
      </x:c>
      <x:c r="J692" s="16" t="n">
        <x:v>213</x:v>
      </x:c>
      <x:c r="K692" s="16" t="n">
        <x:v>4105</x:v>
      </x:c>
      <x:c r="L692" s="16" t="n">
        <x:v>4116</x:v>
      </x:c>
      <x:c r="M692" s="16" t="n">
        <x:v>11</x:v>
      </x:c>
      <x:c r="N692" s="16" t="n">
        <x:v>19.363636363636363</x:v>
      </x:c>
      <x:c r="O692" s="12" t="str">
        <x:v>FTRL44G004</x:v>
      </x:c>
      <x:c r="P692" s="12" t="str">
        <x:v>STRL44G154</x:v>
      </x:c>
      <x:c r="Q692" s="12" t="str"/>
      <x:c r="R692" s="12" t="str"/>
      <x:c r="S692" s="12" t="str"/>
      <x:c r="T692" s="12" t="str">
        <x:v>ABM</x:v>
      </x:c>
      <x:c r="U692" s="12" t="str"/>
      <x:c r="V692" s="12" t="str"/>
      <x:c r="W692" s="12" t="str"/>
      <x:c r="X692" s="12" t="str">
        <x:v>STRL44</x:v>
      </x:c>
      <x:c r="Y692" s="12" t="str">
        <x:v>FANGKI &amp; ACUNG</x:v>
      </x:c>
      <x:c r="Z692" s="12" t="str"/>
      <x:c r="AA692" s="32" t="n">
        <x:f>IFERROR(VLOOKUP(G692,Master_Unit!$A$2:$N$78,7,FALSE),"")</x:f>
        <x:v>20</x:v>
      </x:c>
      <x:c r="AB692" s="32" t="n">
        <x:f>IF(OR(N692="",AA692=""),"",N692-AA692)</x:f>
        <x:v>-0.6363636363636367</x:v>
      </x:c>
      <x:c r="AC692" s="20" t="n">
        <x:f>IF(OR(N692="",AA692="",AA692=0),"",AB692/AA692)</x:f>
        <x:v>-0.031818181818181836</x:v>
      </x:c>
      <x:c r="AD692" t="str">
        <x:f>IF(AA692="","NO STANDARD",IF(AC692&lt;=Config_Status!$B$2,"EFFICIENT",IF(AC692&lt;=Config_Status!$B$3,"NORMAL",IF(AC692&lt;=Config_Status!$B$4,"WARNING","OVER CONSUMPTION"))))</x:f>
        <x:v>NORMAL</x:v>
      </x:c>
      <x:c r="AE692" t="str">
        <x:f>IFERROR(VLOOKUP(G692,Master_Unit!$A$2:$N$78,13,FALSE),"UNIT NOT FOUND")</x:f>
        <x:v>Matched</x:v>
      </x:c>
    </x:row>
    <x:row r="693">
      <x:c r="A693" s="12" t="str">
        <x:v>FU-20260610-00692</x:v>
      </x:c>
      <x:c r="B693" s="12" t="n">
        <x:v>822</x:v>
      </x:c>
      <x:c r="C693" s="14" t="n">
        <x:v>46183</x:v>
      </x:c>
      <x:c r="D693" s="12" t="str">
        <x:v>Rabu</x:v>
      </x:c>
      <x:c r="E693" s="12" t="str">
        <x:v>06:25:00</x:v>
      </x:c>
      <x:c r="F693" s="12" t="str">
        <x:v>All Shift Day</x:v>
      </x:c>
      <x:c r="G693" s="12" t="str">
        <x:v>WTRL44G006</x:v>
      </x:c>
      <x:c r="H693" s="12" t="str">
        <x:v>Water Truck</x:v>
      </x:c>
      <x:c r="I693" s="12" t="str">
        <x:v>WATER TRUCK RENAULT KRANGE440-P6X4 A/T</x:v>
      </x:c>
      <x:c r="J693" s="16" t="n">
        <x:v>80</x:v>
      </x:c>
      <x:c r="K693" s="16" t="n">
        <x:v>2037</x:v>
      </x:c>
      <x:c r="L693" s="16" t="n">
        <x:v>2040</x:v>
      </x:c>
      <x:c r="M693" s="16" t="n">
        <x:v>3</x:v>
      </x:c>
      <x:c r="N693" s="16" t="n">
        <x:v>26.666666666666668</x:v>
      </x:c>
      <x:c r="O693" s="12" t="str">
        <x:v>FTRL44G004</x:v>
      </x:c>
      <x:c r="P693" s="12" t="str">
        <x:v>WTRL44G006</x:v>
      </x:c>
      <x:c r="Q693" s="12" t="str"/>
      <x:c r="R693" s="12" t="str"/>
      <x:c r="S693" s="12" t="str"/>
      <x:c r="T693" s="12" t="str">
        <x:v>ABM</x:v>
      </x:c>
      <x:c r="U693" s="12" t="str"/>
      <x:c r="V693" s="12" t="str"/>
      <x:c r="W693" s="12" t="str"/>
      <x:c r="X693" s="12" t="str">
        <x:v>WTRL44</x:v>
      </x:c>
      <x:c r="Y693" s="12" t="str">
        <x:v>FANGKI &amp; ACUNG</x:v>
      </x:c>
      <x:c r="Z693" s="12" t="str"/>
      <x:c r="AA693" s="32" t="n">
        <x:f>IFERROR(VLOOKUP(G693,Master_Unit!$A$2:$N$78,7,FALSE),"")</x:f>
        <x:v>20</x:v>
      </x:c>
      <x:c r="AB693" s="32" t="n">
        <x:f>IF(OR(N693="",AA693=""),"",N693-AA693)</x:f>
        <x:v>6.666666666666668</x:v>
      </x:c>
      <x:c r="AC693" s="20" t="n">
        <x:f>IF(OR(N693="",AA693="",AA693=0),"",AB693/AA693)</x:f>
        <x:v>0.33333333333333337</x:v>
      </x:c>
      <x:c r="AD693" t="str">
        <x:f>IF(AA693="","NO STANDARD",IF(AC693&lt;=Config_Status!$B$2,"EFFICIENT",IF(AC693&lt;=Config_Status!$B$3,"NORMAL",IF(AC693&lt;=Config_Status!$B$4,"WARNING","OVER CONSUMPTION"))))</x:f>
        <x:v>OVER CONSUMPTION</x:v>
      </x:c>
      <x:c r="AE693" t="str">
        <x:f>IFERROR(VLOOKUP(G693,Master_Unit!$A$2:$N$78,13,FALSE),"UNIT NOT FOUND")</x:f>
        <x:v>Matched</x:v>
      </x:c>
    </x:row>
    <x:row r="694">
      <x:c r="A694" s="12" t="str">
        <x:v>FU-20260610-00693</x:v>
      </x:c>
      <x:c r="B694" s="12" t="n">
        <x:v>823</x:v>
      </x:c>
      <x:c r="C694" s="14" t="n">
        <x:v>46183</x:v>
      </x:c>
      <x:c r="D694" s="12" t="str">
        <x:v>Rabu</x:v>
      </x:c>
      <x:c r="E694" s="12" t="str">
        <x:v>07:38:00</x:v>
      </x:c>
      <x:c r="F694" s="12" t="str">
        <x:v>All Shift Day</x:v>
      </x:c>
      <x:c r="G694" s="12" t="str">
        <x:v>EXVV21G041</x:v>
      </x:c>
      <x:c r="H694" s="12" t="str">
        <x:v>Excavator</x:v>
      </x:c>
      <x:c r="I694" s="12" t="str">
        <x:v>EXCAVATOR VOLVO EC210D</x:v>
      </x:c>
      <x:c r="J694" s="16" t="n">
        <x:v>213</x:v>
      </x:c>
      <x:c r="K694" s="16" t="n">
        <x:v>4536.4</x:v>
      </x:c>
      <x:c r="L694" s="16" t="n">
        <x:v>4545.4</x:v>
      </x:c>
      <x:c r="M694" s="16" t="n">
        <x:v>9</x:v>
      </x:c>
      <x:c r="N694" s="16" t="n">
        <x:v>23.666666666666668</x:v>
      </x:c>
      <x:c r="O694" s="12" t="str">
        <x:v>FTRL44G004</x:v>
      </x:c>
      <x:c r="P694" s="12" t="str">
        <x:v>EXVV21G041</x:v>
      </x:c>
      <x:c r="Q694" s="12" t="str"/>
      <x:c r="R694" s="12" t="str"/>
      <x:c r="S694" s="12" t="str"/>
      <x:c r="T694" s="12" t="str">
        <x:v>ABM</x:v>
      </x:c>
      <x:c r="U694" s="12" t="str"/>
      <x:c r="V694" s="12" t="str"/>
      <x:c r="W694" s="12" t="str"/>
      <x:c r="X694" s="12" t="str">
        <x:v>EXVV21</x:v>
      </x:c>
      <x:c r="Y694" s="12" t="str">
        <x:v>FANGKI &amp; ACUNG</x:v>
      </x:c>
      <x:c r="Z694" s="12" t="str"/>
      <x:c r="AA694" s="32" t="n">
        <x:f>IFERROR(VLOOKUP(G694,Master_Unit!$A$2:$N$78,7,FALSE),"")</x:f>
        <x:v>20</x:v>
      </x:c>
      <x:c r="AB694" s="32" t="n">
        <x:f>IF(OR(N694="",AA694=""),"",N694-AA694)</x:f>
        <x:v>3.666666666666668</x:v>
      </x:c>
      <x:c r="AC694" s="20" t="n">
        <x:f>IF(OR(N694="",AA694="",AA694=0),"",AB694/AA694)</x:f>
        <x:v>0.1833333333333334</x:v>
      </x:c>
      <x:c r="AD694" t="str">
        <x:f>IF(AA694="","NO STANDARD",IF(AC694&lt;=Config_Status!$B$2,"EFFICIENT",IF(AC694&lt;=Config_Status!$B$3,"NORMAL",IF(AC694&lt;=Config_Status!$B$4,"WARNING","OVER CONSUMPTION"))))</x:f>
        <x:v>WARNING</x:v>
      </x:c>
      <x:c r="AE694" t="str">
        <x:f>IFERROR(VLOOKUP(G694,Master_Unit!$A$2:$N$78,13,FALSE),"UNIT NOT FOUND")</x:f>
        <x:v>Matched</x:v>
      </x:c>
    </x:row>
    <x:row r="695">
      <x:c r="A695" s="12" t="str">
        <x:v>FU-20260610-00694</x:v>
      </x:c>
      <x:c r="B695" s="12" t="n">
        <x:v>824</x:v>
      </x:c>
      <x:c r="C695" s="14" t="n">
        <x:v>46183</x:v>
      </x:c>
      <x:c r="D695" s="12" t="str">
        <x:v>Rabu</x:v>
      </x:c>
      <x:c r="E695" s="12" t="str">
        <x:v>07:51:00</x:v>
      </x:c>
      <x:c r="F695" s="12" t="str">
        <x:v>All Shift Day</x:v>
      </x:c>
      <x:c r="G695" s="12" t="str">
        <x:v>EXVV21G038</x:v>
      </x:c>
      <x:c r="H695" s="12" t="str">
        <x:v>Excavator</x:v>
      </x:c>
      <x:c r="I695" s="12" t="str">
        <x:v>EXCAVATOR VOLVO EC210D</x:v>
      </x:c>
      <x:c r="J695" s="16" t="n">
        <x:v>213</x:v>
      </x:c>
      <x:c r="K695" s="16" t="n">
        <x:v>4224</x:v>
      </x:c>
      <x:c r="L695" s="16" t="n">
        <x:v>4233.9</x:v>
      </x:c>
      <x:c r="M695" s="16" t="n">
        <x:v>9.899999999999636</x:v>
      </x:c>
      <x:c r="N695" s="16" t="n">
        <x:v>21.515151515152304</x:v>
      </x:c>
      <x:c r="O695" s="12" t="str">
        <x:v>FTRL44G004</x:v>
      </x:c>
      <x:c r="P695" s="12" t="str">
        <x:v>EXVV21G038</x:v>
      </x:c>
      <x:c r="Q695" s="12" t="str"/>
      <x:c r="R695" s="12" t="str"/>
      <x:c r="S695" s="12" t="str"/>
      <x:c r="T695" s="12" t="str">
        <x:v>ABM</x:v>
      </x:c>
      <x:c r="U695" s="12" t="str"/>
      <x:c r="V695" s="12" t="str"/>
      <x:c r="W695" s="12" t="str"/>
      <x:c r="X695" s="12" t="str">
        <x:v>EXVV21</x:v>
      </x:c>
      <x:c r="Y695" s="12" t="str">
        <x:v>FANGKI &amp; ACUNG</x:v>
      </x:c>
      <x:c r="Z695" s="12" t="str"/>
      <x:c r="AA695" s="32" t="n">
        <x:f>IFERROR(VLOOKUP(G695,Master_Unit!$A$2:$N$78,7,FALSE),"")</x:f>
        <x:v>20</x:v>
      </x:c>
      <x:c r="AB695" s="32" t="n">
        <x:f>IF(OR(N695="",AA695=""),"",N695-AA695)</x:f>
        <x:v>1.5151515151523043</x:v>
      </x:c>
      <x:c r="AC695" s="20" t="n">
        <x:f>IF(OR(N695="",AA695="",AA695=0),"",AB695/AA695)</x:f>
        <x:v>0.07575757575761521</x:v>
      </x:c>
      <x:c r="AD695" t="str">
        <x:f>IF(AA695="","NO STANDARD",IF(AC695&lt;=Config_Status!$B$2,"EFFICIENT",IF(AC695&lt;=Config_Status!$B$3,"NORMAL",IF(AC695&lt;=Config_Status!$B$4,"WARNING","OVER CONSUMPTION"))))</x:f>
        <x:v>NORMAL</x:v>
      </x:c>
      <x:c r="AE695" t="str">
        <x:f>IFERROR(VLOOKUP(G695,Master_Unit!$A$2:$N$78,13,FALSE),"UNIT NOT FOUND")</x:f>
        <x:v>Matched</x:v>
      </x:c>
    </x:row>
    <x:row r="696">
      <x:c r="A696" s="12" t="str">
        <x:v>FU-20260610-00695</x:v>
      </x:c>
      <x:c r="B696" s="12" t="n">
        <x:v>825</x:v>
      </x:c>
      <x:c r="C696" s="14" t="n">
        <x:v>46183</x:v>
      </x:c>
      <x:c r="D696" s="12" t="str">
        <x:v>Rabu</x:v>
      </x:c>
      <x:c r="E696" s="12" t="str">
        <x:v>08:14:00</x:v>
      </x:c>
      <x:c r="F696" s="12" t="str">
        <x:v>All Shift Day</x:v>
      </x:c>
      <x:c r="G696" s="12" t="str">
        <x:v>CTRL44G004</x:v>
      </x:c>
      <x:c r="H696" s="12" t="str">
        <x:v>Crane Truck</x:v>
      </x:c>
      <x:c r="I696" s="12" t="str">
        <x:v>CRANE TRUCK RENAULT KRANGE440-P6X4 A/T</x:v>
      </x:c>
      <x:c r="J696" s="16" t="n">
        <x:v>81</x:v>
      </x:c>
      <x:c r="K696" s="16" t="n">
        <x:v>996</x:v>
      </x:c>
      <x:c r="L696" s="16" t="n">
        <x:v>999</x:v>
      </x:c>
      <x:c r="M696" s="16" t="n">
        <x:v>3</x:v>
      </x:c>
      <x:c r="N696" s="16" t="n">
        <x:v>27</x:v>
      </x:c>
      <x:c r="O696" s="12" t="str">
        <x:v>FTRL44G004</x:v>
      </x:c>
      <x:c r="P696" s="12" t="str">
        <x:v>CTRL44G004</x:v>
      </x:c>
      <x:c r="Q696" s="12" t="str"/>
      <x:c r="R696" s="12" t="str"/>
      <x:c r="S696" s="12" t="str"/>
      <x:c r="T696" s="12" t="str">
        <x:v>ABM</x:v>
      </x:c>
      <x:c r="U696" s="12" t="str"/>
      <x:c r="V696" s="12" t="str"/>
      <x:c r="W696" s="12" t="str"/>
      <x:c r="X696" s="12" t="str">
        <x:v>CTRL44</x:v>
      </x:c>
      <x:c r="Y696" s="12" t="str">
        <x:v>FANGKI &amp; ACUNG</x:v>
      </x:c>
      <x:c r="Z696" s="12" t="str"/>
      <x:c r="AA696" s="32" t="n">
        <x:f>IFERROR(VLOOKUP(G696,Master_Unit!$A$2:$N$78,7,FALSE),"")</x:f>
        <x:v>20</x:v>
      </x:c>
      <x:c r="AB696" s="32" t="n">
        <x:f>IF(OR(N696="",AA696=""),"",N696-AA696)</x:f>
        <x:v>7</x:v>
      </x:c>
      <x:c r="AC696" s="20" t="n">
        <x:f>IF(OR(N696="",AA696="",AA696=0),"",AB696/AA696)</x:f>
        <x:v>0.35</x:v>
      </x:c>
      <x:c r="AD696" t="str">
        <x:f>IF(AA696="","NO STANDARD",IF(AC696&lt;=Config_Status!$B$2,"EFFICIENT",IF(AC696&lt;=Config_Status!$B$3,"NORMAL",IF(AC696&lt;=Config_Status!$B$4,"WARNING","OVER CONSUMPTION"))))</x:f>
        <x:v>OVER CONSUMPTION</x:v>
      </x:c>
      <x:c r="AE696" t="str">
        <x:f>IFERROR(VLOOKUP(G696,Master_Unit!$A$2:$N$78,13,FALSE),"UNIT NOT FOUND")</x:f>
        <x:v>Matched</x:v>
      </x:c>
    </x:row>
    <x:row r="697">
      <x:c r="A697" s="12" t="str">
        <x:v>FU-20260610-00696</x:v>
      </x:c>
      <x:c r="B697" s="12" t="n">
        <x:v>826</x:v>
      </x:c>
      <x:c r="C697" s="14" t="n">
        <x:v>46183</x:v>
      </x:c>
      <x:c r="D697" s="12" t="str">
        <x:v>Rabu</x:v>
      </x:c>
      <x:c r="E697" s="12" t="str">
        <x:v>08:17:00</x:v>
      </x:c>
      <x:c r="F697" s="12" t="str">
        <x:v>All Shift Day</x:v>
      </x:c>
      <x:c r="G697" s="12" t="str">
        <x:v>LVTH24R034</x:v>
      </x:c>
      <x:c r="H697" s="12" t="str">
        <x:v>Light Vehicle</x:v>
      </x:c>
      <x:c r="I697" s="12" t="str">
        <x:v>LIGHT VEHICLE TOYOTA HILUX</x:v>
      </x:c>
      <x:c r="J697" s="16" t="n">
        <x:v>22</x:v>
      </x:c>
      <x:c r="K697" s="16" t="n">
        <x:v>48425</x:v>
      </x:c>
      <x:c r="L697" s="16" t="n">
        <x:v>48598</x:v>
      </x:c>
      <x:c r="M697" s="16" t="n">
        <x:v>173</x:v>
      </x:c>
      <x:c r="N697" s="16" t="n">
        <x:v>0.12716763005780346</x:v>
      </x:c>
      <x:c r="O697" s="12" t="str">
        <x:v>FTRL44G004</x:v>
      </x:c>
      <x:c r="P697" s="12" t="str">
        <x:v>LVTH24R034</x:v>
      </x:c>
      <x:c r="Q697" s="12" t="str"/>
      <x:c r="R697" s="12" t="str"/>
      <x:c r="S697" s="12" t="str"/>
      <x:c r="T697" s="12" t="str">
        <x:v>ABM</x:v>
      </x:c>
      <x:c r="U697" s="12" t="str"/>
      <x:c r="V697" s="12" t="str"/>
      <x:c r="W697" s="12" t="str"/>
      <x:c r="X697" s="12" t="str">
        <x:v>LVTH24</x:v>
      </x:c>
      <x:c r="Y697" s="12" t="str">
        <x:v>FANGKI &amp; ACUNG</x:v>
      </x:c>
      <x:c r="Z697" s="12" t="str"/>
      <x:c r="AA697" s="32" t="n">
        <x:f>IFERROR(VLOOKUP(G697,Master_Unit!$A$2:$N$78,7,FALSE),"")</x:f>
        <x:v>0.2</x:v>
      </x:c>
      <x:c r="AB697" s="32" t="n">
        <x:f>IF(OR(N697="",AA697=""),"",N697-AA697)</x:f>
        <x:v>-0.07283236994219655</x:v>
      </x:c>
      <x:c r="AC697" s="20" t="n">
        <x:f>IF(OR(N697="",AA697="",AA697=0),"",AB697/AA697)</x:f>
        <x:v>-0.36416184971098275</x:v>
      </x:c>
      <x:c r="AD697" t="str">
        <x:f>IF(AA697="","NO STANDARD",IF(AC697&lt;=Config_Status!$B$2,"EFFICIENT",IF(AC697&lt;=Config_Status!$B$3,"NORMAL",IF(AC697&lt;=Config_Status!$B$4,"WARNING","OVER CONSUMPTION"))))</x:f>
        <x:v>EFFICIENT</x:v>
      </x:c>
      <x:c r="AE697" t="str">
        <x:f>IFERROR(VLOOKUP(G697,Master_Unit!$A$2:$N$78,13,FALSE),"UNIT NOT FOUND")</x:f>
        <x:v>Matched</x:v>
      </x:c>
    </x:row>
    <x:row r="698">
      <x:c r="A698" s="12" t="str">
        <x:v>FU-20260610-00697</x:v>
      </x:c>
      <x:c r="B698" s="12" t="n">
        <x:v>827</x:v>
      </x:c>
      <x:c r="C698" s="14" t="n">
        <x:v>46183</x:v>
      </x:c>
      <x:c r="D698" s="12" t="str">
        <x:v>Rabu</x:v>
      </x:c>
      <x:c r="E698" s="12" t="str">
        <x:v>08:21:00</x:v>
      </x:c>
      <x:c r="F698" s="12" t="str">
        <x:v>All Shift Day</x:v>
      </x:c>
      <x:c r="G698" s="12" t="str">
        <x:v>STRL44G149</x:v>
      </x:c>
      <x:c r="H698" s="12" t="str">
        <x:v>Dump Truck</x:v>
      </x:c>
      <x:c r="I698" s="12" t="str">
        <x:v>DUMP TRUCK RENAULT KRANGE440-P6X4 A/T</x:v>
      </x:c>
      <x:c r="J698" s="16" t="n">
        <x:v>140</x:v>
      </x:c>
      <x:c r="K698" s="16" t="n">
        <x:v>4316</x:v>
      </x:c>
      <x:c r="L698" s="16" t="n">
        <x:v>4322</x:v>
      </x:c>
      <x:c r="M698" s="16" t="n">
        <x:v>6</x:v>
      </x:c>
      <x:c r="N698" s="16" t="n">
        <x:v>23.333333333333332</x:v>
      </x:c>
      <x:c r="O698" s="12" t="str">
        <x:v>FTRL44G004</x:v>
      </x:c>
      <x:c r="P698" s="12" t="str">
        <x:v>STRL44G149</x:v>
      </x:c>
      <x:c r="Q698" s="12" t="str"/>
      <x:c r="R698" s="12" t="str"/>
      <x:c r="S698" s="12" t="str"/>
      <x:c r="T698" s="12" t="str">
        <x:v>ABM</x:v>
      </x:c>
      <x:c r="U698" s="12" t="str"/>
      <x:c r="V698" s="12" t="str"/>
      <x:c r="W698" s="12" t="str"/>
      <x:c r="X698" s="12" t="str">
        <x:v>STRL44</x:v>
      </x:c>
      <x:c r="Y698" s="12" t="str">
        <x:v>FANGKI &amp; ACUNG</x:v>
      </x:c>
      <x:c r="Z698" s="12" t="str"/>
      <x:c r="AA698" s="32" t="n">
        <x:f>IFERROR(VLOOKUP(G698,Master_Unit!$A$2:$N$78,7,FALSE),"")</x:f>
        <x:v>20</x:v>
      </x:c>
      <x:c r="AB698" s="32" t="n">
        <x:f>IF(OR(N698="",AA698=""),"",N698-AA698)</x:f>
        <x:v>3.333333333333332</x:v>
      </x:c>
      <x:c r="AC698" s="20" t="n">
        <x:f>IF(OR(N698="",AA698="",AA698=0),"",AB698/AA698)</x:f>
        <x:v>0.1666666666666666</x:v>
      </x:c>
      <x:c r="AD698" t="str">
        <x:f>IF(AA698="","NO STANDARD",IF(AC698&lt;=Config_Status!$B$2,"EFFICIENT",IF(AC698&lt;=Config_Status!$B$3,"NORMAL",IF(AC698&lt;=Config_Status!$B$4,"WARNING","OVER CONSUMPTION"))))</x:f>
        <x:v>WARNING</x:v>
      </x:c>
      <x:c r="AE698" t="str">
        <x:f>IFERROR(VLOOKUP(G698,Master_Unit!$A$2:$N$78,13,FALSE),"UNIT NOT FOUND")</x:f>
        <x:v>Matched</x:v>
      </x:c>
    </x:row>
    <x:row r="699">
      <x:c r="A699" s="12" t="str">
        <x:v>FU-20260610-00698</x:v>
      </x:c>
      <x:c r="B699" s="12" t="n">
        <x:v>828</x:v>
      </x:c>
      <x:c r="C699" s="14" t="n">
        <x:v>46183</x:v>
      </x:c>
      <x:c r="D699" s="12" t="str">
        <x:v>Rabu</x:v>
      </x:c>
      <x:c r="E699" s="12" t="str">
        <x:v>08:23:00</x:v>
      </x:c>
      <x:c r="F699" s="12" t="str">
        <x:v>All Shift Day</x:v>
      </x:c>
      <x:c r="G699" s="12" t="str">
        <x:v>STRL44G145</x:v>
      </x:c>
      <x:c r="H699" s="12" t="str">
        <x:v>Dump Truck</x:v>
      </x:c>
      <x:c r="I699" s="12" t="str">
        <x:v>DUMP TRUCK RENAULT KRANGE440-P6X4 A/T</x:v>
      </x:c>
      <x:c r="J699" s="16" t="n">
        <x:v>177</x:v>
      </x:c>
      <x:c r="K699" s="16" t="n">
        <x:v>4964</x:v>
      </x:c>
      <x:c r="L699" s="16" t="n">
        <x:v>4970</x:v>
      </x:c>
      <x:c r="M699" s="16" t="n">
        <x:v>6</x:v>
      </x:c>
      <x:c r="N699" s="16" t="n">
        <x:v>29.5</x:v>
      </x:c>
      <x:c r="O699" s="12" t="str">
        <x:v>FTRL44G004</x:v>
      </x:c>
      <x:c r="P699" s="12" t="str">
        <x:v>STRL44G145</x:v>
      </x:c>
      <x:c r="Q699" s="12" t="str"/>
      <x:c r="R699" s="12" t="str"/>
      <x:c r="S699" s="12" t="str"/>
      <x:c r="T699" s="12" t="str">
        <x:v>ABM</x:v>
      </x:c>
      <x:c r="U699" s="12" t="str"/>
      <x:c r="V699" s="12" t="str"/>
      <x:c r="W699" s="12" t="str"/>
      <x:c r="X699" s="12" t="str">
        <x:v>STRL44</x:v>
      </x:c>
      <x:c r="Y699" s="12" t="str">
        <x:v>FANGKI &amp; ACUNG</x:v>
      </x:c>
      <x:c r="Z699" s="12" t="str"/>
      <x:c r="AA699" s="32" t="n">
        <x:f>IFERROR(VLOOKUP(G699,Master_Unit!$A$2:$N$78,7,FALSE),"")</x:f>
        <x:v>20</x:v>
      </x:c>
      <x:c r="AB699" s="32" t="n">
        <x:f>IF(OR(N699="",AA699=""),"",N699-AA699)</x:f>
        <x:v>9.5</x:v>
      </x:c>
      <x:c r="AC699" s="20" t="n">
        <x:f>IF(OR(N699="",AA699="",AA699=0),"",AB699/AA699)</x:f>
        <x:v>0.475</x:v>
      </x:c>
      <x:c r="AD699" t="str">
        <x:f>IF(AA699="","NO STANDARD",IF(AC699&lt;=Config_Status!$B$2,"EFFICIENT",IF(AC699&lt;=Config_Status!$B$3,"NORMAL",IF(AC699&lt;=Config_Status!$B$4,"WARNING","OVER CONSUMPTION"))))</x:f>
        <x:v>OVER CONSUMPTION</x:v>
      </x:c>
      <x:c r="AE699" t="str">
        <x:f>IFERROR(VLOOKUP(G699,Master_Unit!$A$2:$N$78,13,FALSE),"UNIT NOT FOUND")</x:f>
        <x:v>Matched</x:v>
      </x:c>
    </x:row>
    <x:row r="700">
      <x:c r="A700" s="12" t="str">
        <x:v>FU-20260610-00699</x:v>
      </x:c>
      <x:c r="B700" s="12" t="n">
        <x:v>829</x:v>
      </x:c>
      <x:c r="C700" s="14" t="n">
        <x:v>46183</x:v>
      </x:c>
      <x:c r="D700" s="12" t="str">
        <x:v>Rabu</x:v>
      </x:c>
      <x:c r="E700" s="12" t="str">
        <x:v>08:28:00</x:v>
      </x:c>
      <x:c r="F700" s="12" t="str">
        <x:v>All Shift Day</x:v>
      </x:c>
      <x:c r="G700" s="12" t="str">
        <x:v>STRL44G157</x:v>
      </x:c>
      <x:c r="H700" s="12" t="str">
        <x:v>Dump Truck</x:v>
      </x:c>
      <x:c r="I700" s="12" t="str">
        <x:v>DUMP TRUCK RENAULT KRANGE440-P6X4 A/T</x:v>
      </x:c>
      <x:c r="J700" s="16" t="n">
        <x:v>185</x:v>
      </x:c>
      <x:c r="K700" s="16" t="n">
        <x:v>4083</x:v>
      </x:c>
      <x:c r="L700" s="16" t="n">
        <x:v>4090</x:v>
      </x:c>
      <x:c r="M700" s="16" t="n">
        <x:v>7</x:v>
      </x:c>
      <x:c r="N700" s="16" t="n">
        <x:v>26.428571428571427</x:v>
      </x:c>
      <x:c r="O700" s="12" t="str">
        <x:v>FTRL44G004</x:v>
      </x:c>
      <x:c r="P700" s="12" t="str">
        <x:v>STRL44G157</x:v>
      </x:c>
      <x:c r="Q700" s="12" t="str"/>
      <x:c r="R700" s="12" t="str"/>
      <x:c r="S700" s="12" t="str"/>
      <x:c r="T700" s="12" t="str">
        <x:v>ABM</x:v>
      </x:c>
      <x:c r="U700" s="12" t="str"/>
      <x:c r="V700" s="12" t="str"/>
      <x:c r="W700" s="12" t="str"/>
      <x:c r="X700" s="12" t="str">
        <x:v>STRL44</x:v>
      </x:c>
      <x:c r="Y700" s="12" t="str">
        <x:v>FANGKI &amp; ACUNG</x:v>
      </x:c>
      <x:c r="Z700" s="12" t="str"/>
      <x:c r="AA700" s="32" t="n">
        <x:f>IFERROR(VLOOKUP(G700,Master_Unit!$A$2:$N$78,7,FALSE),"")</x:f>
        <x:v>20</x:v>
      </x:c>
      <x:c r="AB700" s="32" t="n">
        <x:f>IF(OR(N700="",AA700=""),"",N700-AA700)</x:f>
        <x:v>6.428571428571427</x:v>
      </x:c>
      <x:c r="AC700" s="20" t="n">
        <x:f>IF(OR(N700="",AA700="",AA700=0),"",AB700/AA700)</x:f>
        <x:v>0.32142857142857134</x:v>
      </x:c>
      <x:c r="AD700" t="str">
        <x:f>IF(AA700="","NO STANDARD",IF(AC700&lt;=Config_Status!$B$2,"EFFICIENT",IF(AC700&lt;=Config_Status!$B$3,"NORMAL",IF(AC700&lt;=Config_Status!$B$4,"WARNING","OVER CONSUMPTION"))))</x:f>
        <x:v>OVER CONSUMPTION</x:v>
      </x:c>
      <x:c r="AE700" t="str">
        <x:f>IFERROR(VLOOKUP(G700,Master_Unit!$A$2:$N$78,13,FALSE),"UNIT NOT FOUND")</x:f>
        <x:v>Matched</x:v>
      </x:c>
    </x:row>
    <x:row r="701">
      <x:c r="A701" s="12" t="str">
        <x:v>FU-20260610-00700</x:v>
      </x:c>
      <x:c r="B701" s="12" t="n">
        <x:v>830</x:v>
      </x:c>
      <x:c r="C701" s="14" t="n">
        <x:v>46183</x:v>
      </x:c>
      <x:c r="D701" s="12" t="str">
        <x:v>Rabu</x:v>
      </x:c>
      <x:c r="E701" s="12" t="str">
        <x:v>08:31:00</x:v>
      </x:c>
      <x:c r="F701" s="12" t="str">
        <x:v>All Shift Day</x:v>
      </x:c>
      <x:c r="G701" s="12" t="str">
        <x:v>STRL44G138</x:v>
      </x:c>
      <x:c r="H701" s="12" t="str">
        <x:v>Dump Truck</x:v>
      </x:c>
      <x:c r="I701" s="12" t="str">
        <x:v>DUMP TRUCK RENAULT KRANGE440-P6X4 A/T</x:v>
      </x:c>
      <x:c r="J701" s="16" t="n">
        <x:v>102</x:v>
      </x:c>
      <x:c r="K701" s="16" t="n">
        <x:v>5324</x:v>
      </x:c>
      <x:c r="L701" s="16" t="n">
        <x:v>5332</x:v>
      </x:c>
      <x:c r="M701" s="16" t="n">
        <x:v>8</x:v>
      </x:c>
      <x:c r="N701" s="16" t="n">
        <x:v>12.75</x:v>
      </x:c>
      <x:c r="O701" s="12" t="str">
        <x:v>FTRL44G004</x:v>
      </x:c>
      <x:c r="P701" s="12" t="str">
        <x:v>STRL44G138</x:v>
      </x:c>
      <x:c r="Q701" s="12" t="str"/>
      <x:c r="R701" s="12" t="str"/>
      <x:c r="S701" s="12" t="str"/>
      <x:c r="T701" s="12" t="str">
        <x:v>ABM</x:v>
      </x:c>
      <x:c r="U701" s="12" t="str"/>
      <x:c r="V701" s="12" t="str"/>
      <x:c r="W701" s="12" t="str"/>
      <x:c r="X701" s="12" t="str">
        <x:v>STRL44</x:v>
      </x:c>
      <x:c r="Y701" s="12" t="str">
        <x:v>FANGKI &amp; ACUNG</x:v>
      </x:c>
      <x:c r="Z701" s="12" t="str"/>
      <x:c r="AA701" s="32" t="n">
        <x:f>IFERROR(VLOOKUP(G701,Master_Unit!$A$2:$N$78,7,FALSE),"")</x:f>
        <x:v>20</x:v>
      </x:c>
      <x:c r="AB701" s="32" t="n">
        <x:f>IF(OR(N701="",AA701=""),"",N701-AA701)</x:f>
        <x:v>-7.25</x:v>
      </x:c>
      <x:c r="AC701" s="20" t="n">
        <x:f>IF(OR(N701="",AA701="",AA701=0),"",AB701/AA701)</x:f>
        <x:v>-0.3625</x:v>
      </x:c>
      <x:c r="AD701" t="str">
        <x:f>IF(AA701="","NO STANDARD",IF(AC701&lt;=Config_Status!$B$2,"EFFICIENT",IF(AC701&lt;=Config_Status!$B$3,"NORMAL",IF(AC701&lt;=Config_Status!$B$4,"WARNING","OVER CONSUMPTION"))))</x:f>
        <x:v>EFFICIENT</x:v>
      </x:c>
      <x:c r="AE701" t="str">
        <x:f>IFERROR(VLOOKUP(G701,Master_Unit!$A$2:$N$78,13,FALSE),"UNIT NOT FOUND")</x:f>
        <x:v>Matched</x:v>
      </x:c>
    </x:row>
    <x:row r="702">
      <x:c r="A702" s="12" t="str">
        <x:v>FU-20260610-00701</x:v>
      </x:c>
      <x:c r="B702" s="12" t="n">
        <x:v>831</x:v>
      </x:c>
      <x:c r="C702" s="14" t="n">
        <x:v>46183</x:v>
      </x:c>
      <x:c r="D702" s="12" t="str">
        <x:v>Rabu</x:v>
      </x:c>
      <x:c r="E702" s="12" t="str">
        <x:v>08:33:00</x:v>
      </x:c>
      <x:c r="F702" s="12" t="str">
        <x:v>All Shift Day</x:v>
      </x:c>
      <x:c r="G702" s="12" t="str">
        <x:v>STRL44G153</x:v>
      </x:c>
      <x:c r="H702" s="12" t="str">
        <x:v>Dump Truck</x:v>
      </x:c>
      <x:c r="I702" s="12" t="str">
        <x:v>DUMP TRUCK RENAULT KRANGE440-P6X4 A/T</x:v>
      </x:c>
      <x:c r="J702" s="16" t="n">
        <x:v>172</x:v>
      </x:c>
      <x:c r="K702" s="16" t="n">
        <x:v>4013</x:v>
      </x:c>
      <x:c r="L702" s="16" t="n">
        <x:v>4018</x:v>
      </x:c>
      <x:c r="M702" s="16" t="n">
        <x:v>5</x:v>
      </x:c>
      <x:c r="N702" s="16" t="n">
        <x:v>34.4</x:v>
      </x:c>
      <x:c r="O702" s="12" t="str">
        <x:v>FTRL44G004</x:v>
      </x:c>
      <x:c r="P702" s="12" t="str">
        <x:v>STRL44G153</x:v>
      </x:c>
      <x:c r="Q702" s="12" t="str"/>
      <x:c r="R702" s="12" t="str"/>
      <x:c r="S702" s="12" t="str"/>
      <x:c r="T702" s="12" t="str">
        <x:v>ABM</x:v>
      </x:c>
      <x:c r="U702" s="12" t="str"/>
      <x:c r="V702" s="12" t="str"/>
      <x:c r="W702" s="12" t="str"/>
      <x:c r="X702" s="12" t="str">
        <x:v>STRL44</x:v>
      </x:c>
      <x:c r="Y702" s="12" t="str">
        <x:v>FANGKI &amp; ACUNG</x:v>
      </x:c>
      <x:c r="Z702" s="12" t="str"/>
      <x:c r="AA702" s="32" t="n">
        <x:f>IFERROR(VLOOKUP(G702,Master_Unit!$A$2:$N$78,7,FALSE),"")</x:f>
        <x:v>20</x:v>
      </x:c>
      <x:c r="AB702" s="32" t="n">
        <x:f>IF(OR(N702="",AA702=""),"",N702-AA702)</x:f>
        <x:v>14.399999999999999</x:v>
      </x:c>
      <x:c r="AC702" s="20" t="n">
        <x:f>IF(OR(N702="",AA702="",AA702=0),"",AB702/AA702)</x:f>
        <x:v>0.72</x:v>
      </x:c>
      <x:c r="AD702" t="str">
        <x:f>IF(AA702="","NO STANDARD",IF(AC702&lt;=Config_Status!$B$2,"EFFICIENT",IF(AC702&lt;=Config_Status!$B$3,"NORMAL",IF(AC702&lt;=Config_Status!$B$4,"WARNING","OVER CONSUMPTION"))))</x:f>
        <x:v>OVER CONSUMPTION</x:v>
      </x:c>
      <x:c r="AE702" t="str">
        <x:f>IFERROR(VLOOKUP(G702,Master_Unit!$A$2:$N$78,13,FALSE),"UNIT NOT FOUND")</x:f>
        <x:v>Matched</x:v>
      </x:c>
    </x:row>
    <x:row r="703">
      <x:c r="A703" s="12" t="str">
        <x:v>FU-20260610-00702</x:v>
      </x:c>
      <x:c r="B703" s="12" t="n">
        <x:v>832</x:v>
      </x:c>
      <x:c r="C703" s="14" t="n">
        <x:v>46183</x:v>
      </x:c>
      <x:c r="D703" s="12" t="str">
        <x:v>Rabu</x:v>
      </x:c>
      <x:c r="E703" s="12" t="str">
        <x:v>08:36:00</x:v>
      </x:c>
      <x:c r="F703" s="12" t="str">
        <x:v>All Shift Day</x:v>
      </x:c>
      <x:c r="G703" s="12" t="str">
        <x:v>STRL44G142</x:v>
      </x:c>
      <x:c r="H703" s="12" t="str">
        <x:v>Dump Truck</x:v>
      </x:c>
      <x:c r="I703" s="12" t="str">
        <x:v>DUMP TRUCK RENAULT KRANGE440-P6X4 A/T</x:v>
      </x:c>
      <x:c r="J703" s="16" t="n">
        <x:v>153</x:v>
      </x:c>
      <x:c r="K703" s="16" t="n">
        <x:v>3365</x:v>
      </x:c>
      <x:c r="L703" s="16" t="n">
        <x:v>3372</x:v>
      </x:c>
      <x:c r="M703" s="16" t="n">
        <x:v>7</x:v>
      </x:c>
      <x:c r="N703" s="16" t="n">
        <x:v>21.857142857142858</x:v>
      </x:c>
      <x:c r="O703" s="12" t="str">
        <x:v>FTRL44G004</x:v>
      </x:c>
      <x:c r="P703" s="12" t="str">
        <x:v>STRL44G142</x:v>
      </x:c>
      <x:c r="Q703" s="12" t="str"/>
      <x:c r="R703" s="12" t="str"/>
      <x:c r="S703" s="12" t="str"/>
      <x:c r="T703" s="12" t="str">
        <x:v>ABM</x:v>
      </x:c>
      <x:c r="U703" s="12" t="str"/>
      <x:c r="V703" s="12" t="str"/>
      <x:c r="W703" s="12" t="str"/>
      <x:c r="X703" s="12" t="str">
        <x:v>STRL44</x:v>
      </x:c>
      <x:c r="Y703" s="12" t="str">
        <x:v>FANGKI &amp; ACUNG</x:v>
      </x:c>
      <x:c r="Z703" s="12" t="str"/>
      <x:c r="AA703" s="32" t="n">
        <x:f>IFERROR(VLOOKUP(G703,Master_Unit!$A$2:$N$78,7,FALSE),"")</x:f>
        <x:v>20</x:v>
      </x:c>
      <x:c r="AB703" s="32" t="n">
        <x:f>IF(OR(N703="",AA703=""),"",N703-AA703)</x:f>
        <x:v>1.8571428571428577</x:v>
      </x:c>
      <x:c r="AC703" s="20" t="n">
        <x:f>IF(OR(N703="",AA703="",AA703=0),"",AB703/AA703)</x:f>
        <x:v>0.09285714285714289</x:v>
      </x:c>
      <x:c r="AD703" t="str">
        <x:f>IF(AA703="","NO STANDARD",IF(AC703&lt;=Config_Status!$B$2,"EFFICIENT",IF(AC703&lt;=Config_Status!$B$3,"NORMAL",IF(AC703&lt;=Config_Status!$B$4,"WARNING","OVER CONSUMPTION"))))</x:f>
        <x:v>NORMAL</x:v>
      </x:c>
      <x:c r="AE703" t="str">
        <x:f>IFERROR(VLOOKUP(G703,Master_Unit!$A$2:$N$78,13,FALSE),"UNIT NOT FOUND")</x:f>
        <x:v>Matched</x:v>
      </x:c>
    </x:row>
    <x:row r="704">
      <x:c r="A704" s="12" t="str">
        <x:v>FU-20260610-00703</x:v>
      </x:c>
      <x:c r="B704" s="12" t="n">
        <x:v>833</x:v>
      </x:c>
      <x:c r="C704" s="14" t="n">
        <x:v>46183</x:v>
      </x:c>
      <x:c r="D704" s="12" t="str">
        <x:v>Rabu</x:v>
      </x:c>
      <x:c r="E704" s="12" t="str">
        <x:v>08:40:00</x:v>
      </x:c>
      <x:c r="F704" s="12" t="str">
        <x:v>All Shift Day</x:v>
      </x:c>
      <x:c r="G704" s="12" t="str">
        <x:v>STRL44G151</x:v>
      </x:c>
      <x:c r="H704" s="12" t="str">
        <x:v>Dump Truck</x:v>
      </x:c>
      <x:c r="I704" s="12" t="str">
        <x:v>DUMP TRUCK RENAULT KRANGE440-P6X4 A/T</x:v>
      </x:c>
      <x:c r="J704" s="16" t="n">
        <x:v>203</x:v>
      </x:c>
      <x:c r="K704" s="16" t="n">
        <x:v>4415</x:v>
      </x:c>
      <x:c r="L704" s="16" t="n">
        <x:v>4421</x:v>
      </x:c>
      <x:c r="M704" s="16" t="n">
        <x:v>6</x:v>
      </x:c>
      <x:c r="N704" s="16" t="n">
        <x:v>33.833333333333336</x:v>
      </x:c>
      <x:c r="O704" s="12" t="str">
        <x:v>FTRL44G004</x:v>
      </x:c>
      <x:c r="P704" s="12" t="str">
        <x:v>STRL44G151</x:v>
      </x:c>
      <x:c r="Q704" s="12" t="str"/>
      <x:c r="R704" s="12" t="str"/>
      <x:c r="S704" s="12" t="str"/>
      <x:c r="T704" s="12" t="str">
        <x:v>ABM</x:v>
      </x:c>
      <x:c r="U704" s="12" t="str"/>
      <x:c r="V704" s="12" t="str"/>
      <x:c r="W704" s="12" t="str"/>
      <x:c r="X704" s="12" t="str">
        <x:v>STRL44</x:v>
      </x:c>
      <x:c r="Y704" s="12" t="str">
        <x:v>FANGKI &amp; ACUNG</x:v>
      </x:c>
      <x:c r="Z704" s="12" t="str"/>
      <x:c r="AA704" s="32" t="n">
        <x:f>IFERROR(VLOOKUP(G704,Master_Unit!$A$2:$N$78,7,FALSE),"")</x:f>
        <x:v>20</x:v>
      </x:c>
      <x:c r="AB704" s="32" t="n">
        <x:f>IF(OR(N704="",AA704=""),"",N704-AA704)</x:f>
        <x:v>13.833333333333336</x:v>
      </x:c>
      <x:c r="AC704" s="20" t="n">
        <x:f>IF(OR(N704="",AA704="",AA704=0),"",AB704/AA704)</x:f>
        <x:v>0.6916666666666668</x:v>
      </x:c>
      <x:c r="AD704" t="str">
        <x:f>IF(AA704="","NO STANDARD",IF(AC704&lt;=Config_Status!$B$2,"EFFICIENT",IF(AC704&lt;=Config_Status!$B$3,"NORMAL",IF(AC704&lt;=Config_Status!$B$4,"WARNING","OVER CONSUMPTION"))))</x:f>
        <x:v>OVER CONSUMPTION</x:v>
      </x:c>
      <x:c r="AE704" t="str">
        <x:f>IFERROR(VLOOKUP(G704,Master_Unit!$A$2:$N$78,13,FALSE),"UNIT NOT FOUND")</x:f>
        <x:v>Matched</x:v>
      </x:c>
    </x:row>
    <x:row r="705">
      <x:c r="A705" s="12" t="str">
        <x:v>FU-20260610-00704</x:v>
      </x:c>
      <x:c r="B705" s="12" t="n">
        <x:v>834</x:v>
      </x:c>
      <x:c r="C705" s="14" t="n">
        <x:v>46183</x:v>
      </x:c>
      <x:c r="D705" s="12" t="str">
        <x:v>Rabu</x:v>
      </x:c>
      <x:c r="E705" s="12" t="str">
        <x:v>08:43:00</x:v>
      </x:c>
      <x:c r="F705" s="12" t="str">
        <x:v>All Shift Day</x:v>
      </x:c>
      <x:c r="G705" s="12" t="str">
        <x:v>STRL44G140</x:v>
      </x:c>
      <x:c r="H705" s="12" t="str">
        <x:v>Dump Truck</x:v>
      </x:c>
      <x:c r="I705" s="12" t="str">
        <x:v>DUMP TRUCK RENAULT KRANGE440-P6X4 A/T</x:v>
      </x:c>
      <x:c r="J705" s="16" t="n">
        <x:v>213</x:v>
      </x:c>
      <x:c r="K705" s="16" t="n">
        <x:v>5124</x:v>
      </x:c>
      <x:c r="L705" s="16" t="n">
        <x:v>5136</x:v>
      </x:c>
      <x:c r="M705" s="16" t="n">
        <x:v>12</x:v>
      </x:c>
      <x:c r="N705" s="16" t="n">
        <x:v>17.75</x:v>
      </x:c>
      <x:c r="O705" s="12" t="str">
        <x:v>FTRL44G004</x:v>
      </x:c>
      <x:c r="P705" s="12" t="str">
        <x:v>STRL44G140</x:v>
      </x:c>
      <x:c r="Q705" s="12" t="str"/>
      <x:c r="R705" s="12" t="str"/>
      <x:c r="S705" s="12" t="str"/>
      <x:c r="T705" s="12" t="str">
        <x:v>ABM</x:v>
      </x:c>
      <x:c r="U705" s="12" t="str"/>
      <x:c r="V705" s="12" t="str"/>
      <x:c r="W705" s="12" t="str"/>
      <x:c r="X705" s="12" t="str">
        <x:v>STRL44</x:v>
      </x:c>
      <x:c r="Y705" s="12" t="str">
        <x:v>FANGKI &amp; ACUNG</x:v>
      </x:c>
      <x:c r="Z705" s="12" t="str"/>
      <x:c r="AA705" s="32" t="n">
        <x:f>IFERROR(VLOOKUP(G705,Master_Unit!$A$2:$N$78,7,FALSE),"")</x:f>
        <x:v>20</x:v>
      </x:c>
      <x:c r="AB705" s="32" t="n">
        <x:f>IF(OR(N705="",AA705=""),"",N705-AA705)</x:f>
        <x:v>-2.25</x:v>
      </x:c>
      <x:c r="AC705" s="20" t="n">
        <x:f>IF(OR(N705="",AA705="",AA705=0),"",AB705/AA705)</x:f>
        <x:v>-0.1125</x:v>
      </x:c>
      <x:c r="AD705" t="str">
        <x:f>IF(AA705="","NO STANDARD",IF(AC705&lt;=Config_Status!$B$2,"EFFICIENT",IF(AC705&lt;=Config_Status!$B$3,"NORMAL",IF(AC705&lt;=Config_Status!$B$4,"WARNING","OVER CONSUMPTION"))))</x:f>
        <x:v>EFFICIENT</x:v>
      </x:c>
      <x:c r="AE705" t="str">
        <x:f>IFERROR(VLOOKUP(G705,Master_Unit!$A$2:$N$78,13,FALSE),"UNIT NOT FOUND")</x:f>
        <x:v>Matched</x:v>
      </x:c>
    </x:row>
    <x:row r="706">
      <x:c r="A706" s="12" t="str">
        <x:v>FU-20260610-00705</x:v>
      </x:c>
      <x:c r="B706" s="12" t="n">
        <x:v>835</x:v>
      </x:c>
      <x:c r="C706" s="14" t="n">
        <x:v>46183</x:v>
      </x:c>
      <x:c r="D706" s="12" t="str">
        <x:v>Rabu</x:v>
      </x:c>
      <x:c r="E706" s="12" t="str">
        <x:v>08:55:00</x:v>
      </x:c>
      <x:c r="F706" s="12" t="str">
        <x:v>All Shift Day</x:v>
      </x:c>
      <x:c r="G706" s="12" t="str">
        <x:v>STRL44G147</x:v>
      </x:c>
      <x:c r="H706" s="12" t="str">
        <x:v>Dump Truck</x:v>
      </x:c>
      <x:c r="I706" s="12" t="str">
        <x:v>DUMP TRUCK RENAULT KRANGE440-P6X4 A/T</x:v>
      </x:c>
      <x:c r="J706" s="16" t="n">
        <x:v>165</x:v>
      </x:c>
      <x:c r="K706" s="16" t="n">
        <x:v>5024</x:v>
      </x:c>
      <x:c r="L706" s="16" t="n">
        <x:v>5040</x:v>
      </x:c>
      <x:c r="M706" s="16" t="n">
        <x:v>16</x:v>
      </x:c>
      <x:c r="N706" s="16" t="n">
        <x:v>10.3125</x:v>
      </x:c>
      <x:c r="O706" s="12" t="str">
        <x:v>FTRL44G004</x:v>
      </x:c>
      <x:c r="P706" s="12" t="str">
        <x:v>STRL44G147</x:v>
      </x:c>
      <x:c r="Q706" s="12" t="str"/>
      <x:c r="R706" s="12" t="str"/>
      <x:c r="S706" s="12" t="str"/>
      <x:c r="T706" s="12" t="str">
        <x:v>ABM</x:v>
      </x:c>
      <x:c r="U706" s="12" t="str"/>
      <x:c r="V706" s="12" t="str"/>
      <x:c r="W706" s="12" t="str"/>
      <x:c r="X706" s="12" t="str">
        <x:v>STRL44</x:v>
      </x:c>
      <x:c r="Y706" s="12" t="str">
        <x:v>FANGKI &amp; ACUNG</x:v>
      </x:c>
      <x:c r="Z706" s="12" t="str"/>
      <x:c r="AA706" s="32" t="n">
        <x:f>IFERROR(VLOOKUP(G706,Master_Unit!$A$2:$N$78,7,FALSE),"")</x:f>
        <x:v>20</x:v>
      </x:c>
      <x:c r="AB706" s="32" t="n">
        <x:f>IF(OR(N706="",AA706=""),"",N706-AA706)</x:f>
        <x:v>-9.6875</x:v>
      </x:c>
      <x:c r="AC706" s="20" t="n">
        <x:f>IF(OR(N706="",AA706="",AA706=0),"",AB706/AA706)</x:f>
        <x:v>-0.484375</x:v>
      </x:c>
      <x:c r="AD706" t="str">
        <x:f>IF(AA706="","NO STANDARD",IF(AC706&lt;=Config_Status!$B$2,"EFFICIENT",IF(AC706&lt;=Config_Status!$B$3,"NORMAL",IF(AC706&lt;=Config_Status!$B$4,"WARNING","OVER CONSUMPTION"))))</x:f>
        <x:v>EFFICIENT</x:v>
      </x:c>
      <x:c r="AE706" t="str">
        <x:f>IFERROR(VLOOKUP(G706,Master_Unit!$A$2:$N$78,13,FALSE),"UNIT NOT FOUND")</x:f>
        <x:v>Matched</x:v>
      </x:c>
    </x:row>
    <x:row r="707">
      <x:c r="A707" s="12" t="str">
        <x:v>FU-20260610-00706</x:v>
      </x:c>
      <x:c r="B707" s="12" t="n">
        <x:v>836</x:v>
      </x:c>
      <x:c r="C707" s="14" t="n">
        <x:v>46183</x:v>
      </x:c>
      <x:c r="D707" s="12" t="str">
        <x:v>Rabu</x:v>
      </x:c>
      <x:c r="E707" s="12" t="str">
        <x:v>09:04:00</x:v>
      </x:c>
      <x:c r="F707" s="12" t="str">
        <x:v>All Shift Day</x:v>
      </x:c>
      <x:c r="G707" s="12" t="str">
        <x:v>STRL44G146</x:v>
      </x:c>
      <x:c r="H707" s="12" t="str">
        <x:v>Dump Truck</x:v>
      </x:c>
      <x:c r="I707" s="12" t="str">
        <x:v>DUMP TRUCK RENAULT KRANGE440-P6X4 A/T</x:v>
      </x:c>
      <x:c r="J707" s="16" t="n">
        <x:v>196</x:v>
      </x:c>
      <x:c r="K707" s="16" t="n">
        <x:v>4955</x:v>
      </x:c>
      <x:c r="L707" s="16" t="n">
        <x:v>4962</x:v>
      </x:c>
      <x:c r="M707" s="16" t="n">
        <x:v>7</x:v>
      </x:c>
      <x:c r="N707" s="16" t="n">
        <x:v>28</x:v>
      </x:c>
      <x:c r="O707" s="12" t="str">
        <x:v>FTRL44G004</x:v>
      </x:c>
      <x:c r="P707" s="12" t="str">
        <x:v>STRL44G146</x:v>
      </x:c>
      <x:c r="Q707" s="12" t="str"/>
      <x:c r="R707" s="12" t="str"/>
      <x:c r="S707" s="12" t="str"/>
      <x:c r="T707" s="12" t="str">
        <x:v>ABM</x:v>
      </x:c>
      <x:c r="U707" s="12" t="str"/>
      <x:c r="V707" s="12" t="str"/>
      <x:c r="W707" s="12" t="str"/>
      <x:c r="X707" s="12" t="str">
        <x:v>STRL44</x:v>
      </x:c>
      <x:c r="Y707" s="12" t="str">
        <x:v>FANGKI &amp; ACUNG</x:v>
      </x:c>
      <x:c r="Z707" s="12" t="str"/>
      <x:c r="AA707" s="32" t="n">
        <x:f>IFERROR(VLOOKUP(G707,Master_Unit!$A$2:$N$78,7,FALSE),"")</x:f>
        <x:v>20</x:v>
      </x:c>
      <x:c r="AB707" s="32" t="n">
        <x:f>IF(OR(N707="",AA707=""),"",N707-AA707)</x:f>
        <x:v>8</x:v>
      </x:c>
      <x:c r="AC707" s="20" t="n">
        <x:f>IF(OR(N707="",AA707="",AA707=0),"",AB707/AA707)</x:f>
        <x:v>0.4</x:v>
      </x:c>
      <x:c r="AD707" t="str">
        <x:f>IF(AA707="","NO STANDARD",IF(AC707&lt;=Config_Status!$B$2,"EFFICIENT",IF(AC707&lt;=Config_Status!$B$3,"NORMAL",IF(AC707&lt;=Config_Status!$B$4,"WARNING","OVER CONSUMPTION"))))</x:f>
        <x:v>OVER CONSUMPTION</x:v>
      </x:c>
      <x:c r="AE707" t="str">
        <x:f>IFERROR(VLOOKUP(G707,Master_Unit!$A$2:$N$78,13,FALSE),"UNIT NOT FOUND")</x:f>
        <x:v>Matched</x:v>
      </x:c>
    </x:row>
    <x:row r="708">
      <x:c r="A708" s="12" t="str">
        <x:v>FU-20260610-00707</x:v>
      </x:c>
      <x:c r="B708" s="12" t="n">
        <x:v>837</x:v>
      </x:c>
      <x:c r="C708" s="14" t="n">
        <x:v>46183</x:v>
      </x:c>
      <x:c r="D708" s="12" t="str">
        <x:v>Rabu</x:v>
      </x:c>
      <x:c r="E708" s="12" t="str">
        <x:v>15:33:00</x:v>
      </x:c>
      <x:c r="F708" s="12" t="str">
        <x:v>All Shift Day</x:v>
      </x:c>
      <x:c r="G708" s="12" t="str">
        <x:v>STRL44G152</x:v>
      </x:c>
      <x:c r="H708" s="12" t="str">
        <x:v>Dump Truck</x:v>
      </x:c>
      <x:c r="I708" s="12" t="str">
        <x:v>DUMP TRUCK RENAULT KRANGE440-P6X4 A/T</x:v>
      </x:c>
      <x:c r="J708" s="16" t="n">
        <x:v>213</x:v>
      </x:c>
      <x:c r="K708" s="16" t="n">
        <x:v>3720</x:v>
      </x:c>
      <x:c r="L708" s="16" t="n">
        <x:v>3730</x:v>
      </x:c>
      <x:c r="M708" s="16" t="n">
        <x:v>10</x:v>
      </x:c>
      <x:c r="N708" s="16" t="n">
        <x:v>21.3</x:v>
      </x:c>
      <x:c r="O708" s="12" t="str">
        <x:v>FTRL44G004</x:v>
      </x:c>
      <x:c r="P708" s="12" t="str">
        <x:v>STRL44G152</x:v>
      </x:c>
      <x:c r="Q708" s="12" t="str"/>
      <x:c r="R708" s="12" t="str"/>
      <x:c r="S708" s="12" t="str"/>
      <x:c r="T708" s="12" t="str">
        <x:v>ABM</x:v>
      </x:c>
      <x:c r="U708" s="12" t="str"/>
      <x:c r="V708" s="12" t="str"/>
      <x:c r="W708" s="12" t="str"/>
      <x:c r="X708" s="12" t="str">
        <x:v>STRL44</x:v>
      </x:c>
      <x:c r="Y708" s="12" t="str">
        <x:v>FANGKI &amp; ACUNG</x:v>
      </x:c>
      <x:c r="Z708" s="12" t="str"/>
      <x:c r="AA708" s="32" t="n">
        <x:f>IFERROR(VLOOKUP(G708,Master_Unit!$A$2:$N$78,7,FALSE),"")</x:f>
        <x:v>20</x:v>
      </x:c>
      <x:c r="AB708" s="32" t="n">
        <x:f>IF(OR(N708="",AA708=""),"",N708-AA708)</x:f>
        <x:v>1.3000000000000007</x:v>
      </x:c>
      <x:c r="AC708" s="20" t="n">
        <x:f>IF(OR(N708="",AA708="",AA708=0),"",AB708/AA708)</x:f>
        <x:v>0.06500000000000003</x:v>
      </x:c>
      <x:c r="AD708" t="str">
        <x:f>IF(AA708="","NO STANDARD",IF(AC708&lt;=Config_Status!$B$2,"EFFICIENT",IF(AC708&lt;=Config_Status!$B$3,"NORMAL",IF(AC708&lt;=Config_Status!$B$4,"WARNING","OVER CONSUMPTION"))))</x:f>
        <x:v>NORMAL</x:v>
      </x:c>
      <x:c r="AE708" t="str">
        <x:f>IFERROR(VLOOKUP(G708,Master_Unit!$A$2:$N$78,13,FALSE),"UNIT NOT FOUND")</x:f>
        <x:v>Matched</x:v>
      </x:c>
    </x:row>
    <x:row r="709">
      <x:c r="A709" s="12" t="str">
        <x:v>FU-20260610-00708</x:v>
      </x:c>
      <x:c r="B709" s="12" t="n">
        <x:v>838</x:v>
      </x:c>
      <x:c r="C709" s="14" t="n">
        <x:v>46183</x:v>
      </x:c>
      <x:c r="D709" s="12" t="str">
        <x:v>Rabu</x:v>
      </x:c>
      <x:c r="E709" s="12" t="str">
        <x:v>15:42:00</x:v>
      </x:c>
      <x:c r="F709" s="12" t="str">
        <x:v>All Shift Day</x:v>
      </x:c>
      <x:c r="G709" s="12" t="str">
        <x:v>STRL44G144</x:v>
      </x:c>
      <x:c r="H709" s="12" t="str">
        <x:v>Dump Truck</x:v>
      </x:c>
      <x:c r="I709" s="12" t="str">
        <x:v>DUMP TRUCK RENAULT KRANGE440-P6X4 A/T</x:v>
      </x:c>
      <x:c r="J709" s="16" t="n">
        <x:v>213</x:v>
      </x:c>
      <x:c r="K709" s="16" t="n">
        <x:v>1549</x:v>
      </x:c>
      <x:c r="L709" s="16" t="n">
        <x:v>1561</x:v>
      </x:c>
      <x:c r="M709" s="16" t="n">
        <x:v>12</x:v>
      </x:c>
      <x:c r="N709" s="16" t="n">
        <x:v>17.75</x:v>
      </x:c>
      <x:c r="O709" s="12" t="str">
        <x:v>FTRL44G004</x:v>
      </x:c>
      <x:c r="P709" s="12" t="str">
        <x:v>STRL44G144</x:v>
      </x:c>
      <x:c r="Q709" s="12" t="str"/>
      <x:c r="R709" s="12" t="str"/>
      <x:c r="S709" s="12" t="str"/>
      <x:c r="T709" s="12" t="str">
        <x:v>ABM</x:v>
      </x:c>
      <x:c r="U709" s="12" t="str"/>
      <x:c r="V709" s="12" t="str"/>
      <x:c r="W709" s="12" t="str"/>
      <x:c r="X709" s="12" t="str">
        <x:v>STRL44</x:v>
      </x:c>
      <x:c r="Y709" s="12" t="str">
        <x:v>FANGKI &amp; ACUNG</x:v>
      </x:c>
      <x:c r="Z709" s="12" t="str"/>
      <x:c r="AA709" s="32" t="n">
        <x:f>IFERROR(VLOOKUP(G709,Master_Unit!$A$2:$N$78,7,FALSE),"")</x:f>
        <x:v>20</x:v>
      </x:c>
      <x:c r="AB709" s="32" t="n">
        <x:f>IF(OR(N709="",AA709=""),"",N709-AA709)</x:f>
        <x:v>-2.25</x:v>
      </x:c>
      <x:c r="AC709" s="20" t="n">
        <x:f>IF(OR(N709="",AA709="",AA709=0),"",AB709/AA709)</x:f>
        <x:v>-0.1125</x:v>
      </x:c>
      <x:c r="AD709" t="str">
        <x:f>IF(AA709="","NO STANDARD",IF(AC709&lt;=Config_Status!$B$2,"EFFICIENT",IF(AC709&lt;=Config_Status!$B$3,"NORMAL",IF(AC709&lt;=Config_Status!$B$4,"WARNING","OVER CONSUMPTION"))))</x:f>
        <x:v>EFFICIENT</x:v>
      </x:c>
      <x:c r="AE709" t="str">
        <x:f>IFERROR(VLOOKUP(G709,Master_Unit!$A$2:$N$78,13,FALSE),"UNIT NOT FOUND")</x:f>
        <x:v>Matched</x:v>
      </x:c>
    </x:row>
    <x:row r="710">
      <x:c r="A710" s="12" t="str">
        <x:v>FU-20260610-00709</x:v>
      </x:c>
      <x:c r="B710" s="12" t="n">
        <x:v>839</x:v>
      </x:c>
      <x:c r="C710" s="14" t="n">
        <x:v>46183</x:v>
      </x:c>
      <x:c r="D710" s="12" t="str">
        <x:v>Rabu</x:v>
      </x:c>
      <x:c r="E710" s="12" t="str">
        <x:v>06:32:00</x:v>
      </x:c>
      <x:c r="F710" s="12" t="str">
        <x:v>All Shift Day</x:v>
      </x:c>
      <x:c r="G710" s="12" t="str">
        <x:v>EXVV21G035</x:v>
      </x:c>
      <x:c r="H710" s="12" t="str">
        <x:v>Excavator</x:v>
      </x:c>
      <x:c r="I710" s="12" t="str">
        <x:v>EXCAVATOR VOLVO EC210D</x:v>
      </x:c>
      <x:c r="J710" s="16" t="n">
        <x:v>75</x:v>
      </x:c>
      <x:c r="K710" s="16" t="n">
        <x:v>8397.6</x:v>
      </x:c>
      <x:c r="L710" s="16" t="n">
        <x:v>8406.5</x:v>
      </x:c>
      <x:c r="M710" s="16" t="n">
        <x:v>8.899999999999636</x:v>
      </x:c>
      <x:c r="N710" s="16" t="n">
        <x:v>8.426966292135177</x:v>
      </x:c>
      <x:c r="O710" s="12" t="str">
        <x:v>FTRL44G005</x:v>
      </x:c>
      <x:c r="P710" s="12" t="str">
        <x:v>EXVV21G035</x:v>
      </x:c>
      <x:c r="Q710" s="12" t="str"/>
      <x:c r="R710" s="12" t="str"/>
      <x:c r="S710" s="12" t="str"/>
      <x:c r="T710" s="12" t="str">
        <x:v>ABM</x:v>
      </x:c>
      <x:c r="U710" s="12" t="str"/>
      <x:c r="V710" s="12" t="str"/>
      <x:c r="W710" s="12" t="str"/>
      <x:c r="X710" s="12" t="str">
        <x:v>EXVV21</x:v>
      </x:c>
      <x:c r="Y710" s="12" t="str">
        <x:v>ANDI &amp; ANGGI</x:v>
      </x:c>
      <x:c r="Z710" s="12" t="str"/>
      <x:c r="AA710" s="32" t="n">
        <x:f>IFERROR(VLOOKUP(G710,Master_Unit!$A$2:$N$78,7,FALSE),"")</x:f>
        <x:v>20</x:v>
      </x:c>
      <x:c r="AB710" s="32" t="n">
        <x:f>IF(OR(N710="",AA710=""),"",N710-AA710)</x:f>
        <x:v>-11.573033707864823</x:v>
      </x:c>
      <x:c r="AC710" s="20" t="n">
        <x:f>IF(OR(N710="",AA710="",AA710=0),"",AB710/AA710)</x:f>
        <x:v>-0.5786516853932412</x:v>
      </x:c>
      <x:c r="AD710" t="str">
        <x:f>IF(AA710="","NO STANDARD",IF(AC710&lt;=Config_Status!$B$2,"EFFICIENT",IF(AC710&lt;=Config_Status!$B$3,"NORMAL",IF(AC710&lt;=Config_Status!$B$4,"WARNING","OVER CONSUMPTION"))))</x:f>
        <x:v>EFFICIENT</x:v>
      </x:c>
      <x:c r="AE710" t="str">
        <x:f>IFERROR(VLOOKUP(G710,Master_Unit!$A$2:$N$78,13,FALSE),"UNIT NOT FOUND")</x:f>
        <x:v>Matched</x:v>
      </x:c>
    </x:row>
    <x:row r="711">
      <x:c r="A711" s="12" t="str">
        <x:v>FU-20260610-00710</x:v>
      </x:c>
      <x:c r="B711" s="12" t="n">
        <x:v>840</x:v>
      </x:c>
      <x:c r="C711" s="14" t="n">
        <x:v>46183</x:v>
      </x:c>
      <x:c r="D711" s="12" t="str">
        <x:v>Rabu</x:v>
      </x:c>
      <x:c r="E711" s="12" t="str">
        <x:v>06:35:00</x:v>
      </x:c>
      <x:c r="F711" s="12" t="str">
        <x:v>All Shift Day</x:v>
      </x:c>
      <x:c r="G711" s="12" t="str">
        <x:v>GSHT40G002</x:v>
      </x:c>
      <x:c r="H711" s="12" t="str">
        <x:v>Genset</x:v>
      </x:c>
      <x:c r="I711" s="12" t="str">
        <x:v>GENSET HARTECH HT-400-V</x:v>
      </x:c>
      <x:c r="J711" s="16" t="n">
        <x:v>400</x:v>
      </x:c>
      <x:c r="K711" s="16" t="n">
        <x:v>14651.38</x:v>
      </x:c>
      <x:c r="L711" s="16" t="n">
        <x:v>14675.28</x:v>
      </x:c>
      <x:c r="M711" s="16" t="n">
        <x:v>23.900000000001455</x:v>
      </x:c>
      <x:c r="N711" s="16" t="n">
        <x:v>16.736401673639147</x:v>
      </x:c>
      <x:c r="O711" s="12" t="str">
        <x:v>FTRL44G005</x:v>
      </x:c>
      <x:c r="P711" s="12" t="str">
        <x:v>GSHT40G002</x:v>
      </x:c>
      <x:c r="Q711" s="12" t="str"/>
      <x:c r="R711" s="12" t="str"/>
      <x:c r="S711" s="12" t="str"/>
      <x:c r="T711" s="12" t="str">
        <x:v>ABM</x:v>
      </x:c>
      <x:c r="U711" s="12" t="str"/>
      <x:c r="V711" s="12" t="str"/>
      <x:c r="W711" s="12" t="str"/>
      <x:c r="X711" s="12" t="str">
        <x:v>GSHT40</x:v>
      </x:c>
      <x:c r="Y711" s="12" t="str">
        <x:v>ANDI &amp; ANGGI</x:v>
      </x:c>
      <x:c r="Z711" s="12" t="str"/>
      <x:c r="AA711" s="32" t="n">
        <x:f>IFERROR(VLOOKUP(G711,Master_Unit!$A$2:$N$78,7,FALSE),"")</x:f>
        <x:v>25</x:v>
      </x:c>
      <x:c r="AB711" s="32" t="n">
        <x:f>IF(OR(N711="",AA711=""),"",N711-AA711)</x:f>
        <x:v>-8.263598326360853</x:v>
      </x:c>
      <x:c r="AC711" s="20" t="n">
        <x:f>IF(OR(N711="",AA711="",AA711=0),"",AB711/AA711)</x:f>
        <x:v>-0.33054393305443414</x:v>
      </x:c>
      <x:c r="AD711" t="str">
        <x:f>IF(AA711="","NO STANDARD",IF(AC711&lt;=Config_Status!$B$2,"EFFICIENT",IF(AC711&lt;=Config_Status!$B$3,"NORMAL",IF(AC711&lt;=Config_Status!$B$4,"WARNING","OVER CONSUMPTION"))))</x:f>
        <x:v>EFFICIENT</x:v>
      </x:c>
      <x:c r="AE711" t="str">
        <x:f>IFERROR(VLOOKUP(G711,Master_Unit!$A$2:$N$78,13,FALSE),"UNIT NOT FOUND")</x:f>
        <x:v>Matched</x:v>
      </x:c>
    </x:row>
    <x:row r="712">
      <x:c r="A712" s="12" t="str">
        <x:v>FU-20260610-00711</x:v>
      </x:c>
      <x:c r="B712" s="12" t="n">
        <x:v>841</x:v>
      </x:c>
      <x:c r="C712" s="14" t="n">
        <x:v>46183</x:v>
      </x:c>
      <x:c r="D712" s="12" t="str">
        <x:v>Rabu</x:v>
      </x:c>
      <x:c r="E712" s="12" t="str">
        <x:v>06:38:00</x:v>
      </x:c>
      <x:c r="F712" s="12" t="str">
        <x:v>All Shift Day</x:v>
      </x:c>
      <x:c r="G712" s="12" t="str">
        <x:v>BDKM85G040</x:v>
      </x:c>
      <x:c r="H712" s="12" t="str">
        <x:v>Dozer</x:v>
      </x:c>
      <x:c r="I712" s="12" t="str">
        <x:v>BULDOZER KOMATSU D85ESS-2</x:v>
      </x:c>
      <x:c r="J712" s="16" t="n">
        <x:v>96</x:v>
      </x:c>
      <x:c r="K712" s="16" t="n">
        <x:v>6250.1</x:v>
      </x:c>
      <x:c r="L712" s="16" t="n">
        <x:v>6263.4</x:v>
      </x:c>
      <x:c r="M712" s="16" t="n">
        <x:v>13.299999999999272</x:v>
      </x:c>
      <x:c r="N712" s="16" t="n">
        <x:v>7.21804511278235</x:v>
      </x:c>
      <x:c r="O712" s="12" t="str">
        <x:v>FTRL44G005</x:v>
      </x:c>
      <x:c r="P712" s="12" t="str">
        <x:v>BDKM85G040</x:v>
      </x:c>
      <x:c r="Q712" s="12" t="str"/>
      <x:c r="R712" s="12" t="str"/>
      <x:c r="S712" s="12" t="str"/>
      <x:c r="T712" s="12" t="str">
        <x:v>ABM</x:v>
      </x:c>
      <x:c r="U712" s="12" t="str"/>
      <x:c r="V712" s="12" t="str"/>
      <x:c r="W712" s="12" t="str"/>
      <x:c r="X712" s="12" t="str">
        <x:v>BDKM85</x:v>
      </x:c>
      <x:c r="Y712" s="12" t="str">
        <x:v>ANDI &amp; ANGGI</x:v>
      </x:c>
      <x:c r="Z712" s="12" t="str"/>
      <x:c r="AA712" s="32" t="n">
        <x:f>IFERROR(VLOOKUP(G712,Master_Unit!$A$2:$N$78,7,FALSE),"")</x:f>
        <x:v>30</x:v>
      </x:c>
      <x:c r="AB712" s="32" t="n">
        <x:f>IF(OR(N712="",AA712=""),"",N712-AA712)</x:f>
        <x:v>-22.78195488721765</x:v>
      </x:c>
      <x:c r="AC712" s="20" t="n">
        <x:f>IF(OR(N712="",AA712="",AA712=0),"",AB712/AA712)</x:f>
        <x:v>-0.7593984962405884</x:v>
      </x:c>
      <x:c r="AD712" t="str">
        <x:f>IF(AA712="","NO STANDARD",IF(AC712&lt;=Config_Status!$B$2,"EFFICIENT",IF(AC712&lt;=Config_Status!$B$3,"NORMAL",IF(AC712&lt;=Config_Status!$B$4,"WARNING","OVER CONSUMPTION"))))</x:f>
        <x:v>EFFICIENT</x:v>
      </x:c>
      <x:c r="AE712" t="str">
        <x:f>IFERROR(VLOOKUP(G712,Master_Unit!$A$2:$N$78,13,FALSE),"UNIT NOT FOUND")</x:f>
        <x:v>Matched</x:v>
      </x:c>
    </x:row>
    <x:row r="713">
      <x:c r="A713" s="12" t="str">
        <x:v>FU-20260610-00712</x:v>
      </x:c>
      <x:c r="B713" s="12" t="n">
        <x:v>842</x:v>
      </x:c>
      <x:c r="C713" s="14" t="n">
        <x:v>46183</x:v>
      </x:c>
      <x:c r="D713" s="12" t="str">
        <x:v>Rabu</x:v>
      </x:c>
      <x:c r="E713" s="12" t="str">
        <x:v>06:41:00</x:v>
      </x:c>
      <x:c r="F713" s="12" t="str">
        <x:v>All Shift Day</x:v>
      </x:c>
      <x:c r="G713" s="12" t="str">
        <x:v>EXVV21G042</x:v>
      </x:c>
      <x:c r="H713" s="12" t="str">
        <x:v>Excavator</x:v>
      </x:c>
      <x:c r="I713" s="12" t="str">
        <x:v>EXCAVATOR VOLVO EC210D</x:v>
      </x:c>
      <x:c r="J713" s="16" t="n">
        <x:v>94</x:v>
      </x:c>
      <x:c r="K713" s="16" t="n">
        <x:v>7738.7</x:v>
      </x:c>
      <x:c r="L713" s="16" t="n">
        <x:v>7748.4</x:v>
      </x:c>
      <x:c r="M713" s="16" t="n">
        <x:v>9.699999999999818</x:v>
      </x:c>
      <x:c r="N713" s="16" t="n">
        <x:v>9.690721649484718</x:v>
      </x:c>
      <x:c r="O713" s="12" t="str">
        <x:v>FTRL44G005</x:v>
      </x:c>
      <x:c r="P713" s="12" t="str">
        <x:v>EXVV21G042</x:v>
      </x:c>
      <x:c r="Q713" s="12" t="str"/>
      <x:c r="R713" s="12" t="str"/>
      <x:c r="S713" s="12" t="str"/>
      <x:c r="T713" s="12" t="str">
        <x:v>ABM</x:v>
      </x:c>
      <x:c r="U713" s="12" t="str"/>
      <x:c r="V713" s="12" t="str"/>
      <x:c r="W713" s="12" t="str"/>
      <x:c r="X713" s="12" t="str">
        <x:v>EXVV21</x:v>
      </x:c>
      <x:c r="Y713" s="12" t="str">
        <x:v>ANDI &amp; ANGGI</x:v>
      </x:c>
      <x:c r="Z713" s="12" t="str"/>
      <x:c r="AA713" s="32" t="n">
        <x:f>IFERROR(VLOOKUP(G713,Master_Unit!$A$2:$N$78,7,FALSE),"")</x:f>
        <x:v>20</x:v>
      </x:c>
      <x:c r="AB713" s="32" t="n">
        <x:f>IF(OR(N713="",AA713=""),"",N713-AA713)</x:f>
        <x:v>-10.309278350515282</x:v>
      </x:c>
      <x:c r="AC713" s="20" t="n">
        <x:f>IF(OR(N713="",AA713="",AA713=0),"",AB713/AA713)</x:f>
        <x:v>-0.515463917525764</x:v>
      </x:c>
      <x:c r="AD713" t="str">
        <x:f>IF(AA713="","NO STANDARD",IF(AC713&lt;=Config_Status!$B$2,"EFFICIENT",IF(AC713&lt;=Config_Status!$B$3,"NORMAL",IF(AC713&lt;=Config_Status!$B$4,"WARNING","OVER CONSUMPTION"))))</x:f>
        <x:v>EFFICIENT</x:v>
      </x:c>
      <x:c r="AE713" t="str">
        <x:f>IFERROR(VLOOKUP(G713,Master_Unit!$A$2:$N$78,13,FALSE),"UNIT NOT FOUND")</x:f>
        <x:v>Matched</x:v>
      </x:c>
    </x:row>
    <x:row r="714">
      <x:c r="A714" s="12" t="str">
        <x:v>FU-20260610-00713</x:v>
      </x:c>
      <x:c r="B714" s="12" t="n">
        <x:v>843</x:v>
      </x:c>
      <x:c r="C714" s="14" t="n">
        <x:v>46183</x:v>
      </x:c>
      <x:c r="D714" s="12" t="str">
        <x:v>Rabu</x:v>
      </x:c>
      <x:c r="E714" s="12" t="str">
        <x:v>06:45:00</x:v>
      </x:c>
      <x:c r="F714" s="12" t="str">
        <x:v>All Shift Day</x:v>
      </x:c>
      <x:c r="G714" s="12" t="str">
        <x:v>EXVV35G005</x:v>
      </x:c>
      <x:c r="H714" s="12" t="str">
        <x:v>Excavator</x:v>
      </x:c>
      <x:c r="I714" s="12" t="str">
        <x:v>EXCAVATOR VOLVO EC350D</x:v>
      </x:c>
      <x:c r="J714" s="16" t="n">
        <x:v>143</x:v>
      </x:c>
      <x:c r="K714" s="16" t="n">
        <x:v>5198.8</x:v>
      </x:c>
      <x:c r="L714" s="16" t="n">
        <x:v>5202.4</x:v>
      </x:c>
      <x:c r="M714" s="16" t="n">
        <x:v>3.5999999999994543</x:v>
      </x:c>
      <x:c r="N714" s="16" t="n">
        <x:v>39.72222222222825</x:v>
      </x:c>
      <x:c r="O714" s="12" t="str">
        <x:v>FTRL44G005</x:v>
      </x:c>
      <x:c r="P714" s="12" t="str">
        <x:v>EXVV35G005</x:v>
      </x:c>
      <x:c r="Q714" s="12" t="str"/>
      <x:c r="R714" s="12" t="str"/>
      <x:c r="S714" s="12" t="str"/>
      <x:c r="T714" s="12" t="str">
        <x:v>ABM</x:v>
      </x:c>
      <x:c r="U714" s="12" t="str"/>
      <x:c r="V714" s="12" t="str"/>
      <x:c r="W714" s="12" t="str"/>
      <x:c r="X714" s="12" t="str">
        <x:v>EXVV35</x:v>
      </x:c>
      <x:c r="Y714" s="12" t="str">
        <x:v>ANDI &amp; ANGGI</x:v>
      </x:c>
      <x:c r="Z714" s="12" t="str"/>
      <x:c r="AA714" s="32" t="n">
        <x:f>IFERROR(VLOOKUP(G714,Master_Unit!$A$2:$N$78,7,FALSE),"")</x:f>
        <x:v>25</x:v>
      </x:c>
      <x:c r="AB714" s="32" t="n">
        <x:f>IF(OR(N714="",AA714=""),"",N714-AA714)</x:f>
        <x:v>14.722222222228247</x:v>
      </x:c>
      <x:c r="AC714" s="20" t="n">
        <x:f>IF(OR(N714="",AA714="",AA714=0),"",AB714/AA714)</x:f>
        <x:v>0.5888888888891298</x:v>
      </x:c>
      <x:c r="AD714" t="str">
        <x:f>IF(AA714="","NO STANDARD",IF(AC714&lt;=Config_Status!$B$2,"EFFICIENT",IF(AC714&lt;=Config_Status!$B$3,"NORMAL",IF(AC714&lt;=Config_Status!$B$4,"WARNING","OVER CONSUMPTION"))))</x:f>
        <x:v>OVER CONSUMPTION</x:v>
      </x:c>
      <x:c r="AE714" t="str">
        <x:f>IFERROR(VLOOKUP(G714,Master_Unit!$A$2:$N$78,13,FALSE),"UNIT NOT FOUND")</x:f>
        <x:v>Matched</x:v>
      </x:c>
    </x:row>
    <x:row r="715">
      <x:c r="A715" s="12" t="str">
        <x:v>FU-20260610-00714</x:v>
      </x:c>
      <x:c r="B715" s="12" t="n">
        <x:v>844</x:v>
      </x:c>
      <x:c r="C715" s="14" t="n">
        <x:v>46183</x:v>
      </x:c>
      <x:c r="D715" s="12" t="str">
        <x:v>Rabu</x:v>
      </x:c>
      <x:c r="E715" s="12" t="str">
        <x:v>06:49:00</x:v>
      </x:c>
      <x:c r="F715" s="12" t="str">
        <x:v>All Shift Day</x:v>
      </x:c>
      <x:c r="G715" s="12" t="str">
        <x:v>EXVV21G032</x:v>
      </x:c>
      <x:c r="H715" s="12" t="str">
        <x:v>Excavator</x:v>
      </x:c>
      <x:c r="I715" s="12" t="str">
        <x:v>EXCAVATOR VOLVO EC210D</x:v>
      </x:c>
      <x:c r="J715" s="16" t="n">
        <x:v>73</x:v>
      </x:c>
      <x:c r="K715" s="16" t="n">
        <x:v>7518.3</x:v>
      </x:c>
      <x:c r="L715" s="16" t="n">
        <x:v>7522.7</x:v>
      </x:c>
      <x:c r="M715" s="16" t="n">
        <x:v>4.399999999999636</x:v>
      </x:c>
      <x:c r="N715" s="16" t="n">
        <x:v>16.59090909091046</x:v>
      </x:c>
      <x:c r="O715" s="12" t="str">
        <x:v>FTRL44G005</x:v>
      </x:c>
      <x:c r="P715" s="12" t="str">
        <x:v>EXVV21G032</x:v>
      </x:c>
      <x:c r="Q715" s="12" t="str"/>
      <x:c r="R715" s="12" t="str"/>
      <x:c r="S715" s="12" t="str"/>
      <x:c r="T715" s="12" t="str">
        <x:v>ABM</x:v>
      </x:c>
      <x:c r="U715" s="12" t="str"/>
      <x:c r="V715" s="12" t="str"/>
      <x:c r="W715" s="12" t="str"/>
      <x:c r="X715" s="12" t="str">
        <x:v>EXVV21</x:v>
      </x:c>
      <x:c r="Y715" s="12" t="str">
        <x:v>ANDI &amp; ANGGI</x:v>
      </x:c>
      <x:c r="Z715" s="12" t="str"/>
      <x:c r="AA715" s="32" t="n">
        <x:f>IFERROR(VLOOKUP(G715,Master_Unit!$A$2:$N$78,7,FALSE),"")</x:f>
        <x:v>20</x:v>
      </x:c>
      <x:c r="AB715" s="32" t="n">
        <x:f>IF(OR(N715="",AA715=""),"",N715-AA715)</x:f>
        <x:v>-3.4090909090895387</x:v>
      </x:c>
      <x:c r="AC715" s="20" t="n">
        <x:f>IF(OR(N715="",AA715="",AA715=0),"",AB715/AA715)</x:f>
        <x:v>-0.17045454545447694</x:v>
      </x:c>
      <x:c r="AD715" t="str">
        <x:f>IF(AA715="","NO STANDARD",IF(AC715&lt;=Config_Status!$B$2,"EFFICIENT",IF(AC715&lt;=Config_Status!$B$3,"NORMAL",IF(AC715&lt;=Config_Status!$B$4,"WARNING","OVER CONSUMPTION"))))</x:f>
        <x:v>EFFICIENT</x:v>
      </x:c>
      <x:c r="AE715" t="str">
        <x:f>IFERROR(VLOOKUP(G715,Master_Unit!$A$2:$N$78,13,FALSE),"UNIT NOT FOUND")</x:f>
        <x:v>Matched</x:v>
      </x:c>
    </x:row>
    <x:row r="716">
      <x:c r="A716" s="12" t="str">
        <x:v>FU-20260610-00715</x:v>
      </x:c>
      <x:c r="B716" s="12" t="n">
        <x:v>845</x:v>
      </x:c>
      <x:c r="C716" s="14" t="n">
        <x:v>46183</x:v>
      </x:c>
      <x:c r="D716" s="12" t="str">
        <x:v>Rabu</x:v>
      </x:c>
      <x:c r="E716" s="12" t="str">
        <x:v>06:54:00</x:v>
      </x:c>
      <x:c r="F716" s="12" t="str">
        <x:v>All Shift Day</x:v>
      </x:c>
      <x:c r="G716" s="12" t="str">
        <x:v>GSHT10G001</x:v>
      </x:c>
      <x:c r="H716" s="12" t="str">
        <x:v>Genset</x:v>
      </x:c>
      <x:c r="I716" s="12" t="str">
        <x:v>GENSET HARTECH HT-10</x:v>
      </x:c>
      <x:c r="J716" s="16" t="n">
        <x:v>10</x:v>
      </x:c>
      <x:c r="K716" s="16" t="n">
        <x:v>5948.45</x:v>
      </x:c>
      <x:c r="L716" s="16" t="n">
        <x:v>5959.3</x:v>
      </x:c>
      <x:c r="M716" s="16" t="n">
        <x:v>10.850000000000364</x:v>
      </x:c>
      <x:c r="N716" s="16" t="n">
        <x:v>0.9216589861750843</x:v>
      </x:c>
      <x:c r="O716" s="12" t="str">
        <x:v>FTRL44G005</x:v>
      </x:c>
      <x:c r="P716" s="12" t="str">
        <x:v>GSHT10G001</x:v>
      </x:c>
      <x:c r="Q716" s="12" t="str"/>
      <x:c r="R716" s="12" t="str"/>
      <x:c r="S716" s="12" t="str"/>
      <x:c r="T716" s="12" t="str">
        <x:v>ABM</x:v>
      </x:c>
      <x:c r="U716" s="12" t="str"/>
      <x:c r="V716" s="12" t="str"/>
      <x:c r="W716" s="12" t="str"/>
      <x:c r="X716" s="12" t="str">
        <x:v>GSHT10</x:v>
      </x:c>
      <x:c r="Y716" s="12" t="str">
        <x:v>ANDI &amp; ANGGI</x:v>
      </x:c>
      <x:c r="Z716" s="12" t="str"/>
      <x:c r="AA716" s="32" t="n">
        <x:f>IFERROR(VLOOKUP(G716,Master_Unit!$A$2:$N$78,7,FALSE),"")</x:f>
        <x:v>3</x:v>
      </x:c>
      <x:c r="AB716" s="32" t="n">
        <x:f>IF(OR(N716="",AA716=""),"",N716-AA716)</x:f>
        <x:v>-2.0783410138249154</x:v>
      </x:c>
      <x:c r="AC716" s="20" t="n">
        <x:f>IF(OR(N716="",AA716="",AA716=0),"",AB716/AA716)</x:f>
        <x:v>-0.6927803379416385</x:v>
      </x:c>
      <x:c r="AD716" t="str">
        <x:f>IF(AA716="","NO STANDARD",IF(AC716&lt;=Config_Status!$B$2,"EFFICIENT",IF(AC716&lt;=Config_Status!$B$3,"NORMAL",IF(AC716&lt;=Config_Status!$B$4,"WARNING","OVER CONSUMPTION"))))</x:f>
        <x:v>EFFICIENT</x:v>
      </x:c>
      <x:c r="AE716" t="str">
        <x:f>IFERROR(VLOOKUP(G716,Master_Unit!$A$2:$N$78,13,FALSE),"UNIT NOT FOUND")</x:f>
        <x:v>Matched</x:v>
      </x:c>
    </x:row>
    <x:row r="717">
      <x:c r="A717" s="12" t="str">
        <x:v>FU-20260610-00716</x:v>
      </x:c>
      <x:c r="B717" s="12" t="n">
        <x:v>846</x:v>
      </x:c>
      <x:c r="C717" s="14" t="n">
        <x:v>46183</x:v>
      </x:c>
      <x:c r="D717" s="12" t="str">
        <x:v>Rabu</x:v>
      </x:c>
      <x:c r="E717" s="12" t="str">
        <x:v>06:58:00</x:v>
      </x:c>
      <x:c r="F717" s="12" t="str">
        <x:v>All Shift Day</x:v>
      </x:c>
      <x:c r="G717" s="12" t="str">
        <x:v>BDKM85G039</x:v>
      </x:c>
      <x:c r="H717" s="12" t="str">
        <x:v>Dozer</x:v>
      </x:c>
      <x:c r="I717" s="12" t="str">
        <x:v>BULDOZER KOMATSU D85ESS-2</x:v>
      </x:c>
      <x:c r="J717" s="16" t="n">
        <x:v>90</x:v>
      </x:c>
      <x:c r="K717" s="16" t="n">
        <x:v>7089.8</x:v>
      </x:c>
      <x:c r="L717" s="16" t="n">
        <x:v>7099</x:v>
      </x:c>
      <x:c r="M717" s="16" t="n">
        <x:v>9.199999999999818</x:v>
      </x:c>
      <x:c r="N717" s="16" t="n">
        <x:v>9.782608695652367</x:v>
      </x:c>
      <x:c r="O717" s="12" t="str">
        <x:v>FTRL44G005</x:v>
      </x:c>
      <x:c r="P717" s="12" t="str">
        <x:v>BDKM85G039</x:v>
      </x:c>
      <x:c r="Q717" s="12" t="str"/>
      <x:c r="R717" s="12" t="str"/>
      <x:c r="S717" s="12" t="str"/>
      <x:c r="T717" s="12" t="str">
        <x:v>ABM</x:v>
      </x:c>
      <x:c r="U717" s="12" t="str"/>
      <x:c r="V717" s="12" t="str"/>
      <x:c r="W717" s="12" t="str"/>
      <x:c r="X717" s="12" t="str">
        <x:v>BDKM85</x:v>
      </x:c>
      <x:c r="Y717" s="12" t="str">
        <x:v>ANDI &amp; ANGGI</x:v>
      </x:c>
      <x:c r="Z717" s="12" t="str"/>
      <x:c r="AA717" s="32" t="n">
        <x:f>IFERROR(VLOOKUP(G717,Master_Unit!$A$2:$N$78,7,FALSE),"")</x:f>
        <x:v>30</x:v>
      </x:c>
      <x:c r="AB717" s="32" t="n">
        <x:f>IF(OR(N717="",AA717=""),"",N717-AA717)</x:f>
        <x:v>-20.217391304347633</x:v>
      </x:c>
      <x:c r="AC717" s="20" t="n">
        <x:f>IF(OR(N717="",AA717="",AA717=0),"",AB717/AA717)</x:f>
        <x:v>-0.6739130434782544</x:v>
      </x:c>
      <x:c r="AD717" t="str">
        <x:f>IF(AA717="","NO STANDARD",IF(AC717&lt;=Config_Status!$B$2,"EFFICIENT",IF(AC717&lt;=Config_Status!$B$3,"NORMAL",IF(AC717&lt;=Config_Status!$B$4,"WARNING","OVER CONSUMPTION"))))</x:f>
        <x:v>EFFICIENT</x:v>
      </x:c>
      <x:c r="AE717" t="str">
        <x:f>IFERROR(VLOOKUP(G717,Master_Unit!$A$2:$N$78,13,FALSE),"UNIT NOT FOUND")</x:f>
        <x:v>Matched</x:v>
      </x:c>
    </x:row>
    <x:row r="718">
      <x:c r="A718" s="12" t="str">
        <x:v>FU-20260610-00717</x:v>
      </x:c>
      <x:c r="B718" s="12" t="n">
        <x:v>847</x:v>
      </x:c>
      <x:c r="C718" s="14" t="n">
        <x:v>46183</x:v>
      </x:c>
      <x:c r="D718" s="12" t="str">
        <x:v>Rabu</x:v>
      </x:c>
      <x:c r="E718" s="12" t="str">
        <x:v>07:00:00</x:v>
      </x:c>
      <x:c r="F718" s="12" t="str">
        <x:v>All Shift Day</x:v>
      </x:c>
      <x:c r="G718" s="12" t="str">
        <x:v>LVTH24R035</x:v>
      </x:c>
      <x:c r="H718" s="12" t="str">
        <x:v>Light Vehicle</x:v>
      </x:c>
      <x:c r="I718" s="12" t="str">
        <x:v>LIGHT VEHICLE TOYOTA HILUX</x:v>
      </x:c>
      <x:c r="J718" s="16" t="n">
        <x:v>20</x:v>
      </x:c>
      <x:c r="K718" s="16" t="n">
        <x:v>69838</x:v>
      </x:c>
      <x:c r="L718" s="16" t="n">
        <x:v>69956</x:v>
      </x:c>
      <x:c r="M718" s="16" t="n">
        <x:v>118</x:v>
      </x:c>
      <x:c r="N718" s="16" t="n">
        <x:v>0.1694915254237288</x:v>
      </x:c>
      <x:c r="O718" s="12" t="str">
        <x:v>FTRL44G005</x:v>
      </x:c>
      <x:c r="P718" s="12" t="str">
        <x:v>LVTH24R035</x:v>
      </x:c>
      <x:c r="Q718" s="12" t="str"/>
      <x:c r="R718" s="12" t="str"/>
      <x:c r="S718" s="12" t="str"/>
      <x:c r="T718" s="12" t="str">
        <x:v>ABM</x:v>
      </x:c>
      <x:c r="U718" s="12" t="str"/>
      <x:c r="V718" s="12" t="str"/>
      <x:c r="W718" s="12" t="str"/>
      <x:c r="X718" s="12" t="str">
        <x:v>LVTH24</x:v>
      </x:c>
      <x:c r="Y718" s="12" t="str">
        <x:v>ANDI &amp; ANGGI</x:v>
      </x:c>
      <x:c r="Z718" s="12" t="str"/>
      <x:c r="AA718" s="32" t="n">
        <x:f>IFERROR(VLOOKUP(G718,Master_Unit!$A$2:$N$78,7,FALSE),"")</x:f>
        <x:v>0.2</x:v>
      </x:c>
      <x:c r="AB718" s="32" t="n">
        <x:f>IF(OR(N718="",AA718=""),"",N718-AA718)</x:f>
        <x:v>-0.030508474576271205</x:v>
      </x:c>
      <x:c r="AC718" s="20" t="n">
        <x:f>IF(OR(N718="",AA718="",AA718=0),"",AB718/AA718)</x:f>
        <x:v>-0.15254237288135603</x:v>
      </x:c>
      <x:c r="AD718" t="str">
        <x:f>IF(AA718="","NO STANDARD",IF(AC718&lt;=Config_Status!$B$2,"EFFICIENT",IF(AC718&lt;=Config_Status!$B$3,"NORMAL",IF(AC718&lt;=Config_Status!$B$4,"WARNING","OVER CONSUMPTION"))))</x:f>
        <x:v>EFFICIENT</x:v>
      </x:c>
      <x:c r="AE718" t="str">
        <x:f>IFERROR(VLOOKUP(G718,Master_Unit!$A$2:$N$78,13,FALSE),"UNIT NOT FOUND")</x:f>
        <x:v>Matched</x:v>
      </x:c>
    </x:row>
    <x:row r="719">
      <x:c r="A719" s="12" t="str">
        <x:v>FU-20260610-00718</x:v>
      </x:c>
      <x:c r="B719" s="12" t="n">
        <x:v>848</x:v>
      </x:c>
      <x:c r="C719" s="14" t="n">
        <x:v>46183</x:v>
      </x:c>
      <x:c r="D719" s="12" t="str">
        <x:v>Rabu</x:v>
      </x:c>
      <x:c r="E719" s="12" t="str">
        <x:v>07:04:00</x:v>
      </x:c>
      <x:c r="F719" s="12" t="str">
        <x:v>All Shift Day</x:v>
      </x:c>
      <x:c r="G719" s="12" t="str">
        <x:v>TLPT14G001</x:v>
      </x:c>
      <x:c r="H719" s="12" t="str">
        <x:v>Other</x:v>
      </x:c>
      <x:c r="I719" s="12" t="str">
        <x:v>TOWERLAMP PATRIA LS4-1400</x:v>
      </x:c>
      <x:c r="J719" s="16" t="n">
        <x:v>25</x:v>
      </x:c>
      <x:c r="K719" s="16" t="n">
        <x:v>17762.3</x:v>
      </x:c>
      <x:c r="L719" s="16" t="n">
        <x:v>17783.9</x:v>
      </x:c>
      <x:c r="M719" s="16" t="n">
        <x:v>21.600000000002183</x:v>
      </x:c>
      <x:c r="N719" s="16" t="n">
        <x:v>1.1574074074072904</x:v>
      </x:c>
      <x:c r="O719" s="12" t="str">
        <x:v>FTRL44G005</x:v>
      </x:c>
      <x:c r="P719" s="12" t="str">
        <x:v>TLPT14G001</x:v>
      </x:c>
      <x:c r="Q719" s="12" t="str"/>
      <x:c r="R719" s="12" t="str"/>
      <x:c r="S719" s="12" t="str"/>
      <x:c r="T719" s="12" t="str">
        <x:v>ABM</x:v>
      </x:c>
      <x:c r="U719" s="12" t="str"/>
      <x:c r="V719" s="12" t="str"/>
      <x:c r="W719" s="12" t="str"/>
      <x:c r="X719" s="12" t="str">
        <x:v>TLPT14</x:v>
      </x:c>
      <x:c r="Y719" s="12" t="str">
        <x:v>ANDI &amp; ANGGI</x:v>
      </x:c>
      <x:c r="Z719" s="12" t="str"/>
      <x:c r="AA719" s="32" t="str">
        <x:f>IFERROR(VLOOKUP(G719,Master_Unit!$A$2:$N$78,7,FALSE),"")</x:f>
      </x:c>
      <x:c r="AB719" s="32" t="str">
        <x:f>IF(OR(N719="",AA719=""),"",N719-AA719)</x:f>
      </x:c>
      <x:c r="AC719" s="20" t="str">
        <x:f>IF(OR(N719="",AA719="",AA719=0),"",AB719/AA719)</x:f>
      </x:c>
      <x:c r="AD719" t="str">
        <x:f>IF(AA719="","NO STANDARD",IF(AC719&lt;=Config_Status!$B$2,"EFFICIENT",IF(AC719&lt;=Config_Status!$B$3,"NORMAL",IF(AC719&lt;=Config_Status!$B$4,"WARNING","OVER CONSUMPTION"))))</x:f>
        <x:v>NO STANDARD</x:v>
      </x:c>
      <x:c r="AE719" t="str">
        <x:f>IFERROR(VLOOKUP(G719,Master_Unit!$A$2:$N$78,13,FALSE),"UNIT NOT FOUND")</x:f>
        <x:v>No Standard</x:v>
      </x:c>
    </x:row>
    <x:row r="720">
      <x:c r="A720" s="12" t="str">
        <x:v>FU-20260610-00719</x:v>
      </x:c>
      <x:c r="B720" s="12" t="n">
        <x:v>849</x:v>
      </x:c>
      <x:c r="C720" s="14" t="n">
        <x:v>46183</x:v>
      </x:c>
      <x:c r="D720" s="12" t="str">
        <x:v>Rabu</x:v>
      </x:c>
      <x:c r="E720" s="12" t="str">
        <x:v>07:07:00</x:v>
      </x:c>
      <x:c r="F720" s="12" t="str">
        <x:v>All Shift Day</x:v>
      </x:c>
      <x:c r="G720" s="12" t="str">
        <x:v>MGSD20G007</x:v>
      </x:c>
      <x:c r="H720" s="12" t="str">
        <x:v>Other</x:v>
      </x:c>
      <x:c r="I720" s="12" t="str">
        <x:v>MOTOR GRADER SDLG GD9220F</x:v>
      </x:c>
      <x:c r="J720" s="16" t="n">
        <x:v>75</x:v>
      </x:c>
      <x:c r="K720" s="16" t="n">
        <x:v>3729.8</x:v>
      </x:c>
      <x:c r="L720" s="16" t="n">
        <x:v>3741.3</x:v>
      </x:c>
      <x:c r="M720" s="16" t="n">
        <x:v>11.5</x:v>
      </x:c>
      <x:c r="N720" s="16" t="n">
        <x:v>6.521739130434782</x:v>
      </x:c>
      <x:c r="O720" s="12" t="str">
        <x:v>FTRL44G005</x:v>
      </x:c>
      <x:c r="P720" s="12" t="str">
        <x:v>MGSD20G007</x:v>
      </x:c>
      <x:c r="Q720" s="12" t="str"/>
      <x:c r="R720" s="12" t="str"/>
      <x:c r="S720" s="12" t="str"/>
      <x:c r="T720" s="12" t="str">
        <x:v>ABM</x:v>
      </x:c>
      <x:c r="U720" s="12" t="str"/>
      <x:c r="V720" s="12" t="str"/>
      <x:c r="W720" s="12" t="str"/>
      <x:c r="X720" s="12" t="str">
        <x:v>MGSD20</x:v>
      </x:c>
      <x:c r="Y720" s="12" t="str">
        <x:v>ANDI &amp; ANGGI</x:v>
      </x:c>
      <x:c r="Z720" s="12" t="str"/>
      <x:c r="AA720" s="32" t="n">
        <x:f>IFERROR(VLOOKUP(G720,Master_Unit!$A$2:$N$78,7,FALSE),"")</x:f>
        <x:v>20</x:v>
      </x:c>
      <x:c r="AB720" s="32" t="n">
        <x:f>IF(OR(N720="",AA720=""),"",N720-AA720)</x:f>
        <x:v>-13.478260869565219</x:v>
      </x:c>
      <x:c r="AC720" s="20" t="n">
        <x:f>IF(OR(N720="",AA720="",AA720=0),"",AB720/AA720)</x:f>
        <x:v>-0.673913043478261</x:v>
      </x:c>
      <x:c r="AD720" t="str">
        <x:f>IF(AA720="","NO STANDARD",IF(AC720&lt;=Config_Status!$B$2,"EFFICIENT",IF(AC720&lt;=Config_Status!$B$3,"NORMAL",IF(AC720&lt;=Config_Status!$B$4,"WARNING","OVER CONSUMPTION"))))</x:f>
        <x:v>EFFICIENT</x:v>
      </x:c>
      <x:c r="AE720" t="str">
        <x:f>IFERROR(VLOOKUP(G720,Master_Unit!$A$2:$N$78,13,FALSE),"UNIT NOT FOUND")</x:f>
        <x:v>Matched</x:v>
      </x:c>
    </x:row>
    <x:row r="721">
      <x:c r="A721" s="12" t="str">
        <x:v>FU-20260610-00720</x:v>
      </x:c>
      <x:c r="B721" s="12" t="n">
        <x:v>850</x:v>
      </x:c>
      <x:c r="C721" s="14" t="n">
        <x:v>46183</x:v>
      </x:c>
      <x:c r="D721" s="12" t="str">
        <x:v>Rabu</x:v>
      </x:c>
      <x:c r="E721" s="12" t="str">
        <x:v>07:19:00</x:v>
      </x:c>
      <x:c r="F721" s="12" t="str">
        <x:v>All Shift Day</x:v>
      </x:c>
      <x:c r="G721" s="12" t="str">
        <x:v>LVTH24R053</x:v>
      </x:c>
      <x:c r="H721" s="12" t="str">
        <x:v>Light Vehicle</x:v>
      </x:c>
      <x:c r="I721" s="12" t="str">
        <x:v>LIGHT VEHICLE TOYOTA HILUX</x:v>
      </x:c>
      <x:c r="J721" s="16" t="n">
        <x:v>37</x:v>
      </x:c>
      <x:c r="K721" s="16" t="n">
        <x:v>24606</x:v>
      </x:c>
      <x:c r="L721" s="16" t="n">
        <x:v>24856</x:v>
      </x:c>
      <x:c r="M721" s="16" t="n">
        <x:v>250</x:v>
      </x:c>
      <x:c r="N721" s="16" t="n">
        <x:v>0.148</x:v>
      </x:c>
      <x:c r="O721" s="12" t="str">
        <x:v>FTRL44G005</x:v>
      </x:c>
      <x:c r="P721" s="12" t="str">
        <x:v>LVTH24R053</x:v>
      </x:c>
      <x:c r="Q721" s="12" t="str"/>
      <x:c r="R721" s="12" t="str"/>
      <x:c r="S721" s="12" t="str"/>
      <x:c r="T721" s="12" t="str">
        <x:v>ABM</x:v>
      </x:c>
      <x:c r="U721" s="12" t="str"/>
      <x:c r="V721" s="12" t="str"/>
      <x:c r="W721" s="12" t="str"/>
      <x:c r="X721" s="12" t="str">
        <x:v>LVTH24</x:v>
      </x:c>
      <x:c r="Y721" s="12" t="str">
        <x:v>ANDI &amp; ANGGI</x:v>
      </x:c>
      <x:c r="Z721" s="12" t="str"/>
      <x:c r="AA721" s="32" t="n">
        <x:f>IFERROR(VLOOKUP(G721,Master_Unit!$A$2:$N$78,7,FALSE),"")</x:f>
        <x:v>0.2</x:v>
      </x:c>
      <x:c r="AB721" s="32" t="n">
        <x:f>IF(OR(N721="",AA721=""),"",N721-AA721)</x:f>
        <x:v>-0.05200000000000002</x:v>
      </x:c>
      <x:c r="AC721" s="20" t="n">
        <x:f>IF(OR(N721="",AA721="",AA721=0),"",AB721/AA721)</x:f>
        <x:v>-0.26000000000000006</x:v>
      </x:c>
      <x:c r="AD721" t="str">
        <x:f>IF(AA721="","NO STANDARD",IF(AC721&lt;=Config_Status!$B$2,"EFFICIENT",IF(AC721&lt;=Config_Status!$B$3,"NORMAL",IF(AC721&lt;=Config_Status!$B$4,"WARNING","OVER CONSUMPTION"))))</x:f>
        <x:v>EFFICIENT</x:v>
      </x:c>
      <x:c r="AE721" t="str">
        <x:f>IFERROR(VLOOKUP(G721,Master_Unit!$A$2:$N$78,13,FALSE),"UNIT NOT FOUND")</x:f>
        <x:v>Matched</x:v>
      </x:c>
    </x:row>
    <x:row r="722">
      <x:c r="A722" s="12" t="str">
        <x:v>FU-20260610-00721</x:v>
      </x:c>
      <x:c r="B722" s="12" t="n">
        <x:v>851</x:v>
      </x:c>
      <x:c r="C722" s="14" t="n">
        <x:v>46183</x:v>
      </x:c>
      <x:c r="D722" s="12" t="str">
        <x:v>Rabu</x:v>
      </x:c>
      <x:c r="E722" s="12" t="str">
        <x:v>07:21:00</x:v>
      </x:c>
      <x:c r="F722" s="12" t="str">
        <x:v>All Shift Day</x:v>
      </x:c>
      <x:c r="G722" s="12" t="str">
        <x:v>LVTH24R026</x:v>
      </x:c>
      <x:c r="H722" s="12" t="str">
        <x:v>Light Vehicle</x:v>
      </x:c>
      <x:c r="I722" s="12" t="str">
        <x:v>LIGHT VEHICLE TOYOTA HILUX</x:v>
      </x:c>
      <x:c r="J722" s="16" t="n">
        <x:v>20</x:v>
      </x:c>
      <x:c r="K722" s="16" t="n">
        <x:v>59271</x:v>
      </x:c>
      <x:c r="L722" s="16" t="n">
        <x:v>59458</x:v>
      </x:c>
      <x:c r="M722" s="16" t="n">
        <x:v>187</x:v>
      </x:c>
      <x:c r="N722" s="16" t="n">
        <x:v>0.10695187165775401</x:v>
      </x:c>
      <x:c r="O722" s="12" t="str">
        <x:v>FTRL44G005</x:v>
      </x:c>
      <x:c r="P722" s="12" t="str">
        <x:v>LVTH24R026</x:v>
      </x:c>
      <x:c r="Q722" s="12" t="str"/>
      <x:c r="R722" s="12" t="str"/>
      <x:c r="S722" s="12" t="str"/>
      <x:c r="T722" s="12" t="str">
        <x:v>ABM</x:v>
      </x:c>
      <x:c r="U722" s="12" t="str"/>
      <x:c r="V722" s="12" t="str"/>
      <x:c r="W722" s="12" t="str"/>
      <x:c r="X722" s="12" t="str">
        <x:v>LVTH24</x:v>
      </x:c>
      <x:c r="Y722" s="12" t="str">
        <x:v>ANDI &amp; ANGGI</x:v>
      </x:c>
      <x:c r="Z722" s="12" t="str"/>
      <x:c r="AA722" s="32" t="n">
        <x:f>IFERROR(VLOOKUP(G722,Master_Unit!$A$2:$N$78,7,FALSE),"")</x:f>
        <x:v>0.2</x:v>
      </x:c>
      <x:c r="AB722" s="32" t="n">
        <x:f>IF(OR(N722="",AA722=""),"",N722-AA722)</x:f>
        <x:v>-0.093048128342246</x:v>
      </x:c>
      <x:c r="AC722" s="20" t="n">
        <x:f>IF(OR(N722="",AA722="",AA722=0),"",AB722/AA722)</x:f>
        <x:v>-0.46524064171123</x:v>
      </x:c>
      <x:c r="AD722" t="str">
        <x:f>IF(AA722="","NO STANDARD",IF(AC722&lt;=Config_Status!$B$2,"EFFICIENT",IF(AC722&lt;=Config_Status!$B$3,"NORMAL",IF(AC722&lt;=Config_Status!$B$4,"WARNING","OVER CONSUMPTION"))))</x:f>
        <x:v>EFFICIENT</x:v>
      </x:c>
      <x:c r="AE722" t="str">
        <x:f>IFERROR(VLOOKUP(G722,Master_Unit!$A$2:$N$78,13,FALSE),"UNIT NOT FOUND")</x:f>
        <x:v>Matched</x:v>
      </x:c>
    </x:row>
    <x:row r="723">
      <x:c r="A723" s="12" t="str">
        <x:v>FU-20260610-00722</x:v>
      </x:c>
      <x:c r="B723" s="12" t="n">
        <x:v>852</x:v>
      </x:c>
      <x:c r="C723" s="14" t="n">
        <x:v>46183</x:v>
      </x:c>
      <x:c r="D723" s="12" t="str">
        <x:v>Rabu</x:v>
      </x:c>
      <x:c r="E723" s="12" t="str">
        <x:v>07:31:00</x:v>
      </x:c>
      <x:c r="F723" s="12" t="str">
        <x:v>All Shift Day</x:v>
      </x:c>
      <x:c r="G723" s="12" t="str">
        <x:v>STRL44G134</x:v>
      </x:c>
      <x:c r="H723" s="12" t="str">
        <x:v>Dump Truck</x:v>
      </x:c>
      <x:c r="I723" s="12" t="str">
        <x:v>DUMP TRUCK RENAULT KRANGE440-P6X4 A/T</x:v>
      </x:c>
      <x:c r="J723" s="16" t="n">
        <x:v>72</x:v>
      </x:c>
      <x:c r="K723" s="16" t="n">
        <x:v>5679</x:v>
      </x:c>
      <x:c r="L723" s="16" t="n">
        <x:v>5697</x:v>
      </x:c>
      <x:c r="M723" s="16" t="n">
        <x:v>18</x:v>
      </x:c>
      <x:c r="N723" s="16" t="n">
        <x:v>4</x:v>
      </x:c>
      <x:c r="O723" s="12" t="str">
        <x:v>FTRL44G005</x:v>
      </x:c>
      <x:c r="P723" s="12" t="str">
        <x:v>STRL44G134</x:v>
      </x:c>
      <x:c r="Q723" s="12" t="str"/>
      <x:c r="R723" s="12" t="str"/>
      <x:c r="S723" s="12" t="str"/>
      <x:c r="T723" s="12" t="str">
        <x:v>ABM</x:v>
      </x:c>
      <x:c r="U723" s="12" t="str"/>
      <x:c r="V723" s="12" t="str"/>
      <x:c r="W723" s="12" t="str"/>
      <x:c r="X723" s="12" t="str">
        <x:v>STRL44</x:v>
      </x:c>
      <x:c r="Y723" s="12" t="str">
        <x:v>ANDI &amp; ANGGI</x:v>
      </x:c>
      <x:c r="Z723" s="12" t="str"/>
      <x:c r="AA723" s="32" t="n">
        <x:f>IFERROR(VLOOKUP(G723,Master_Unit!$A$2:$N$78,7,FALSE),"")</x:f>
        <x:v>20</x:v>
      </x:c>
      <x:c r="AB723" s="32" t="n">
        <x:f>IF(OR(N723="",AA723=""),"",N723-AA723)</x:f>
        <x:v>-16</x:v>
      </x:c>
      <x:c r="AC723" s="20" t="n">
        <x:f>IF(OR(N723="",AA723="",AA723=0),"",AB723/AA723)</x:f>
        <x:v>-0.8</x:v>
      </x:c>
      <x:c r="AD723" t="str">
        <x:f>IF(AA723="","NO STANDARD",IF(AC723&lt;=Config_Status!$B$2,"EFFICIENT",IF(AC723&lt;=Config_Status!$B$3,"NORMAL",IF(AC723&lt;=Config_Status!$B$4,"WARNING","OVER CONSUMPTION"))))</x:f>
        <x:v>EFFICIENT</x:v>
      </x:c>
      <x:c r="AE723" t="str">
        <x:f>IFERROR(VLOOKUP(G723,Master_Unit!$A$2:$N$78,13,FALSE),"UNIT NOT FOUND")</x:f>
        <x:v>Matched</x:v>
      </x:c>
    </x:row>
    <x:row r="724">
      <x:c r="A724" s="12" t="str">
        <x:v>FU-20260610-00723</x:v>
      </x:c>
      <x:c r="B724" s="12" t="n">
        <x:v>853</x:v>
      </x:c>
      <x:c r="C724" s="14" t="n">
        <x:v>46183</x:v>
      </x:c>
      <x:c r="D724" s="12" t="str">
        <x:v>Rabu</x:v>
      </x:c>
      <x:c r="E724" s="12" t="str">
        <x:v>07:33:00</x:v>
      </x:c>
      <x:c r="F724" s="12" t="str">
        <x:v>All Shift Day</x:v>
      </x:c>
      <x:c r="G724" s="12" t="str">
        <x:v>STRL44G135</x:v>
      </x:c>
      <x:c r="H724" s="12" t="str">
        <x:v>Dump Truck</x:v>
      </x:c>
      <x:c r="I724" s="12" t="str">
        <x:v>DUMP TRUCK RENAULT KRANGE440-P6X4 A/T</x:v>
      </x:c>
      <x:c r="J724" s="16" t="n">
        <x:v>72</x:v>
      </x:c>
      <x:c r="K724" s="16" t="n">
        <x:v>5845</x:v>
      </x:c>
      <x:c r="L724" s="16" t="n">
        <x:v>5862</x:v>
      </x:c>
      <x:c r="M724" s="16" t="n">
        <x:v>17</x:v>
      </x:c>
      <x:c r="N724" s="16" t="n">
        <x:v>4.235294117647059</x:v>
      </x:c>
      <x:c r="O724" s="12" t="str">
        <x:v>FTRL44G005</x:v>
      </x:c>
      <x:c r="P724" s="12" t="str">
        <x:v>STRL44G135</x:v>
      </x:c>
      <x:c r="Q724" s="12" t="str"/>
      <x:c r="R724" s="12" t="str"/>
      <x:c r="S724" s="12" t="str"/>
      <x:c r="T724" s="12" t="str">
        <x:v>ABM</x:v>
      </x:c>
      <x:c r="U724" s="12" t="str"/>
      <x:c r="V724" s="12" t="str"/>
      <x:c r="W724" s="12" t="str"/>
      <x:c r="X724" s="12" t="str">
        <x:v>STRL44</x:v>
      </x:c>
      <x:c r="Y724" s="12" t="str">
        <x:v>ANDI &amp; ANGGI</x:v>
      </x:c>
      <x:c r="Z724" s="12" t="str"/>
      <x:c r="AA724" s="32" t="n">
        <x:f>IFERROR(VLOOKUP(G724,Master_Unit!$A$2:$N$78,7,FALSE),"")</x:f>
        <x:v>20</x:v>
      </x:c>
      <x:c r="AB724" s="32" t="n">
        <x:f>IF(OR(N724="",AA724=""),"",N724-AA724)</x:f>
        <x:v>-15.764705882352942</x:v>
      </x:c>
      <x:c r="AC724" s="20" t="n">
        <x:f>IF(OR(N724="",AA724="",AA724=0),"",AB724/AA724)</x:f>
        <x:v>-0.7882352941176471</x:v>
      </x:c>
      <x:c r="AD724" t="str">
        <x:f>IF(AA724="","NO STANDARD",IF(AC724&lt;=Config_Status!$B$2,"EFFICIENT",IF(AC724&lt;=Config_Status!$B$3,"NORMAL",IF(AC724&lt;=Config_Status!$B$4,"WARNING","OVER CONSUMPTION"))))</x:f>
        <x:v>EFFICIENT</x:v>
      </x:c>
      <x:c r="AE724" t="str">
        <x:f>IFERROR(VLOOKUP(G724,Master_Unit!$A$2:$N$78,13,FALSE),"UNIT NOT FOUND")</x:f>
        <x:v>Matched</x:v>
      </x:c>
    </x:row>
    <x:row r="725">
      <x:c r="A725" s="12" t="str">
        <x:v>FU-20260610-00724</x:v>
      </x:c>
      <x:c r="B725" s="12" t="n">
        <x:v>854</x:v>
      </x:c>
      <x:c r="C725" s="14" t="n">
        <x:v>46183</x:v>
      </x:c>
      <x:c r="D725" s="12" t="str">
        <x:v>Rabu</x:v>
      </x:c>
      <x:c r="E725" s="12" t="str">
        <x:v>07:40:00</x:v>
      </x:c>
      <x:c r="F725" s="12" t="str">
        <x:v>All Shift Day</x:v>
      </x:c>
      <x:c r="G725" s="12" t="str">
        <x:v>STRL44G139</x:v>
      </x:c>
      <x:c r="H725" s="12" t="str">
        <x:v>Dump Truck</x:v>
      </x:c>
      <x:c r="I725" s="12" t="str">
        <x:v>DUMP TRUCK RENAULT KRANGE440-P6X4 A/T</x:v>
      </x:c>
      <x:c r="J725" s="16" t="n">
        <x:v>103</x:v>
      </x:c>
      <x:c r="K725" s="16" t="n">
        <x:v>4993</x:v>
      </x:c>
      <x:c r="L725" s="16" t="n">
        <x:v>4997</x:v>
      </x:c>
      <x:c r="M725" s="16" t="n">
        <x:v>4</x:v>
      </x:c>
      <x:c r="N725" s="16" t="n">
        <x:v>25.75</x:v>
      </x:c>
      <x:c r="O725" s="12" t="str">
        <x:v>FTRL44G005</x:v>
      </x:c>
      <x:c r="P725" s="12" t="str">
        <x:v>STRL44G139</x:v>
      </x:c>
      <x:c r="Q725" s="12" t="str"/>
      <x:c r="R725" s="12" t="str"/>
      <x:c r="S725" s="12" t="str"/>
      <x:c r="T725" s="12" t="str">
        <x:v>ABM</x:v>
      </x:c>
      <x:c r="U725" s="12" t="str"/>
      <x:c r="V725" s="12" t="str"/>
      <x:c r="W725" s="12" t="str"/>
      <x:c r="X725" s="12" t="str">
        <x:v>STRL44</x:v>
      </x:c>
      <x:c r="Y725" s="12" t="str">
        <x:v>ANDI &amp; ANGGI</x:v>
      </x:c>
      <x:c r="Z725" s="12" t="str"/>
      <x:c r="AA725" s="32" t="n">
        <x:f>IFERROR(VLOOKUP(G725,Master_Unit!$A$2:$N$78,7,FALSE),"")</x:f>
        <x:v>20</x:v>
      </x:c>
      <x:c r="AB725" s="32" t="n">
        <x:f>IF(OR(N725="",AA725=""),"",N725-AA725)</x:f>
        <x:v>5.75</x:v>
      </x:c>
      <x:c r="AC725" s="20" t="n">
        <x:f>IF(OR(N725="",AA725="",AA725=0),"",AB725/AA725)</x:f>
        <x:v>0.2875</x:v>
      </x:c>
      <x:c r="AD725" t="str">
        <x:f>IF(AA725="","NO STANDARD",IF(AC725&lt;=Config_Status!$B$2,"EFFICIENT",IF(AC725&lt;=Config_Status!$B$3,"NORMAL",IF(AC725&lt;=Config_Status!$B$4,"WARNING","OVER CONSUMPTION"))))</x:f>
        <x:v>OVER CONSUMPTION</x:v>
      </x:c>
      <x:c r="AE725" t="str">
        <x:f>IFERROR(VLOOKUP(G725,Master_Unit!$A$2:$N$78,13,FALSE),"UNIT NOT FOUND")</x:f>
        <x:v>Matched</x:v>
      </x:c>
    </x:row>
    <x:row r="726">
      <x:c r="A726" s="12" t="str">
        <x:v>FU-20260610-00725</x:v>
      </x:c>
      <x:c r="B726" s="12" t="n">
        <x:v>855</x:v>
      </x:c>
      <x:c r="C726" s="14" t="n">
        <x:v>46183</x:v>
      </x:c>
      <x:c r="D726" s="12" t="str">
        <x:v>Rabu</x:v>
      </x:c>
      <x:c r="E726" s="12" t="str">
        <x:v>07:45:00</x:v>
      </x:c>
      <x:c r="F726" s="12" t="str">
        <x:v>All Shift Day</x:v>
      </x:c>
      <x:c r="G726" s="12" t="str">
        <x:v>STRL44G137</x:v>
      </x:c>
      <x:c r="H726" s="12" t="str">
        <x:v>Dump Truck</x:v>
      </x:c>
      <x:c r="I726" s="12" t="str">
        <x:v>DUMP TRUCK RENAULT KRANGE440-P6X4 A/T</x:v>
      </x:c>
      <x:c r="J726" s="16" t="n">
        <x:v>71</x:v>
      </x:c>
      <x:c r="K726" s="16" t="n">
        <x:v>6414</x:v>
      </x:c>
      <x:c r="L726" s="16" t="n">
        <x:v>6431</x:v>
      </x:c>
      <x:c r="M726" s="16" t="n">
        <x:v>17</x:v>
      </x:c>
      <x:c r="N726" s="16" t="n">
        <x:v>4.176470588235294</x:v>
      </x:c>
      <x:c r="O726" s="12" t="str">
        <x:v>FTRL44G005</x:v>
      </x:c>
      <x:c r="P726" s="12" t="str">
        <x:v>STRL44G137</x:v>
      </x:c>
      <x:c r="Q726" s="12" t="str"/>
      <x:c r="R726" s="12" t="str"/>
      <x:c r="S726" s="12" t="str"/>
      <x:c r="T726" s="12" t="str">
        <x:v>ABM</x:v>
      </x:c>
      <x:c r="U726" s="12" t="str"/>
      <x:c r="V726" s="12" t="str"/>
      <x:c r="W726" s="12" t="str"/>
      <x:c r="X726" s="12" t="str">
        <x:v>STRL44</x:v>
      </x:c>
      <x:c r="Y726" s="12" t="str">
        <x:v>ANDI &amp; ANGGI</x:v>
      </x:c>
      <x:c r="Z726" s="12" t="str"/>
      <x:c r="AA726" s="32" t="n">
        <x:f>IFERROR(VLOOKUP(G726,Master_Unit!$A$2:$N$78,7,FALSE),"")</x:f>
        <x:v>20</x:v>
      </x:c>
      <x:c r="AB726" s="32" t="n">
        <x:f>IF(OR(N726="",AA726=""),"",N726-AA726)</x:f>
        <x:v>-15.823529411764707</x:v>
      </x:c>
      <x:c r="AC726" s="20" t="n">
        <x:f>IF(OR(N726="",AA726="",AA726=0),"",AB726/AA726)</x:f>
        <x:v>-0.7911764705882354</x:v>
      </x:c>
      <x:c r="AD726" t="str">
        <x:f>IF(AA726="","NO STANDARD",IF(AC726&lt;=Config_Status!$B$2,"EFFICIENT",IF(AC726&lt;=Config_Status!$B$3,"NORMAL",IF(AC726&lt;=Config_Status!$B$4,"WARNING","OVER CONSUMPTION"))))</x:f>
        <x:v>EFFICIENT</x:v>
      </x:c>
      <x:c r="AE726" t="str">
        <x:f>IFERROR(VLOOKUP(G726,Master_Unit!$A$2:$N$78,13,FALSE),"UNIT NOT FOUND")</x:f>
        <x:v>Matched</x:v>
      </x:c>
    </x:row>
    <x:row r="727">
      <x:c r="A727" s="12" t="str">
        <x:v>FU-20260610-00726</x:v>
      </x:c>
      <x:c r="B727" s="12" t="n">
        <x:v>856</x:v>
      </x:c>
      <x:c r="C727" s="14" t="n">
        <x:v>46183</x:v>
      </x:c>
      <x:c r="D727" s="12" t="str">
        <x:v>Rabu</x:v>
      </x:c>
      <x:c r="E727" s="12" t="str">
        <x:v>08:21:00</x:v>
      </x:c>
      <x:c r="F727" s="12" t="str">
        <x:v>All Shift Day</x:v>
      </x:c>
      <x:c r="G727" s="12" t="str">
        <x:v>EXVV21G043</x:v>
      </x:c>
      <x:c r="H727" s="12" t="str">
        <x:v>Excavator</x:v>
      </x:c>
      <x:c r="I727" s="12" t="str">
        <x:v>EXCAVATOR VOLVO EC210D</x:v>
      </x:c>
      <x:c r="J727" s="16" t="n">
        <x:v>81</x:v>
      </x:c>
      <x:c r="K727" s="16" t="n">
        <x:v>5322.8</x:v>
      </x:c>
      <x:c r="L727" s="16" t="n">
        <x:v>5338</x:v>
      </x:c>
      <x:c r="M727" s="16" t="n">
        <x:v>15.199999999999818</x:v>
      </x:c>
      <x:c r="N727" s="16" t="n">
        <x:v>5.328947368421116</x:v>
      </x:c>
      <x:c r="O727" s="12" t="str">
        <x:v>FTRL44G005</x:v>
      </x:c>
      <x:c r="P727" s="12" t="str">
        <x:v>EXVV21G043</x:v>
      </x:c>
      <x:c r="Q727" s="12" t="str"/>
      <x:c r="R727" s="12" t="str"/>
      <x:c r="S727" s="12" t="str"/>
      <x:c r="T727" s="12" t="str">
        <x:v>ABM</x:v>
      </x:c>
      <x:c r="U727" s="12" t="str"/>
      <x:c r="V727" s="12" t="str"/>
      <x:c r="W727" s="12" t="str"/>
      <x:c r="X727" s="12" t="str">
        <x:v>EXVV21</x:v>
      </x:c>
      <x:c r="Y727" s="12" t="str">
        <x:v>ANDI &amp; ANGGI</x:v>
      </x:c>
      <x:c r="Z727" s="12" t="str"/>
      <x:c r="AA727" s="32" t="n">
        <x:f>IFERROR(VLOOKUP(G727,Master_Unit!$A$2:$N$78,7,FALSE),"")</x:f>
        <x:v>20</x:v>
      </x:c>
      <x:c r="AB727" s="32" t="n">
        <x:f>IF(OR(N727="",AA727=""),"",N727-AA727)</x:f>
        <x:v>-14.671052631578885</x:v>
      </x:c>
      <x:c r="AC727" s="20" t="n">
        <x:f>IF(OR(N727="",AA727="",AA727=0),"",AB727/AA727)</x:f>
        <x:v>-0.7335526315789442</x:v>
      </x:c>
      <x:c r="AD727" t="str">
        <x:f>IF(AA727="","NO STANDARD",IF(AC727&lt;=Config_Status!$B$2,"EFFICIENT",IF(AC727&lt;=Config_Status!$B$3,"NORMAL",IF(AC727&lt;=Config_Status!$B$4,"WARNING","OVER CONSUMPTION"))))</x:f>
        <x:v>EFFICIENT</x:v>
      </x:c>
      <x:c r="AE727" t="str">
        <x:f>IFERROR(VLOOKUP(G727,Master_Unit!$A$2:$N$78,13,FALSE),"UNIT NOT FOUND")</x:f>
        <x:v>Matched</x:v>
      </x:c>
    </x:row>
    <x:row r="728">
      <x:c r="A728" s="12" t="str">
        <x:v>FU-20260610-00727</x:v>
      </x:c>
      <x:c r="B728" s="12" t="n">
        <x:v>857</x:v>
      </x:c>
      <x:c r="C728" s="14" t="n">
        <x:v>46183</x:v>
      </x:c>
      <x:c r="D728" s="12" t="str">
        <x:v>Rabu</x:v>
      </x:c>
      <x:c r="E728" s="12" t="str">
        <x:v>08:28:00</x:v>
      </x:c>
      <x:c r="F728" s="12" t="str">
        <x:v>All Shift Day</x:v>
      </x:c>
      <x:c r="G728" s="12" t="str">
        <x:v>GSHT10G002</x:v>
      </x:c>
      <x:c r="H728" s="12" t="str">
        <x:v>Genset</x:v>
      </x:c>
      <x:c r="I728" s="12" t="str">
        <x:v>GENSET HARTECH HT-10</x:v>
      </x:c>
      <x:c r="J728" s="16" t="n">
        <x:v>15</x:v>
      </x:c>
      <x:c r="K728" s="16" t="n">
        <x:v>8511.12</x:v>
      </x:c>
      <x:c r="L728" s="16" t="n">
        <x:v>8525.8</x:v>
      </x:c>
      <x:c r="M728" s="16" t="n">
        <x:v>14.679999999998472</x:v>
      </x:c>
      <x:c r="N728" s="16" t="n">
        <x:v>1.0217983651227223</x:v>
      </x:c>
      <x:c r="O728" s="12" t="str">
        <x:v>FTRL44G005</x:v>
      </x:c>
      <x:c r="P728" s="12" t="str">
        <x:v>GSHT10G002</x:v>
      </x:c>
      <x:c r="Q728" s="12" t="str"/>
      <x:c r="R728" s="12" t="str"/>
      <x:c r="S728" s="12" t="str"/>
      <x:c r="T728" s="12" t="str">
        <x:v>ABM</x:v>
      </x:c>
      <x:c r="U728" s="12" t="str"/>
      <x:c r="V728" s="12" t="str"/>
      <x:c r="W728" s="12" t="str"/>
      <x:c r="X728" s="12" t="str">
        <x:v>GSHT10</x:v>
      </x:c>
      <x:c r="Y728" s="12" t="str">
        <x:v>ANDI &amp; ANGGI</x:v>
      </x:c>
      <x:c r="Z728" s="12" t="str"/>
      <x:c r="AA728" s="32" t="n">
        <x:f>IFERROR(VLOOKUP(G728,Master_Unit!$A$2:$N$78,7,FALSE),"")</x:f>
        <x:v>3</x:v>
      </x:c>
      <x:c r="AB728" s="32" t="n">
        <x:f>IF(OR(N728="",AA728=""),"",N728-AA728)</x:f>
        <x:v>-1.9782016348772777</x:v>
      </x:c>
      <x:c r="AC728" s="20" t="n">
        <x:f>IF(OR(N728="",AA728="",AA728=0),"",AB728/AA728)</x:f>
        <x:v>-0.6594005449590926</x:v>
      </x:c>
      <x:c r="AD728" t="str">
        <x:f>IF(AA728="","NO STANDARD",IF(AC728&lt;=Config_Status!$B$2,"EFFICIENT",IF(AC728&lt;=Config_Status!$B$3,"NORMAL",IF(AC728&lt;=Config_Status!$B$4,"WARNING","OVER CONSUMPTION"))))</x:f>
        <x:v>EFFICIENT</x:v>
      </x:c>
      <x:c r="AE728" t="str">
        <x:f>IFERROR(VLOOKUP(G728,Master_Unit!$A$2:$N$78,13,FALSE),"UNIT NOT FOUND")</x:f>
        <x:v>Matched</x:v>
      </x:c>
    </x:row>
    <x:row r="729">
      <x:c r="A729" s="12" t="str">
        <x:v>FU-20260610-00728</x:v>
      </x:c>
      <x:c r="B729" s="12" t="n">
        <x:v>858</x:v>
      </x:c>
      <x:c r="C729" s="14" t="n">
        <x:v>46183</x:v>
      </x:c>
      <x:c r="D729" s="12" t="str">
        <x:v>Rabu</x:v>
      </x:c>
      <x:c r="E729" s="12" t="str">
        <x:v>08:52:00</x:v>
      </x:c>
      <x:c r="F729" s="12" t="str">
        <x:v>All Shift Day</x:v>
      </x:c>
      <x:c r="G729" s="12" t="str">
        <x:v>WTRL44G007</x:v>
      </x:c>
      <x:c r="H729" s="12" t="str">
        <x:v>Water Truck</x:v>
      </x:c>
      <x:c r="I729" s="12" t="str">
        <x:v>WATER TRUCK RENAULT KRANGE440-P6X4 A/T</x:v>
      </x:c>
      <x:c r="J729" s="16" t="n">
        <x:v>100</x:v>
      </x:c>
      <x:c r="K729" s="16" t="n">
        <x:v>1621</x:v>
      </x:c>
      <x:c r="L729" s="16" t="n">
        <x:v>1630</x:v>
      </x:c>
      <x:c r="M729" s="16" t="n">
        <x:v>9</x:v>
      </x:c>
      <x:c r="N729" s="16" t="n">
        <x:v>11.11111111111111</x:v>
      </x:c>
      <x:c r="O729" s="12" t="str">
        <x:v>FTRL44G005</x:v>
      </x:c>
      <x:c r="P729" s="12" t="str">
        <x:v>WTRL44G007</x:v>
      </x:c>
      <x:c r="Q729" s="12" t="str"/>
      <x:c r="R729" s="12" t="str"/>
      <x:c r="S729" s="12" t="str"/>
      <x:c r="T729" s="12" t="str">
        <x:v>ABM</x:v>
      </x:c>
      <x:c r="U729" s="12" t="str"/>
      <x:c r="V729" s="12" t="str"/>
      <x:c r="W729" s="12" t="str"/>
      <x:c r="X729" s="12" t="str">
        <x:v>WTRL44</x:v>
      </x:c>
      <x:c r="Y729" s="12" t="str">
        <x:v>ANDI &amp; ANGGI</x:v>
      </x:c>
      <x:c r="Z729" s="12" t="str"/>
      <x:c r="AA729" s="32" t="n">
        <x:f>IFERROR(VLOOKUP(G729,Master_Unit!$A$2:$N$78,7,FALSE),"")</x:f>
        <x:v>20</x:v>
      </x:c>
      <x:c r="AB729" s="32" t="n">
        <x:f>IF(OR(N729="",AA729=""),"",N729-AA729)</x:f>
        <x:v>-8.88888888888889</x:v>
      </x:c>
      <x:c r="AC729" s="20" t="n">
        <x:f>IF(OR(N729="",AA729="",AA729=0),"",AB729/AA729)</x:f>
        <x:v>-0.4444444444444445</x:v>
      </x:c>
      <x:c r="AD729" t="str">
        <x:f>IF(AA729="","NO STANDARD",IF(AC729&lt;=Config_Status!$B$2,"EFFICIENT",IF(AC729&lt;=Config_Status!$B$3,"NORMAL",IF(AC729&lt;=Config_Status!$B$4,"WARNING","OVER CONSUMPTION"))))</x:f>
        <x:v>EFFICIENT</x:v>
      </x:c>
      <x:c r="AE729" t="str">
        <x:f>IFERROR(VLOOKUP(G729,Master_Unit!$A$2:$N$78,13,FALSE),"UNIT NOT FOUND")</x:f>
        <x:v>Matched</x:v>
      </x:c>
    </x:row>
    <x:row r="730">
      <x:c r="A730" s="12" t="str">
        <x:v>FU-20260610-00729</x:v>
      </x:c>
      <x:c r="B730" s="12" t="n">
        <x:v>859</x:v>
      </x:c>
      <x:c r="C730" s="14" t="n">
        <x:v>46183</x:v>
      </x:c>
      <x:c r="D730" s="12" t="str">
        <x:v>Rabu</x:v>
      </x:c>
      <x:c r="E730" s="12" t="str">
        <x:v>09:28:00</x:v>
      </x:c>
      <x:c r="F730" s="12" t="str">
        <x:v>All Shift Day</x:v>
      </x:c>
      <x:c r="G730" s="12" t="str">
        <x:v>STRL44G155</x:v>
      </x:c>
      <x:c r="H730" s="12" t="str">
        <x:v>Dump Truck</x:v>
      </x:c>
      <x:c r="I730" s="12" t="str">
        <x:v>DUMP TRUCK RENAULT KRANGE440-P6X4 A/T</x:v>
      </x:c>
      <x:c r="J730" s="16" t="n">
        <x:v>195</x:v>
      </x:c>
      <x:c r="K730" s="16" t="n">
        <x:v>3983</x:v>
      </x:c>
      <x:c r="L730" s="16" t="n">
        <x:v>3988</x:v>
      </x:c>
      <x:c r="M730" s="16" t="n">
        <x:v>5</x:v>
      </x:c>
      <x:c r="N730" s="16" t="n">
        <x:v>39</x:v>
      </x:c>
      <x:c r="O730" s="12" t="str">
        <x:v>FTRL44G005</x:v>
      </x:c>
      <x:c r="P730" s="12" t="str">
        <x:v>STRL44G155</x:v>
      </x:c>
      <x:c r="Q730" s="12" t="str"/>
      <x:c r="R730" s="12" t="str"/>
      <x:c r="S730" s="12" t="str"/>
      <x:c r="T730" s="12" t="str">
        <x:v>ABM</x:v>
      </x:c>
      <x:c r="U730" s="12" t="str"/>
      <x:c r="V730" s="12" t="str"/>
      <x:c r="W730" s="12" t="str"/>
      <x:c r="X730" s="12" t="str">
        <x:v>STRL44</x:v>
      </x:c>
      <x:c r="Y730" s="12" t="str">
        <x:v>ANDI &amp; ANGGI</x:v>
      </x:c>
      <x:c r="Z730" s="12" t="str"/>
      <x:c r="AA730" s="32" t="n">
        <x:f>IFERROR(VLOOKUP(G730,Master_Unit!$A$2:$N$78,7,FALSE),"")</x:f>
        <x:v>20</x:v>
      </x:c>
      <x:c r="AB730" s="32" t="n">
        <x:f>IF(OR(N730="",AA730=""),"",N730-AA730)</x:f>
        <x:v>19</x:v>
      </x:c>
      <x:c r="AC730" s="20" t="n">
        <x:f>IF(OR(N730="",AA730="",AA730=0),"",AB730/AA730)</x:f>
        <x:v>0.95</x:v>
      </x:c>
      <x:c r="AD730" t="str">
        <x:f>IF(AA730="","NO STANDARD",IF(AC730&lt;=Config_Status!$B$2,"EFFICIENT",IF(AC730&lt;=Config_Status!$B$3,"NORMAL",IF(AC730&lt;=Config_Status!$B$4,"WARNING","OVER CONSUMPTION"))))</x:f>
        <x:v>OVER CONSUMPTION</x:v>
      </x:c>
      <x:c r="AE730" t="str">
        <x:f>IFERROR(VLOOKUP(G730,Master_Unit!$A$2:$N$78,13,FALSE),"UNIT NOT FOUND")</x:f>
        <x:v>Matched</x:v>
      </x:c>
    </x:row>
    <x:row r="731">
      <x:c r="A731" s="12" t="str">
        <x:v>FU-20260610-00730</x:v>
      </x:c>
      <x:c r="B731" s="12" t="n">
        <x:v>860</x:v>
      </x:c>
      <x:c r="C731" s="14" t="n">
        <x:v>46183</x:v>
      </x:c>
      <x:c r="D731" s="12" t="str">
        <x:v>Rabu</x:v>
      </x:c>
      <x:c r="E731" s="12" t="str">
        <x:v>11:54:00</x:v>
      </x:c>
      <x:c r="F731" s="12" t="str">
        <x:v>All Shift Day</x:v>
      </x:c>
      <x:c r="G731" s="12" t="str">
        <x:v>EXVV21G037</x:v>
      </x:c>
      <x:c r="H731" s="12" t="str">
        <x:v>Excavator</x:v>
      </x:c>
      <x:c r="I731" s="12" t="str">
        <x:v>EXCAVATOR VOLVO EC210D</x:v>
      </x:c>
      <x:c r="J731" s="16" t="n">
        <x:v>81</x:v>
      </x:c>
      <x:c r="K731" s="16" t="n">
        <x:v>6866.1</x:v>
      </x:c>
      <x:c r="L731" s="16" t="n">
        <x:v>6879.2</x:v>
      </x:c>
      <x:c r="M731" s="16" t="n">
        <x:v>13.099999999999454</x:v>
      </x:c>
      <x:c r="N731" s="16" t="n">
        <x:v>6.183206106870487</x:v>
      </x:c>
      <x:c r="O731" s="12" t="str">
        <x:v>FTRL44G005</x:v>
      </x:c>
      <x:c r="P731" s="12" t="str">
        <x:v>EXVV21G037</x:v>
      </x:c>
      <x:c r="Q731" s="12" t="str"/>
      <x:c r="R731" s="12" t="str"/>
      <x:c r="S731" s="12" t="str"/>
      <x:c r="T731" s="12" t="str">
        <x:v>ABM</x:v>
      </x:c>
      <x:c r="U731" s="12" t="str"/>
      <x:c r="V731" s="12" t="str"/>
      <x:c r="W731" s="12" t="str"/>
      <x:c r="X731" s="12" t="str">
        <x:v>EXVV21</x:v>
      </x:c>
      <x:c r="Y731" s="12" t="str">
        <x:v>ANDI &amp; ANGGI</x:v>
      </x:c>
      <x:c r="Z731" s="12" t="str"/>
      <x:c r="AA731" s="32" t="n">
        <x:f>IFERROR(VLOOKUP(G731,Master_Unit!$A$2:$N$78,7,FALSE),"")</x:f>
        <x:v>20</x:v>
      </x:c>
      <x:c r="AB731" s="32" t="n">
        <x:f>IF(OR(N731="",AA731=""),"",N731-AA731)</x:f>
        <x:v>-13.816793893129514</x:v>
      </x:c>
      <x:c r="AC731" s="20" t="n">
        <x:f>IF(OR(N731="",AA731="",AA731=0),"",AB731/AA731)</x:f>
        <x:v>-0.6908396946564757</x:v>
      </x:c>
      <x:c r="AD731" t="str">
        <x:f>IF(AA731="","NO STANDARD",IF(AC731&lt;=Config_Status!$B$2,"EFFICIENT",IF(AC731&lt;=Config_Status!$B$3,"NORMAL",IF(AC731&lt;=Config_Status!$B$4,"WARNING","OVER CONSUMPTION"))))</x:f>
        <x:v>EFFICIENT</x:v>
      </x:c>
      <x:c r="AE731" t="str">
        <x:f>IFERROR(VLOOKUP(G731,Master_Unit!$A$2:$N$78,13,FALSE),"UNIT NOT FOUND")</x:f>
        <x:v>Matched</x:v>
      </x:c>
    </x:row>
    <x:row r="732">
      <x:c r="A732" s="12" t="str">
        <x:v>FU-20260610-00731</x:v>
      </x:c>
      <x:c r="B732" s="12" t="n">
        <x:v>861</x:v>
      </x:c>
      <x:c r="C732" s="14" t="n">
        <x:v>46183</x:v>
      </x:c>
      <x:c r="D732" s="12" t="str">
        <x:v>Rabu</x:v>
      </x:c>
      <x:c r="E732" s="12" t="str">
        <x:v>11:59:00</x:v>
      </x:c>
      <x:c r="F732" s="12" t="str">
        <x:v>All Shift Day</x:v>
      </x:c>
      <x:c r="G732" s="12" t="str">
        <x:v>EXVV21G040</x:v>
      </x:c>
      <x:c r="H732" s="12" t="str">
        <x:v>Excavator</x:v>
      </x:c>
      <x:c r="I732" s="12" t="str">
        <x:v>EXCAVATOR VOLVO EC210D</x:v>
      </x:c>
      <x:c r="J732" s="16" t="n">
        <x:v>99</x:v>
      </x:c>
      <x:c r="K732" s="16" t="n">
        <x:v>6578.4</x:v>
      </x:c>
      <x:c r="L732" s="16" t="n">
        <x:v>6594.1</x:v>
      </x:c>
      <x:c r="M732" s="16" t="n">
        <x:v>15.700000000000728</x:v>
      </x:c>
      <x:c r="N732" s="16" t="n">
        <x:v>6.305732484076141</x:v>
      </x:c>
      <x:c r="O732" s="12" t="str">
        <x:v>FTRL44G005</x:v>
      </x:c>
      <x:c r="P732" s="12" t="str">
        <x:v>EXVV21G040</x:v>
      </x:c>
      <x:c r="Q732" s="12" t="str"/>
      <x:c r="R732" s="12" t="str"/>
      <x:c r="S732" s="12" t="str"/>
      <x:c r="T732" s="12" t="str">
        <x:v>ABM</x:v>
      </x:c>
      <x:c r="U732" s="12" t="str"/>
      <x:c r="V732" s="12" t="str"/>
      <x:c r="W732" s="12" t="str"/>
      <x:c r="X732" s="12" t="str">
        <x:v>EXVV21</x:v>
      </x:c>
      <x:c r="Y732" s="12" t="str">
        <x:v>ANDI &amp; ANGGI</x:v>
      </x:c>
      <x:c r="Z732" s="12" t="str"/>
      <x:c r="AA732" s="32" t="n">
        <x:f>IFERROR(VLOOKUP(G732,Master_Unit!$A$2:$N$78,7,FALSE),"")</x:f>
        <x:v>20</x:v>
      </x:c>
      <x:c r="AB732" s="32" t="n">
        <x:f>IF(OR(N732="",AA732=""),"",N732-AA732)</x:f>
        <x:v>-13.694267515923858</x:v>
      </x:c>
      <x:c r="AC732" s="20" t="n">
        <x:f>IF(OR(N732="",AA732="",AA732=0),"",AB732/AA732)</x:f>
        <x:v>-0.684713375796193</x:v>
      </x:c>
      <x:c r="AD732" t="str">
        <x:f>IF(AA732="","NO STANDARD",IF(AC732&lt;=Config_Status!$B$2,"EFFICIENT",IF(AC732&lt;=Config_Status!$B$3,"NORMAL",IF(AC732&lt;=Config_Status!$B$4,"WARNING","OVER CONSUMPTION"))))</x:f>
        <x:v>EFFICIENT</x:v>
      </x:c>
      <x:c r="AE732" t="str">
        <x:f>IFERROR(VLOOKUP(G732,Master_Unit!$A$2:$N$78,13,FALSE),"UNIT NOT FOUND")</x:f>
        <x:v>Matched</x:v>
      </x:c>
    </x:row>
    <x:row r="733">
      <x:c r="A733" s="12" t="str">
        <x:v>FU-20260610-00732</x:v>
      </x:c>
      <x:c r="B733" s="12" t="n">
        <x:v>862</x:v>
      </x:c>
      <x:c r="C733" s="14" t="n">
        <x:v>46183</x:v>
      </x:c>
      <x:c r="D733" s="12" t="str">
        <x:v>Rabu</x:v>
      </x:c>
      <x:c r="E733" s="12" t="str">
        <x:v>12:08:00</x:v>
      </x:c>
      <x:c r="F733" s="12" t="str">
        <x:v>All Shift Day</x:v>
      </x:c>
      <x:c r="G733" s="12" t="str">
        <x:v>EXVV35G006</x:v>
      </x:c>
      <x:c r="H733" s="12" t="str">
        <x:v>Excavator</x:v>
      </x:c>
      <x:c r="I733" s="12" t="str">
        <x:v>EXCAVATOR VOLVO EC350D</x:v>
      </x:c>
      <x:c r="J733" s="16" t="n">
        <x:v>283</x:v>
      </x:c>
      <x:c r="K733" s="16" t="n">
        <x:v>3178</x:v>
      </x:c>
      <x:c r="L733" s="16" t="n">
        <x:v>3188.6</x:v>
      </x:c>
      <x:c r="M733" s="16" t="n">
        <x:v>10.599999999999909</x:v>
      </x:c>
      <x:c r="N733" s="16" t="n">
        <x:v>26.698113207547397</x:v>
      </x:c>
      <x:c r="O733" s="12" t="str">
        <x:v>FTRL44G005</x:v>
      </x:c>
      <x:c r="P733" s="12" t="str">
        <x:v>EXVV35G006</x:v>
      </x:c>
      <x:c r="Q733" s="12" t="str"/>
      <x:c r="R733" s="12" t="str"/>
      <x:c r="S733" s="12" t="str"/>
      <x:c r="T733" s="12" t="str">
        <x:v>ABM</x:v>
      </x:c>
      <x:c r="U733" s="12" t="str"/>
      <x:c r="V733" s="12" t="str"/>
      <x:c r="W733" s="12" t="str"/>
      <x:c r="X733" s="12" t="str">
        <x:v>EXVV35</x:v>
      </x:c>
      <x:c r="Y733" s="12" t="str">
        <x:v>ANDI &amp; ANGGI</x:v>
      </x:c>
      <x:c r="Z733" s="12" t="str"/>
      <x:c r="AA733" s="32" t="n">
        <x:f>IFERROR(VLOOKUP(G733,Master_Unit!$A$2:$N$78,7,FALSE),"")</x:f>
        <x:v>25</x:v>
      </x:c>
      <x:c r="AB733" s="32" t="n">
        <x:f>IF(OR(N733="",AA733=""),"",N733-AA733)</x:f>
        <x:v>1.6981132075473973</x:v>
      </x:c>
      <x:c r="AC733" s="20" t="n">
        <x:f>IF(OR(N733="",AA733="",AA733=0),"",AB733/AA733)</x:f>
        <x:v>0.0679245283018959</x:v>
      </x:c>
      <x:c r="AD733" t="str">
        <x:f>IF(AA733="","NO STANDARD",IF(AC733&lt;=Config_Status!$B$2,"EFFICIENT",IF(AC733&lt;=Config_Status!$B$3,"NORMAL",IF(AC733&lt;=Config_Status!$B$4,"WARNING","OVER CONSUMPTION"))))</x:f>
        <x:v>NORMAL</x:v>
      </x:c>
      <x:c r="AE733" t="str">
        <x:f>IFERROR(VLOOKUP(G733,Master_Unit!$A$2:$N$78,13,FALSE),"UNIT NOT FOUND")</x:f>
        <x:v>Matched</x:v>
      </x:c>
    </x:row>
    <x:row r="734">
      <x:c r="A734" s="12" t="str">
        <x:v>FU-20260610-00733</x:v>
      </x:c>
      <x:c r="B734" s="12" t="n">
        <x:v>863</x:v>
      </x:c>
      <x:c r="C734" s="14" t="n">
        <x:v>46183</x:v>
      </x:c>
      <x:c r="D734" s="12" t="str">
        <x:v>Rabu</x:v>
      </x:c>
      <x:c r="E734" s="12" t="str">
        <x:v>12:15:00</x:v>
      </x:c>
      <x:c r="F734" s="12" t="str">
        <x:v>All Shift Day</x:v>
      </x:c>
      <x:c r="G734" s="12" t="str">
        <x:v>EXVV35G007</x:v>
      </x:c>
      <x:c r="H734" s="12" t="str">
        <x:v>Excavator</x:v>
      </x:c>
      <x:c r="I734" s="12" t="str">
        <x:v>EXCAVATOR VOLVO EC350D</x:v>
      </x:c>
      <x:c r="J734" s="16" t="n">
        <x:v>161</x:v>
      </x:c>
      <x:c r="K734" s="16" t="n">
        <x:v>573.2</x:v>
      </x:c>
      <x:c r="L734" s="16" t="n">
        <x:v>581</x:v>
      </x:c>
      <x:c r="M734" s="16" t="n">
        <x:v>7.7999999999999545</x:v>
      </x:c>
      <x:c r="N734" s="16" t="n">
        <x:v>20.641025641025763</x:v>
      </x:c>
      <x:c r="O734" s="12" t="str">
        <x:v>FTRL44G005</x:v>
      </x:c>
      <x:c r="P734" s="12" t="str">
        <x:v>EXVV35G007</x:v>
      </x:c>
      <x:c r="Q734" s="12" t="str"/>
      <x:c r="R734" s="12" t="str"/>
      <x:c r="S734" s="12" t="str"/>
      <x:c r="T734" s="12" t="str">
        <x:v>ABM</x:v>
      </x:c>
      <x:c r="U734" s="12" t="str"/>
      <x:c r="V734" s="12" t="str"/>
      <x:c r="W734" s="12" t="str"/>
      <x:c r="X734" s="12" t="str">
        <x:v>EXVV35</x:v>
      </x:c>
      <x:c r="Y734" s="12" t="str">
        <x:v>ANDI &amp; ANGGI</x:v>
      </x:c>
      <x:c r="Z734" s="12" t="str"/>
      <x:c r="AA734" s="32" t="n">
        <x:f>IFERROR(VLOOKUP(G734,Master_Unit!$A$2:$N$78,7,FALSE),"")</x:f>
        <x:v>25</x:v>
      </x:c>
      <x:c r="AB734" s="32" t="n">
        <x:f>IF(OR(N734="",AA734=""),"",N734-AA734)</x:f>
        <x:v>-4.358974358974237</x:v>
      </x:c>
      <x:c r="AC734" s="20" t="n">
        <x:f>IF(OR(N734="",AA734="",AA734=0),"",AB734/AA734)</x:f>
        <x:v>-0.17435897435896947</x:v>
      </x:c>
      <x:c r="AD734" t="str">
        <x:f>IF(AA734="","NO STANDARD",IF(AC734&lt;=Config_Status!$B$2,"EFFICIENT",IF(AC734&lt;=Config_Status!$B$3,"NORMAL",IF(AC734&lt;=Config_Status!$B$4,"WARNING","OVER CONSUMPTION"))))</x:f>
        <x:v>EFFICIENT</x:v>
      </x:c>
      <x:c r="AE734" t="str">
        <x:f>IFERROR(VLOOKUP(G734,Master_Unit!$A$2:$N$78,13,FALSE),"UNIT NOT FOUND")</x:f>
        <x:v>Matched</x:v>
      </x:c>
    </x:row>
    <x:row r="735">
      <x:c r="A735" s="12" t="str">
        <x:v>FU-20260610-00734</x:v>
      </x:c>
      <x:c r="B735" s="12" t="n">
        <x:v>864</x:v>
      </x:c>
      <x:c r="C735" s="14" t="n">
        <x:v>46183</x:v>
      </x:c>
      <x:c r="D735" s="12" t="str">
        <x:v>Rabu</x:v>
      </x:c>
      <x:c r="E735" s="12" t="str">
        <x:v>12:22:00</x:v>
      </x:c>
      <x:c r="F735" s="12" t="str">
        <x:v>All Shift Day</x:v>
      </x:c>
      <x:c r="G735" s="12" t="str">
        <x:v>EXVV35G004</x:v>
      </x:c>
      <x:c r="H735" s="12" t="str">
        <x:v>Excavator</x:v>
      </x:c>
      <x:c r="I735" s="12" t="str">
        <x:v>EXCAVATOR VOLVO EC350D</x:v>
      </x:c>
      <x:c r="J735" s="16" t="n">
        <x:v>283</x:v>
      </x:c>
      <x:c r="K735" s="16" t="n">
        <x:v>2566.3</x:v>
      </x:c>
      <x:c r="L735" s="16" t="n">
        <x:v>2577.6</x:v>
      </x:c>
      <x:c r="M735" s="16" t="n">
        <x:v>11.299999999999727</x:v>
      </x:c>
      <x:c r="N735" s="16" t="n">
        <x:v>25.044247787611223</x:v>
      </x:c>
      <x:c r="O735" s="12" t="str">
        <x:v>FTRL44G005</x:v>
      </x:c>
      <x:c r="P735" s="12" t="str">
        <x:v>EXVV35G004</x:v>
      </x:c>
      <x:c r="Q735" s="12" t="str"/>
      <x:c r="R735" s="12" t="str"/>
      <x:c r="S735" s="12" t="str"/>
      <x:c r="T735" s="12" t="str">
        <x:v>ABM</x:v>
      </x:c>
      <x:c r="U735" s="12" t="str"/>
      <x:c r="V735" s="12" t="str"/>
      <x:c r="W735" s="12" t="str"/>
      <x:c r="X735" s="12" t="str">
        <x:v>EXVV35</x:v>
      </x:c>
      <x:c r="Y735" s="12" t="str">
        <x:v>ANDI &amp; ANGGI</x:v>
      </x:c>
      <x:c r="Z735" s="12" t="str"/>
      <x:c r="AA735" s="32" t="n">
        <x:f>IFERROR(VLOOKUP(G735,Master_Unit!$A$2:$N$78,7,FALSE),"")</x:f>
        <x:v>25</x:v>
      </x:c>
      <x:c r="AB735" s="32" t="n">
        <x:f>IF(OR(N735="",AA735=""),"",N735-AA735)</x:f>
        <x:v>0.04424778761122283</x:v>
      </x:c>
      <x:c r="AC735" s="20" t="n">
        <x:f>IF(OR(N735="",AA735="",AA735=0),"",AB735/AA735)</x:f>
        <x:v>0.0017699115044489133</x:v>
      </x:c>
      <x:c r="AD735" t="str">
        <x:f>IF(AA735="","NO STANDARD",IF(AC735&lt;=Config_Status!$B$2,"EFFICIENT",IF(AC735&lt;=Config_Status!$B$3,"NORMAL",IF(AC735&lt;=Config_Status!$B$4,"WARNING","OVER CONSUMPTION"))))</x:f>
        <x:v>NORMAL</x:v>
      </x:c>
      <x:c r="AE735" t="str">
        <x:f>IFERROR(VLOOKUP(G735,Master_Unit!$A$2:$N$78,13,FALSE),"UNIT NOT FOUND")</x:f>
        <x:v>Matched</x:v>
      </x:c>
    </x:row>
    <x:row r="736">
      <x:c r="A736" s="12" t="str">
        <x:v>FU-20260610-00735</x:v>
      </x:c>
      <x:c r="B736" s="12" t="n">
        <x:v>865</x:v>
      </x:c>
      <x:c r="C736" s="14" t="n">
        <x:v>46183</x:v>
      </x:c>
      <x:c r="D736" s="12" t="str">
        <x:v>Rabu</x:v>
      </x:c>
      <x:c r="E736" s="12" t="str">
        <x:v>12:30:00</x:v>
      </x:c>
      <x:c r="F736" s="12" t="str">
        <x:v>All Shift Day</x:v>
      </x:c>
      <x:c r="G736" s="12" t="str">
        <x:v>EXVV21G039</x:v>
      </x:c>
      <x:c r="H736" s="12" t="str">
        <x:v>Excavator</x:v>
      </x:c>
      <x:c r="I736" s="12" t="str">
        <x:v>EXCAVATOR VOLVO EC210D</x:v>
      </x:c>
      <x:c r="J736" s="16" t="n">
        <x:v>103</x:v>
      </x:c>
      <x:c r="K736" s="16" t="n">
        <x:v>6282.7</x:v>
      </x:c>
      <x:c r="L736" s="16" t="n">
        <x:v>6295.5</x:v>
      </x:c>
      <x:c r="M736" s="16" t="n">
        <x:v>12.800000000000182</x:v>
      </x:c>
      <x:c r="N736" s="16" t="n">
        <x:v>8.046874999999886</x:v>
      </x:c>
      <x:c r="O736" s="12" t="str">
        <x:v>FTRL44G005</x:v>
      </x:c>
      <x:c r="P736" s="12" t="str">
        <x:v>EXVV21G039</x:v>
      </x:c>
      <x:c r="Q736" s="12" t="str"/>
      <x:c r="R736" s="12" t="str"/>
      <x:c r="S736" s="12" t="str"/>
      <x:c r="T736" s="12" t="str">
        <x:v>ABM</x:v>
      </x:c>
      <x:c r="U736" s="12" t="str"/>
      <x:c r="V736" s="12" t="str"/>
      <x:c r="W736" s="12" t="str"/>
      <x:c r="X736" s="12" t="str">
        <x:v>EXVV21</x:v>
      </x:c>
      <x:c r="Y736" s="12" t="str">
        <x:v>ANDI &amp; ANGGI</x:v>
      </x:c>
      <x:c r="Z736" s="12" t="str"/>
      <x:c r="AA736" s="32" t="n">
        <x:f>IFERROR(VLOOKUP(G736,Master_Unit!$A$2:$N$78,7,FALSE),"")</x:f>
        <x:v>20</x:v>
      </x:c>
      <x:c r="AB736" s="32" t="n">
        <x:f>IF(OR(N736="",AA736=""),"",N736-AA736)</x:f>
        <x:v>-11.953125000000114</x:v>
      </x:c>
      <x:c r="AC736" s="20" t="n">
        <x:f>IF(OR(N736="",AA736="",AA736=0),"",AB736/AA736)</x:f>
        <x:v>-0.5976562500000057</x:v>
      </x:c>
      <x:c r="AD736" t="str">
        <x:f>IF(AA736="","NO STANDARD",IF(AC736&lt;=Config_Status!$B$2,"EFFICIENT",IF(AC736&lt;=Config_Status!$B$3,"NORMAL",IF(AC736&lt;=Config_Status!$B$4,"WARNING","OVER CONSUMPTION"))))</x:f>
        <x:v>EFFICIENT</x:v>
      </x:c>
      <x:c r="AE736" t="str">
        <x:f>IFERROR(VLOOKUP(G736,Master_Unit!$A$2:$N$78,13,FALSE),"UNIT NOT FOUND")</x:f>
        <x:v>Matched</x:v>
      </x:c>
    </x:row>
    <x:row r="737">
      <x:c r="A737" s="12" t="str">
        <x:v>FU-20260610-00736</x:v>
      </x:c>
      <x:c r="B737" s="12" t="n">
        <x:v>866</x:v>
      </x:c>
      <x:c r="C737" s="14" t="n">
        <x:v>46183</x:v>
      </x:c>
      <x:c r="D737" s="12" t="str">
        <x:v>Rabu</x:v>
      </x:c>
      <x:c r="E737" s="12" t="str">
        <x:v>12:36:00</x:v>
      </x:c>
      <x:c r="F737" s="12" t="str">
        <x:v>All Shift Day</x:v>
      </x:c>
      <x:c r="G737" s="12" t="str">
        <x:v>STRL44G143</x:v>
      </x:c>
      <x:c r="H737" s="12" t="str">
        <x:v>Dump Truck</x:v>
      </x:c>
      <x:c r="I737" s="12" t="str">
        <x:v>DUMP TRUCK RENAULT KRANGE440-P6X4 A/T</x:v>
      </x:c>
      <x:c r="J737" s="16" t="n">
        <x:v>203</x:v>
      </x:c>
      <x:c r="K737" s="16" t="n">
        <x:v>5256</x:v>
      </x:c>
      <x:c r="L737" s="16" t="n">
        <x:v>5264</x:v>
      </x:c>
      <x:c r="M737" s="16" t="n">
        <x:v>8</x:v>
      </x:c>
      <x:c r="N737" s="16" t="n">
        <x:v>25.375</x:v>
      </x:c>
      <x:c r="O737" s="12" t="str">
        <x:v>FTRL44G005</x:v>
      </x:c>
      <x:c r="P737" s="12" t="str">
        <x:v>STRL44G143</x:v>
      </x:c>
      <x:c r="Q737" s="12" t="str"/>
      <x:c r="R737" s="12" t="str"/>
      <x:c r="S737" s="12" t="str"/>
      <x:c r="T737" s="12" t="str">
        <x:v>ABM</x:v>
      </x:c>
      <x:c r="U737" s="12" t="str"/>
      <x:c r="V737" s="12" t="str"/>
      <x:c r="W737" s="12" t="str"/>
      <x:c r="X737" s="12" t="str">
        <x:v>STRL44</x:v>
      </x:c>
      <x:c r="Y737" s="12" t="str">
        <x:v>ANDI &amp; ANGGI</x:v>
      </x:c>
      <x:c r="Z737" s="12" t="str"/>
      <x:c r="AA737" s="32" t="n">
        <x:f>IFERROR(VLOOKUP(G737,Master_Unit!$A$2:$N$78,7,FALSE),"")</x:f>
        <x:v>20</x:v>
      </x:c>
      <x:c r="AB737" s="32" t="n">
        <x:f>IF(OR(N737="",AA737=""),"",N737-AA737)</x:f>
        <x:v>5.375</x:v>
      </x:c>
      <x:c r="AC737" s="20" t="n">
        <x:f>IF(OR(N737="",AA737="",AA737=0),"",AB737/AA737)</x:f>
        <x:v>0.26875</x:v>
      </x:c>
      <x:c r="AD737" t="str">
        <x:f>IF(AA737="","NO STANDARD",IF(AC737&lt;=Config_Status!$B$2,"EFFICIENT",IF(AC737&lt;=Config_Status!$B$3,"NORMAL",IF(AC737&lt;=Config_Status!$B$4,"WARNING","OVER CONSUMPTION"))))</x:f>
        <x:v>OVER CONSUMPTION</x:v>
      </x:c>
      <x:c r="AE737" t="str">
        <x:f>IFERROR(VLOOKUP(G737,Master_Unit!$A$2:$N$78,13,FALSE),"UNIT NOT FOUND")</x:f>
        <x:v>Matched</x:v>
      </x:c>
    </x:row>
    <x:row r="738">
      <x:c r="A738" s="12" t="str">
        <x:v>FU-20260610-00737</x:v>
      </x:c>
      <x:c r="B738" s="12" t="n">
        <x:v>867</x:v>
      </x:c>
      <x:c r="C738" s="14" t="n">
        <x:v>46183</x:v>
      </x:c>
      <x:c r="D738" s="12" t="str">
        <x:v>Rabu</x:v>
      </x:c>
      <x:c r="E738" s="12" t="str">
        <x:v>12:39:00</x:v>
      </x:c>
      <x:c r="F738" s="12" t="str">
        <x:v>All Shift Day</x:v>
      </x:c>
      <x:c r="G738" s="12" t="str">
        <x:v>STRL44G156</x:v>
      </x:c>
      <x:c r="H738" s="12" t="str">
        <x:v>Dump Truck</x:v>
      </x:c>
      <x:c r="I738" s="12" t="str">
        <x:v>DUMP TRUCK RENAULT KRANGE440-P6X4 A/T</x:v>
      </x:c>
      <x:c r="J738" s="16" t="n">
        <x:v>203</x:v>
      </x:c>
      <x:c r="K738" s="16" t="n">
        <x:v>3793</x:v>
      </x:c>
      <x:c r="L738" s="16" t="n">
        <x:v>3800</x:v>
      </x:c>
      <x:c r="M738" s="16" t="n">
        <x:v>7</x:v>
      </x:c>
      <x:c r="N738" s="16" t="n">
        <x:v>29</x:v>
      </x:c>
      <x:c r="O738" s="12" t="str">
        <x:v>FTRL44G005</x:v>
      </x:c>
      <x:c r="P738" s="12" t="str">
        <x:v>STRL44G156</x:v>
      </x:c>
      <x:c r="Q738" s="12" t="str"/>
      <x:c r="R738" s="12" t="str"/>
      <x:c r="S738" s="12" t="str"/>
      <x:c r="T738" s="12" t="str">
        <x:v>ABM</x:v>
      </x:c>
      <x:c r="U738" s="12" t="str"/>
      <x:c r="V738" s="12" t="str"/>
      <x:c r="W738" s="12" t="str"/>
      <x:c r="X738" s="12" t="str">
        <x:v>STRL44</x:v>
      </x:c>
      <x:c r="Y738" s="12" t="str">
        <x:v>ANDI &amp; ANGGI</x:v>
      </x:c>
      <x:c r="Z738" s="12" t="str"/>
      <x:c r="AA738" s="32" t="n">
        <x:f>IFERROR(VLOOKUP(G738,Master_Unit!$A$2:$N$78,7,FALSE),"")</x:f>
        <x:v>20</x:v>
      </x:c>
      <x:c r="AB738" s="32" t="n">
        <x:f>IF(OR(N738="",AA738=""),"",N738-AA738)</x:f>
        <x:v>9</x:v>
      </x:c>
      <x:c r="AC738" s="20" t="n">
        <x:f>IF(OR(N738="",AA738="",AA738=0),"",AB738/AA738)</x:f>
        <x:v>0.45</x:v>
      </x:c>
      <x:c r="AD738" t="str">
        <x:f>IF(AA738="","NO STANDARD",IF(AC738&lt;=Config_Status!$B$2,"EFFICIENT",IF(AC738&lt;=Config_Status!$B$3,"NORMAL",IF(AC738&lt;=Config_Status!$B$4,"WARNING","OVER CONSUMPTION"))))</x:f>
        <x:v>OVER CONSUMPTION</x:v>
      </x:c>
      <x:c r="AE738" t="str">
        <x:f>IFERROR(VLOOKUP(G738,Master_Unit!$A$2:$N$78,13,FALSE),"UNIT NOT FOUND")</x:f>
        <x:v>Matched</x:v>
      </x:c>
    </x:row>
    <x:row r="739">
      <x:c r="A739" s="12" t="str">
        <x:v>FU-20260610-00738</x:v>
      </x:c>
      <x:c r="B739" s="12" t="n">
        <x:v>868</x:v>
      </x:c>
      <x:c r="C739" s="14" t="n">
        <x:v>46183</x:v>
      </x:c>
      <x:c r="D739" s="12" t="str">
        <x:v>Rabu</x:v>
      </x:c>
      <x:c r="E739" s="12" t="str">
        <x:v>18:05:00</x:v>
      </x:c>
      <x:c r="F739" s="12" t="str">
        <x:v>All Shift Night</x:v>
      </x:c>
      <x:c r="G739" s="12" t="str">
        <x:v>BDKM85G039</x:v>
      </x:c>
      <x:c r="H739" s="12" t="str">
        <x:v>Dozer</x:v>
      </x:c>
      <x:c r="I739" s="12" t="str">
        <x:v>BULDOZER KOMATSU D85ESS-2</x:v>
      </x:c>
      <x:c r="J739" s="16" t="n">
        <x:v>90</x:v>
      </x:c>
      <x:c r="K739" s="16" t="n">
        <x:v>7099</x:v>
      </x:c>
      <x:c r="L739" s="16" t="n">
        <x:v>7106</x:v>
      </x:c>
      <x:c r="M739" s="16" t="n">
        <x:v>7</x:v>
      </x:c>
      <x:c r="N739" s="16" t="n">
        <x:v>12.857142857142858</x:v>
      </x:c>
      <x:c r="O739" s="12" t="str">
        <x:v>FTRL44G004</x:v>
      </x:c>
      <x:c r="P739" s="12" t="str">
        <x:v>BDKM85G039</x:v>
      </x:c>
      <x:c r="Q739" s="12" t="str"/>
      <x:c r="R739" s="12" t="str"/>
      <x:c r="S739" s="12" t="str"/>
      <x:c r="T739" s="12" t="str">
        <x:v>ABM</x:v>
      </x:c>
      <x:c r="U739" s="12" t="str"/>
      <x:c r="V739" s="12" t="str"/>
      <x:c r="W739" s="12" t="str"/>
      <x:c r="X739" s="12" t="str">
        <x:v>BDKM85</x:v>
      </x:c>
      <x:c r="Y739" s="12" t="str">
        <x:v>RAFIF &amp; YOGI</x:v>
      </x:c>
      <x:c r="Z739" s="12" t="str"/>
      <x:c r="AA739" s="32" t="n">
        <x:f>IFERROR(VLOOKUP(G739,Master_Unit!$A$2:$N$78,7,FALSE),"")</x:f>
        <x:v>30</x:v>
      </x:c>
      <x:c r="AB739" s="32" t="n">
        <x:f>IF(OR(N739="",AA739=""),"",N739-AA739)</x:f>
        <x:v>-17.142857142857142</x:v>
      </x:c>
      <x:c r="AC739" s="20" t="n">
        <x:f>IF(OR(N739="",AA739="",AA739=0),"",AB739/AA739)</x:f>
        <x:v>-0.5714285714285714</x:v>
      </x:c>
      <x:c r="AD739" t="str">
        <x:f>IF(AA739="","NO STANDARD",IF(AC739&lt;=Config_Status!$B$2,"EFFICIENT",IF(AC739&lt;=Config_Status!$B$3,"NORMAL",IF(AC739&lt;=Config_Status!$B$4,"WARNING","OVER CONSUMPTION"))))</x:f>
        <x:v>EFFICIENT</x:v>
      </x:c>
      <x:c r="AE739" t="str">
        <x:f>IFERROR(VLOOKUP(G739,Master_Unit!$A$2:$N$78,13,FALSE),"UNIT NOT FOUND")</x:f>
        <x:v>Matched</x:v>
      </x:c>
    </x:row>
    <x:row r="740">
      <x:c r="A740" s="12" t="str">
        <x:v>FU-20260610-00739</x:v>
      </x:c>
      <x:c r="B740" s="12" t="n">
        <x:v>869</x:v>
      </x:c>
      <x:c r="C740" s="14" t="n">
        <x:v>46183</x:v>
      </x:c>
      <x:c r="D740" s="12" t="str">
        <x:v>Rabu</x:v>
      </x:c>
      <x:c r="E740" s="12" t="str">
        <x:v>18:05:00</x:v>
      </x:c>
      <x:c r="F740" s="12" t="str">
        <x:v>All Shift Night</x:v>
      </x:c>
      <x:c r="G740" s="12" t="str">
        <x:v>STRL44G154</x:v>
      </x:c>
      <x:c r="H740" s="12" t="str">
        <x:v>Dump Truck</x:v>
      </x:c>
      <x:c r="I740" s="12" t="str">
        <x:v>DUMP TRUCK RENAULT KRANGE440-P6X4 A/T</x:v>
      </x:c>
      <x:c r="J740" s="16" t="n">
        <x:v>204</x:v>
      </x:c>
      <x:c r="K740" s="16" t="n">
        <x:v>4116</x:v>
      </x:c>
      <x:c r="L740" s="16" t="n">
        <x:v>4124</x:v>
      </x:c>
      <x:c r="M740" s="16" t="n">
        <x:v>8</x:v>
      </x:c>
      <x:c r="N740" s="16" t="n">
        <x:v>25.5</x:v>
      </x:c>
      <x:c r="O740" s="12" t="str">
        <x:v>FTRL44G004</x:v>
      </x:c>
      <x:c r="P740" s="12" t="str">
        <x:v>STRL44G154</x:v>
      </x:c>
      <x:c r="Q740" s="12" t="str"/>
      <x:c r="R740" s="12" t="str"/>
      <x:c r="S740" s="12" t="str"/>
      <x:c r="T740" s="12" t="str">
        <x:v>ABM</x:v>
      </x:c>
      <x:c r="U740" s="12" t="str"/>
      <x:c r="V740" s="12" t="str"/>
      <x:c r="W740" s="12" t="str"/>
      <x:c r="X740" s="12" t="str">
        <x:v>STRL44</x:v>
      </x:c>
      <x:c r="Y740" s="12" t="str">
        <x:v>RAFIF &amp; YOGI</x:v>
      </x:c>
      <x:c r="Z740" s="12" t="str"/>
      <x:c r="AA740" s="32" t="n">
        <x:f>IFERROR(VLOOKUP(G740,Master_Unit!$A$2:$N$78,7,FALSE),"")</x:f>
        <x:v>20</x:v>
      </x:c>
      <x:c r="AB740" s="32" t="n">
        <x:f>IF(OR(N740="",AA740=""),"",N740-AA740)</x:f>
        <x:v>5.5</x:v>
      </x:c>
      <x:c r="AC740" s="20" t="n">
        <x:f>IF(OR(N740="",AA740="",AA740=0),"",AB740/AA740)</x:f>
        <x:v>0.275</x:v>
      </x:c>
      <x:c r="AD740" t="str">
        <x:f>IF(AA740="","NO STANDARD",IF(AC740&lt;=Config_Status!$B$2,"EFFICIENT",IF(AC740&lt;=Config_Status!$B$3,"NORMAL",IF(AC740&lt;=Config_Status!$B$4,"WARNING","OVER CONSUMPTION"))))</x:f>
        <x:v>OVER CONSUMPTION</x:v>
      </x:c>
      <x:c r="AE740" t="str">
        <x:f>IFERROR(VLOOKUP(G740,Master_Unit!$A$2:$N$78,13,FALSE),"UNIT NOT FOUND")</x:f>
        <x:v>Matched</x:v>
      </x:c>
    </x:row>
    <x:row r="741">
      <x:c r="A741" s="12" t="str">
        <x:v>FU-20260610-00740</x:v>
      </x:c>
      <x:c r="B741" s="12" t="n">
        <x:v>870</x:v>
      </x:c>
      <x:c r="C741" s="14" t="n">
        <x:v>46183</x:v>
      </x:c>
      <x:c r="D741" s="12" t="str">
        <x:v>Rabu</x:v>
      </x:c>
      <x:c r="E741" s="12" t="str">
        <x:v>18:09:00</x:v>
      </x:c>
      <x:c r="F741" s="12" t="str">
        <x:v>All Shift Night</x:v>
      </x:c>
      <x:c r="G741" s="12" t="str">
        <x:v>EXVV21G037</x:v>
      </x:c>
      <x:c r="H741" s="12" t="str">
        <x:v>Excavator</x:v>
      </x:c>
      <x:c r="I741" s="12" t="str">
        <x:v>EXCAVATOR VOLVO EC210D</x:v>
      </x:c>
      <x:c r="J741" s="16" t="n">
        <x:v>81</x:v>
      </x:c>
      <x:c r="K741" s="16" t="n">
        <x:v>6879.2</x:v>
      </x:c>
      <x:c r="L741" s="16" t="n">
        <x:v>6883.1</x:v>
      </x:c>
      <x:c r="M741" s="16" t="n">
        <x:v>3.9000000000005457</x:v>
      </x:c>
      <x:c r="N741" s="16" t="n">
        <x:v>20.769230769227864</x:v>
      </x:c>
      <x:c r="O741" s="12" t="str">
        <x:v>FTRL44G004</x:v>
      </x:c>
      <x:c r="P741" s="12" t="str">
        <x:v>EXVV21G037</x:v>
      </x:c>
      <x:c r="Q741" s="12" t="str"/>
      <x:c r="R741" s="12" t="str"/>
      <x:c r="S741" s="12" t="str"/>
      <x:c r="T741" s="12" t="str">
        <x:v>ABM</x:v>
      </x:c>
      <x:c r="U741" s="12" t="str"/>
      <x:c r="V741" s="12" t="str"/>
      <x:c r="W741" s="12" t="str"/>
      <x:c r="X741" s="12" t="str">
        <x:v>EXVV21</x:v>
      </x:c>
      <x:c r="Y741" s="12" t="str">
        <x:v>RAFIF &amp; YOGI</x:v>
      </x:c>
      <x:c r="Z741" s="12" t="str"/>
      <x:c r="AA741" s="32" t="n">
        <x:f>IFERROR(VLOOKUP(G741,Master_Unit!$A$2:$N$78,7,FALSE),"")</x:f>
        <x:v>20</x:v>
      </x:c>
      <x:c r="AB741" s="32" t="n">
        <x:f>IF(OR(N741="",AA741=""),"",N741-AA741)</x:f>
        <x:v>0.7692307692278639</x:v>
      </x:c>
      <x:c r="AC741" s="20" t="n">
        <x:f>IF(OR(N741="",AA741="",AA741=0),"",AB741/AA741)</x:f>
        <x:v>0.0384615384613932</x:v>
      </x:c>
      <x:c r="AD741" t="str">
        <x:f>IF(AA741="","NO STANDARD",IF(AC741&lt;=Config_Status!$B$2,"EFFICIENT",IF(AC741&lt;=Config_Status!$B$3,"NORMAL",IF(AC741&lt;=Config_Status!$B$4,"WARNING","OVER CONSUMPTION"))))</x:f>
        <x:v>NORMAL</x:v>
      </x:c>
      <x:c r="AE741" t="str">
        <x:f>IFERROR(VLOOKUP(G741,Master_Unit!$A$2:$N$78,13,FALSE),"UNIT NOT FOUND")</x:f>
        <x:v>Matched</x:v>
      </x:c>
    </x:row>
    <x:row r="742">
      <x:c r="A742" s="12" t="str">
        <x:v>FU-20260610-00741</x:v>
      </x:c>
      <x:c r="B742" s="12" t="n">
        <x:v>871</x:v>
      </x:c>
      <x:c r="C742" s="14" t="n">
        <x:v>46183</x:v>
      </x:c>
      <x:c r="D742" s="12" t="str">
        <x:v>Rabu</x:v>
      </x:c>
      <x:c r="E742" s="12" t="str">
        <x:v>18:15:00</x:v>
      </x:c>
      <x:c r="F742" s="12" t="str">
        <x:v>All Shift Night</x:v>
      </x:c>
      <x:c r="G742" s="12" t="str">
        <x:v>EXVV21G043</x:v>
      </x:c>
      <x:c r="H742" s="12" t="str">
        <x:v>Excavator</x:v>
      </x:c>
      <x:c r="I742" s="12" t="str">
        <x:v>EXCAVATOR VOLVO EC210D</x:v>
      </x:c>
      <x:c r="J742" s="16" t="n">
        <x:v>81</x:v>
      </x:c>
      <x:c r="K742" s="16" t="n">
        <x:v>5338</x:v>
      </x:c>
      <x:c r="L742" s="16" t="n">
        <x:v>5346.6</x:v>
      </x:c>
      <x:c r="M742" s="16" t="n">
        <x:v>8.600000000000364</x:v>
      </x:c>
      <x:c r="N742" s="16" t="n">
        <x:v>9.418604651162392</x:v>
      </x:c>
      <x:c r="O742" s="12" t="str">
        <x:v>FTRL44G004</x:v>
      </x:c>
      <x:c r="P742" s="12" t="str">
        <x:v>EXVV21G043</x:v>
      </x:c>
      <x:c r="Q742" s="12" t="str"/>
      <x:c r="R742" s="12" t="str"/>
      <x:c r="S742" s="12" t="str"/>
      <x:c r="T742" s="12" t="str">
        <x:v>ABM</x:v>
      </x:c>
      <x:c r="U742" s="12" t="str"/>
      <x:c r="V742" s="12" t="str"/>
      <x:c r="W742" s="12" t="str"/>
      <x:c r="X742" s="12" t="str">
        <x:v>EXVV21</x:v>
      </x:c>
      <x:c r="Y742" s="12" t="str">
        <x:v>RAFIF &amp; YOGI</x:v>
      </x:c>
      <x:c r="Z742" s="12" t="str"/>
      <x:c r="AA742" s="32" t="n">
        <x:f>IFERROR(VLOOKUP(G742,Master_Unit!$A$2:$N$78,7,FALSE),"")</x:f>
        <x:v>20</x:v>
      </x:c>
      <x:c r="AB742" s="32" t="n">
        <x:f>IF(OR(N742="",AA742=""),"",N742-AA742)</x:f>
        <x:v>-10.581395348837608</x:v>
      </x:c>
      <x:c r="AC742" s="20" t="n">
        <x:f>IF(OR(N742="",AA742="",AA742=0),"",AB742/AA742)</x:f>
        <x:v>-0.5290697674418804</x:v>
      </x:c>
      <x:c r="AD742" t="str">
        <x:f>IF(AA742="","NO STANDARD",IF(AC742&lt;=Config_Status!$B$2,"EFFICIENT",IF(AC742&lt;=Config_Status!$B$3,"NORMAL",IF(AC742&lt;=Config_Status!$B$4,"WARNING","OVER CONSUMPTION"))))</x:f>
        <x:v>EFFICIENT</x:v>
      </x:c>
      <x:c r="AE742" t="str">
        <x:f>IFERROR(VLOOKUP(G742,Master_Unit!$A$2:$N$78,13,FALSE),"UNIT NOT FOUND")</x:f>
        <x:v>Matched</x:v>
      </x:c>
    </x:row>
    <x:row r="743">
      <x:c r="A743" s="12" t="str">
        <x:v>FU-20260610-00742</x:v>
      </x:c>
      <x:c r="B743" s="12" t="n">
        <x:v>872</x:v>
      </x:c>
      <x:c r="C743" s="14" t="n">
        <x:v>46183</x:v>
      </x:c>
      <x:c r="D743" s="12" t="str">
        <x:v>Rabu</x:v>
      </x:c>
      <x:c r="E743" s="12" t="str">
        <x:v>18:16:00</x:v>
      </x:c>
      <x:c r="F743" s="12" t="str">
        <x:v>All Shift Night</x:v>
      </x:c>
      <x:c r="G743" s="12" t="str">
        <x:v>EXVV35G004</x:v>
      </x:c>
      <x:c r="H743" s="12" t="str">
        <x:v>Excavator</x:v>
      </x:c>
      <x:c r="I743" s="12" t="str">
        <x:v>EXCAVATOR VOLVO EC350D</x:v>
      </x:c>
      <x:c r="J743" s="16" t="n">
        <x:v>283</x:v>
      </x:c>
      <x:c r="K743" s="16" t="n">
        <x:v>2577.6</x:v>
      </x:c>
      <x:c r="L743" s="16" t="n">
        <x:v>2581.7</x:v>
      </x:c>
      <x:c r="M743" s="16" t="n">
        <x:v>4.099999999999909</x:v>
      </x:c>
      <x:c r="N743" s="16" t="n">
        <x:v>69.02439024390397</x:v>
      </x:c>
      <x:c r="O743" s="12" t="str">
        <x:v>FTRL44G004</x:v>
      </x:c>
      <x:c r="P743" s="12" t="str">
        <x:v>EXVV35G004</x:v>
      </x:c>
      <x:c r="Q743" s="12" t="str"/>
      <x:c r="R743" s="12" t="str"/>
      <x:c r="S743" s="12" t="str"/>
      <x:c r="T743" s="12" t="str">
        <x:v>ABM</x:v>
      </x:c>
      <x:c r="U743" s="12" t="str"/>
      <x:c r="V743" s="12" t="str"/>
      <x:c r="W743" s="12" t="str"/>
      <x:c r="X743" s="12" t="str">
        <x:v>EXVV35</x:v>
      </x:c>
      <x:c r="Y743" s="12" t="str">
        <x:v>RAFIF &amp; YOGI</x:v>
      </x:c>
      <x:c r="Z743" s="12" t="str"/>
      <x:c r="AA743" s="32" t="n">
        <x:f>IFERROR(VLOOKUP(G743,Master_Unit!$A$2:$N$78,7,FALSE),"")</x:f>
        <x:v>25</x:v>
      </x:c>
      <x:c r="AB743" s="32" t="n">
        <x:f>IF(OR(N743="",AA743=""),"",N743-AA743)</x:f>
        <x:v>44.024390243903966</x:v>
      </x:c>
      <x:c r="AC743" s="20" t="n">
        <x:f>IF(OR(N743="",AA743="",AA743=0),"",AB743/AA743)</x:f>
        <x:v>1.7609756097561586</x:v>
      </x:c>
      <x:c r="AD743" t="str">
        <x:f>IF(AA743="","NO STANDARD",IF(AC743&lt;=Config_Status!$B$2,"EFFICIENT",IF(AC743&lt;=Config_Status!$B$3,"NORMAL",IF(AC743&lt;=Config_Status!$B$4,"WARNING","OVER CONSUMPTION"))))</x:f>
        <x:v>OVER CONSUMPTION</x:v>
      </x:c>
      <x:c r="AE743" t="str">
        <x:f>IFERROR(VLOOKUP(G743,Master_Unit!$A$2:$N$78,13,FALSE),"UNIT NOT FOUND")</x:f>
        <x:v>Matched</x:v>
      </x:c>
    </x:row>
    <x:row r="744">
      <x:c r="A744" s="12" t="str">
        <x:v>FU-20260610-00743</x:v>
      </x:c>
      <x:c r="B744" s="12" t="n">
        <x:v>873</x:v>
      </x:c>
      <x:c r="C744" s="14" t="n">
        <x:v>46183</x:v>
      </x:c>
      <x:c r="D744" s="12" t="str">
        <x:v>Rabu</x:v>
      </x:c>
      <x:c r="E744" s="12" t="str">
        <x:v>18:18:00</x:v>
      </x:c>
      <x:c r="F744" s="12" t="str">
        <x:v>All Shift Night</x:v>
      </x:c>
      <x:c r="G744" s="12" t="str">
        <x:v>EXVV21G032</x:v>
      </x:c>
      <x:c r="H744" s="12" t="str">
        <x:v>Excavator</x:v>
      </x:c>
      <x:c r="I744" s="12" t="str">
        <x:v>EXCAVATOR VOLVO EC210D</x:v>
      </x:c>
      <x:c r="J744" s="16" t="n">
        <x:v>98</x:v>
      </x:c>
      <x:c r="K744" s="16" t="n">
        <x:v>7522.7</x:v>
      </x:c>
      <x:c r="L744" s="16" t="n">
        <x:v>7531.8</x:v>
      </x:c>
      <x:c r="M744" s="16" t="n">
        <x:v>9.100000000000364</x:v>
      </x:c>
      <x:c r="N744" s="16" t="n">
        <x:v>10.769230769230338</x:v>
      </x:c>
      <x:c r="O744" s="12" t="str">
        <x:v>FTRL44G004</x:v>
      </x:c>
      <x:c r="P744" s="12" t="str">
        <x:v>EXVV21G032</x:v>
      </x:c>
      <x:c r="Q744" s="12" t="str"/>
      <x:c r="R744" s="12" t="str"/>
      <x:c r="S744" s="12" t="str"/>
      <x:c r="T744" s="12" t="str">
        <x:v>ABM</x:v>
      </x:c>
      <x:c r="U744" s="12" t="str"/>
      <x:c r="V744" s="12" t="str"/>
      <x:c r="W744" s="12" t="str"/>
      <x:c r="X744" s="12" t="str">
        <x:v>EXVV21</x:v>
      </x:c>
      <x:c r="Y744" s="12" t="str">
        <x:v>RAFIF &amp; YOGI</x:v>
      </x:c>
      <x:c r="Z744" s="12" t="str"/>
      <x:c r="AA744" s="32" t="n">
        <x:f>IFERROR(VLOOKUP(G744,Master_Unit!$A$2:$N$78,7,FALSE),"")</x:f>
        <x:v>20</x:v>
      </x:c>
      <x:c r="AB744" s="32" t="n">
        <x:f>IF(OR(N744="",AA744=""),"",N744-AA744)</x:f>
        <x:v>-9.230769230769662</x:v>
      </x:c>
      <x:c r="AC744" s="20" t="n">
        <x:f>IF(OR(N744="",AA744="",AA744=0),"",AB744/AA744)</x:f>
        <x:v>-0.4615384615384831</x:v>
      </x:c>
      <x:c r="AD744" t="str">
        <x:f>IF(AA744="","NO STANDARD",IF(AC744&lt;=Config_Status!$B$2,"EFFICIENT",IF(AC744&lt;=Config_Status!$B$3,"NORMAL",IF(AC744&lt;=Config_Status!$B$4,"WARNING","OVER CONSUMPTION"))))</x:f>
        <x:v>EFFICIENT</x:v>
      </x:c>
      <x:c r="AE744" t="str">
        <x:f>IFERROR(VLOOKUP(G744,Master_Unit!$A$2:$N$78,13,FALSE),"UNIT NOT FOUND")</x:f>
        <x:v>Matched</x:v>
      </x:c>
    </x:row>
    <x:row r="745">
      <x:c r="A745" s="12" t="str">
        <x:v>FU-20260610-00744</x:v>
      </x:c>
      <x:c r="B745" s="12" t="n">
        <x:v>874</x:v>
      </x:c>
      <x:c r="C745" s="14" t="n">
        <x:v>46183</x:v>
      </x:c>
      <x:c r="D745" s="12" t="str">
        <x:v>Rabu</x:v>
      </x:c>
      <x:c r="E745" s="12" t="str">
        <x:v>18:27:00</x:v>
      </x:c>
      <x:c r="F745" s="12" t="str">
        <x:v>All Shift Night</x:v>
      </x:c>
      <x:c r="G745" s="12" t="str">
        <x:v>EXVV21G040</x:v>
      </x:c>
      <x:c r="H745" s="12" t="str">
        <x:v>Excavator</x:v>
      </x:c>
      <x:c r="I745" s="12" t="str">
        <x:v>EXCAVATOR VOLVO EC210D</x:v>
      </x:c>
      <x:c r="J745" s="16" t="n">
        <x:v>99</x:v>
      </x:c>
      <x:c r="K745" s="16" t="n">
        <x:v>6594.1</x:v>
      </x:c>
      <x:c r="L745" s="16" t="n">
        <x:v>6598.4</x:v>
      </x:c>
      <x:c r="M745" s="16" t="n">
        <x:v>4.299999999999272</x:v>
      </x:c>
      <x:c r="N745" s="16" t="n">
        <x:v>23.023255813957384</x:v>
      </x:c>
      <x:c r="O745" s="12" t="str">
        <x:v>FTRL44G004</x:v>
      </x:c>
      <x:c r="P745" s="12" t="str">
        <x:v>EXVV21G040</x:v>
      </x:c>
      <x:c r="Q745" s="12" t="str"/>
      <x:c r="R745" s="12" t="str"/>
      <x:c r="S745" s="12" t="str"/>
      <x:c r="T745" s="12" t="str">
        <x:v>ABM</x:v>
      </x:c>
      <x:c r="U745" s="12" t="str"/>
      <x:c r="V745" s="12" t="str"/>
      <x:c r="W745" s="12" t="str"/>
      <x:c r="X745" s="12" t="str">
        <x:v>EXVV21</x:v>
      </x:c>
      <x:c r="Y745" s="12" t="str">
        <x:v>RAFIF &amp; YOGI</x:v>
      </x:c>
      <x:c r="Z745" s="12" t="str"/>
      <x:c r="AA745" s="32" t="n">
        <x:f>IFERROR(VLOOKUP(G745,Master_Unit!$A$2:$N$78,7,FALSE),"")</x:f>
        <x:v>20</x:v>
      </x:c>
      <x:c r="AB745" s="32" t="n">
        <x:f>IF(OR(N745="",AA745=""),"",N745-AA745)</x:f>
        <x:v>3.023255813957384</x:v>
      </x:c>
      <x:c r="AC745" s="20" t="n">
        <x:f>IF(OR(N745="",AA745="",AA745=0),"",AB745/AA745)</x:f>
        <x:v>0.1511627906978692</x:v>
      </x:c>
      <x:c r="AD745" t="str">
        <x:f>IF(AA745="","NO STANDARD",IF(AC745&lt;=Config_Status!$B$2,"EFFICIENT",IF(AC745&lt;=Config_Status!$B$3,"NORMAL",IF(AC745&lt;=Config_Status!$B$4,"WARNING","OVER CONSUMPTION"))))</x:f>
        <x:v>WARNING</x:v>
      </x:c>
      <x:c r="AE745" t="str">
        <x:f>IFERROR(VLOOKUP(G745,Master_Unit!$A$2:$N$78,13,FALSE),"UNIT NOT FOUND")</x:f>
        <x:v>Matched</x:v>
      </x:c>
    </x:row>
    <x:row r="746">
      <x:c r="A746" s="12" t="str">
        <x:v>FU-20260610-00745</x:v>
      </x:c>
      <x:c r="B746" s="12" t="n">
        <x:v>875</x:v>
      </x:c>
      <x:c r="C746" s="14" t="n">
        <x:v>46183</x:v>
      </x:c>
      <x:c r="D746" s="12" t="str">
        <x:v>Rabu</x:v>
      </x:c>
      <x:c r="E746" s="12" t="str">
        <x:v>18:36:00</x:v>
      </x:c>
      <x:c r="F746" s="12" t="str">
        <x:v>All Shift Night</x:v>
      </x:c>
      <x:c r="G746" s="12" t="str">
        <x:v>STRL44G134</x:v>
      </x:c>
      <x:c r="H746" s="12" t="str">
        <x:v>Dump Truck</x:v>
      </x:c>
      <x:c r="I746" s="12" t="str">
        <x:v>DUMP TRUCK RENAULT KRANGE440-P6X4 A/T</x:v>
      </x:c>
      <x:c r="J746" s="16" t="n">
        <x:v>69</x:v>
      </x:c>
      <x:c r="K746" s="16" t="n">
        <x:v>5697</x:v>
      </x:c>
      <x:c r="L746" s="16" t="n">
        <x:v>5705</x:v>
      </x:c>
      <x:c r="M746" s="16" t="n">
        <x:v>8</x:v>
      </x:c>
      <x:c r="N746" s="16" t="n">
        <x:v>8.625</x:v>
      </x:c>
      <x:c r="O746" s="12" t="str">
        <x:v>FTRL44G004</x:v>
      </x:c>
      <x:c r="P746" s="12" t="str">
        <x:v>STRL44G134</x:v>
      </x:c>
      <x:c r="Q746" s="12" t="str"/>
      <x:c r="R746" s="12" t="str"/>
      <x:c r="S746" s="12" t="str"/>
      <x:c r="T746" s="12" t="str">
        <x:v>ABM</x:v>
      </x:c>
      <x:c r="U746" s="12" t="str"/>
      <x:c r="V746" s="12" t="str"/>
      <x:c r="W746" s="12" t="str"/>
      <x:c r="X746" s="12" t="str">
        <x:v>STRL44</x:v>
      </x:c>
      <x:c r="Y746" s="12" t="str">
        <x:v>RAFIF &amp; YOGI</x:v>
      </x:c>
      <x:c r="Z746" s="12" t="str"/>
      <x:c r="AA746" s="32" t="n">
        <x:f>IFERROR(VLOOKUP(G746,Master_Unit!$A$2:$N$78,7,FALSE),"")</x:f>
        <x:v>20</x:v>
      </x:c>
      <x:c r="AB746" s="32" t="n">
        <x:f>IF(OR(N746="",AA746=""),"",N746-AA746)</x:f>
        <x:v>-11.375</x:v>
      </x:c>
      <x:c r="AC746" s="20" t="n">
        <x:f>IF(OR(N746="",AA746="",AA746=0),"",AB746/AA746)</x:f>
        <x:v>-0.56875</x:v>
      </x:c>
      <x:c r="AD746" t="str">
        <x:f>IF(AA746="","NO STANDARD",IF(AC746&lt;=Config_Status!$B$2,"EFFICIENT",IF(AC746&lt;=Config_Status!$B$3,"NORMAL",IF(AC746&lt;=Config_Status!$B$4,"WARNING","OVER CONSUMPTION"))))</x:f>
        <x:v>EFFICIENT</x:v>
      </x:c>
      <x:c r="AE746" t="str">
        <x:f>IFERROR(VLOOKUP(G746,Master_Unit!$A$2:$N$78,13,FALSE),"UNIT NOT FOUND")</x:f>
        <x:v>Matched</x:v>
      </x:c>
    </x:row>
    <x:row r="747">
      <x:c r="A747" s="12" t="str">
        <x:v>FU-20260610-00746</x:v>
      </x:c>
      <x:c r="B747" s="12" t="n">
        <x:v>876</x:v>
      </x:c>
      <x:c r="C747" s="14" t="n">
        <x:v>46183</x:v>
      </x:c>
      <x:c r="D747" s="12" t="str">
        <x:v>Rabu</x:v>
      </x:c>
      <x:c r="E747" s="12" t="str">
        <x:v>18:38:00</x:v>
      </x:c>
      <x:c r="F747" s="12" t="str">
        <x:v>All Shift Night</x:v>
      </x:c>
      <x:c r="G747" s="12" t="str">
        <x:v>MGSD20G007</x:v>
      </x:c>
      <x:c r="H747" s="12" t="str">
        <x:v>Other</x:v>
      </x:c>
      <x:c r="I747" s="12" t="str">
        <x:v>MOTOR GRADER SDLG GD9220F</x:v>
      </x:c>
      <x:c r="J747" s="16" t="n">
        <x:v>71</x:v>
      </x:c>
      <x:c r="K747" s="16" t="n">
        <x:v>3741.3</x:v>
      </x:c>
      <x:c r="L747" s="16" t="n">
        <x:v>3744</x:v>
      </x:c>
      <x:c r="M747" s="16" t="n">
        <x:v>2.699999999999818</x:v>
      </x:c>
      <x:c r="N747" s="16" t="n">
        <x:v>26.296296296298067</x:v>
      </x:c>
      <x:c r="O747" s="12" t="str">
        <x:v>FTRL44G004</x:v>
      </x:c>
      <x:c r="P747" s="12" t="str">
        <x:v>MGSD20G007</x:v>
      </x:c>
      <x:c r="Q747" s="12" t="str"/>
      <x:c r="R747" s="12" t="str"/>
      <x:c r="S747" s="12" t="str"/>
      <x:c r="T747" s="12" t="str">
        <x:v>ABM</x:v>
      </x:c>
      <x:c r="U747" s="12" t="str"/>
      <x:c r="V747" s="12" t="str"/>
      <x:c r="W747" s="12" t="str"/>
      <x:c r="X747" s="12" t="str">
        <x:v>MGSD20</x:v>
      </x:c>
      <x:c r="Y747" s="12" t="str">
        <x:v>RAFIF &amp; YOGI</x:v>
      </x:c>
      <x:c r="Z747" s="12" t="str"/>
      <x:c r="AA747" s="32" t="n">
        <x:f>IFERROR(VLOOKUP(G747,Master_Unit!$A$2:$N$78,7,FALSE),"")</x:f>
        <x:v>20</x:v>
      </x:c>
      <x:c r="AB747" s="32" t="n">
        <x:f>IF(OR(N747="",AA747=""),"",N747-AA747)</x:f>
        <x:v>6.296296296298067</x:v>
      </x:c>
      <x:c r="AC747" s="20" t="n">
        <x:f>IF(OR(N747="",AA747="",AA747=0),"",AB747/AA747)</x:f>
        <x:v>0.31481481481490337</x:v>
      </x:c>
      <x:c r="AD747" t="str">
        <x:f>IF(AA747="","NO STANDARD",IF(AC747&lt;=Config_Status!$B$2,"EFFICIENT",IF(AC747&lt;=Config_Status!$B$3,"NORMAL",IF(AC747&lt;=Config_Status!$B$4,"WARNING","OVER CONSUMPTION"))))</x:f>
        <x:v>OVER CONSUMPTION</x:v>
      </x:c>
      <x:c r="AE747" t="str">
        <x:f>IFERROR(VLOOKUP(G747,Master_Unit!$A$2:$N$78,13,FALSE),"UNIT NOT FOUND")</x:f>
        <x:v>Matched</x:v>
      </x:c>
    </x:row>
    <x:row r="748">
      <x:c r="A748" s="12" t="str">
        <x:v>FU-20260610-00747</x:v>
      </x:c>
      <x:c r="B748" s="12" t="n">
        <x:v>877</x:v>
      </x:c>
      <x:c r="C748" s="14" t="n">
        <x:v>46183</x:v>
      </x:c>
      <x:c r="D748" s="12" t="str">
        <x:v>Rabu</x:v>
      </x:c>
      <x:c r="E748" s="12" t="str">
        <x:v>18:42:00</x:v>
      </x:c>
      <x:c r="F748" s="12" t="str">
        <x:v>All Shift Night</x:v>
      </x:c>
      <x:c r="G748" s="12" t="str">
        <x:v>STRL44G141</x:v>
      </x:c>
      <x:c r="H748" s="12" t="str">
        <x:v>Dump Truck</x:v>
      </x:c>
      <x:c r="I748" s="12" t="str">
        <x:v>DUMP TRUCK RENAULT KRANGE440-P6X4 A/T</x:v>
      </x:c>
      <x:c r="J748" s="16" t="n">
        <x:v>70</x:v>
      </x:c>
      <x:c r="K748" s="16" t="n">
        <x:v>3188</x:v>
      </x:c>
      <x:c r="L748" s="16" t="n">
        <x:v>3205</x:v>
      </x:c>
      <x:c r="M748" s="16" t="n">
        <x:v>17</x:v>
      </x:c>
      <x:c r="N748" s="16" t="n">
        <x:v>4.117647058823529</x:v>
      </x:c>
      <x:c r="O748" s="12" t="str">
        <x:v>FTRL44G004</x:v>
      </x:c>
      <x:c r="P748" s="12" t="str">
        <x:v>STRL44G141</x:v>
      </x:c>
      <x:c r="Q748" s="12" t="str"/>
      <x:c r="R748" s="12" t="str"/>
      <x:c r="S748" s="12" t="str"/>
      <x:c r="T748" s="12" t="str">
        <x:v>ABM</x:v>
      </x:c>
      <x:c r="U748" s="12" t="str"/>
      <x:c r="V748" s="12" t="str"/>
      <x:c r="W748" s="12" t="str"/>
      <x:c r="X748" s="12" t="str">
        <x:v>STRL44</x:v>
      </x:c>
      <x:c r="Y748" s="12" t="str">
        <x:v>RAFIF &amp; YOGI</x:v>
      </x:c>
      <x:c r="Z748" s="12" t="str"/>
      <x:c r="AA748" s="32" t="n">
        <x:f>IFERROR(VLOOKUP(G748,Master_Unit!$A$2:$N$78,7,FALSE),"")</x:f>
        <x:v>20</x:v>
      </x:c>
      <x:c r="AB748" s="32" t="n">
        <x:f>IF(OR(N748="",AA748=""),"",N748-AA748)</x:f>
        <x:v>-15.882352941176471</x:v>
      </x:c>
      <x:c r="AC748" s="20" t="n">
        <x:f>IF(OR(N748="",AA748="",AA748=0),"",AB748/AA748)</x:f>
        <x:v>-0.7941176470588236</x:v>
      </x:c>
      <x:c r="AD748" t="str">
        <x:f>IF(AA748="","NO STANDARD",IF(AC748&lt;=Config_Status!$B$2,"EFFICIENT",IF(AC748&lt;=Config_Status!$B$3,"NORMAL",IF(AC748&lt;=Config_Status!$B$4,"WARNING","OVER CONSUMPTION"))))</x:f>
        <x:v>EFFICIENT</x:v>
      </x:c>
      <x:c r="AE748" t="str">
        <x:f>IFERROR(VLOOKUP(G748,Master_Unit!$A$2:$N$78,13,FALSE),"UNIT NOT FOUND")</x:f>
        <x:v>Matched</x:v>
      </x:c>
    </x:row>
    <x:row r="749">
      <x:c r="A749" s="12" t="str">
        <x:v>FU-20260610-00748</x:v>
      </x:c>
      <x:c r="B749" s="12" t="n">
        <x:v>878</x:v>
      </x:c>
      <x:c r="C749" s="14" t="n">
        <x:v>46183</x:v>
      </x:c>
      <x:c r="D749" s="12" t="str">
        <x:v>Rabu</x:v>
      </x:c>
      <x:c r="E749" s="12" t="str">
        <x:v>18:44:00</x:v>
      </x:c>
      <x:c r="F749" s="12" t="str">
        <x:v>All Shift Night</x:v>
      </x:c>
      <x:c r="G749" s="12" t="str">
        <x:v>STRL44G137</x:v>
      </x:c>
      <x:c r="H749" s="12" t="str">
        <x:v>Dump Truck</x:v>
      </x:c>
      <x:c r="I749" s="12" t="str">
        <x:v>DUMP TRUCK RENAULT KRANGE440-P6X4 A/T</x:v>
      </x:c>
      <x:c r="J749" s="16" t="n">
        <x:v>70</x:v>
      </x:c>
      <x:c r="K749" s="16" t="n">
        <x:v>6431</x:v>
      </x:c>
      <x:c r="L749" s="16" t="n">
        <x:v>6440</x:v>
      </x:c>
      <x:c r="M749" s="16" t="n">
        <x:v>9</x:v>
      </x:c>
      <x:c r="N749" s="16" t="n">
        <x:v>7.777777777777778</x:v>
      </x:c>
      <x:c r="O749" s="12" t="str">
        <x:v>FTRL44G004</x:v>
      </x:c>
      <x:c r="P749" s="12" t="str">
        <x:v>STRL44G137</x:v>
      </x:c>
      <x:c r="Q749" s="12" t="str"/>
      <x:c r="R749" s="12" t="str"/>
      <x:c r="S749" s="12" t="str"/>
      <x:c r="T749" s="12" t="str">
        <x:v>ABM</x:v>
      </x:c>
      <x:c r="U749" s="12" t="str"/>
      <x:c r="V749" s="12" t="str"/>
      <x:c r="W749" s="12" t="str"/>
      <x:c r="X749" s="12" t="str">
        <x:v>STRL44</x:v>
      </x:c>
      <x:c r="Y749" s="12" t="str">
        <x:v>RAFIF &amp; YOGI</x:v>
      </x:c>
      <x:c r="Z749" s="12" t="str"/>
      <x:c r="AA749" s="32" t="n">
        <x:f>IFERROR(VLOOKUP(G749,Master_Unit!$A$2:$N$78,7,FALSE),"")</x:f>
        <x:v>20</x:v>
      </x:c>
      <x:c r="AB749" s="32" t="n">
        <x:f>IF(OR(N749="",AA749=""),"",N749-AA749)</x:f>
        <x:v>-12.222222222222221</x:v>
      </x:c>
      <x:c r="AC749" s="20" t="n">
        <x:f>IF(OR(N749="",AA749="",AA749=0),"",AB749/AA749)</x:f>
        <x:v>-0.611111111111111</x:v>
      </x:c>
      <x:c r="AD749" t="str">
        <x:f>IF(AA749="","NO STANDARD",IF(AC749&lt;=Config_Status!$B$2,"EFFICIENT",IF(AC749&lt;=Config_Status!$B$3,"NORMAL",IF(AC749&lt;=Config_Status!$B$4,"WARNING","OVER CONSUMPTION"))))</x:f>
        <x:v>EFFICIENT</x:v>
      </x:c>
      <x:c r="AE749" t="str">
        <x:f>IFERROR(VLOOKUP(G749,Master_Unit!$A$2:$N$78,13,FALSE),"UNIT NOT FOUND")</x:f>
        <x:v>Matched</x:v>
      </x:c>
    </x:row>
    <x:row r="750">
      <x:c r="A750" s="12" t="str">
        <x:v>FU-20260610-00749</x:v>
      </x:c>
      <x:c r="B750" s="12" t="n">
        <x:v>879</x:v>
      </x:c>
      <x:c r="C750" s="14" t="n">
        <x:v>46183</x:v>
      </x:c>
      <x:c r="D750" s="12" t="str">
        <x:v>Rabu</x:v>
      </x:c>
      <x:c r="E750" s="12" t="str">
        <x:v>18:54:00</x:v>
      </x:c>
      <x:c r="F750" s="12" t="str">
        <x:v>All Shift Night</x:v>
      </x:c>
      <x:c r="G750" s="12" t="str">
        <x:v>STRL44G135</x:v>
      </x:c>
      <x:c r="H750" s="12" t="str">
        <x:v>Dump Truck</x:v>
      </x:c>
      <x:c r="I750" s="12" t="str">
        <x:v>DUMP TRUCK RENAULT KRANGE440-P6X4 A/T</x:v>
      </x:c>
      <x:c r="J750" s="16" t="n">
        <x:v>66</x:v>
      </x:c>
      <x:c r="K750" s="16" t="n">
        <x:v>5862</x:v>
      </x:c>
      <x:c r="L750" s="16" t="n">
        <x:v>5871</x:v>
      </x:c>
      <x:c r="M750" s="16" t="n">
        <x:v>9</x:v>
      </x:c>
      <x:c r="N750" s="16" t="n">
        <x:v>7.333333333333333</x:v>
      </x:c>
      <x:c r="O750" s="12" t="str">
        <x:v>FTRL44G004</x:v>
      </x:c>
      <x:c r="P750" s="12" t="str">
        <x:v>STRL44G135</x:v>
      </x:c>
      <x:c r="Q750" s="12" t="str"/>
      <x:c r="R750" s="12" t="str"/>
      <x:c r="S750" s="12" t="str"/>
      <x:c r="T750" s="12" t="str">
        <x:v>ABM</x:v>
      </x:c>
      <x:c r="U750" s="12" t="str"/>
      <x:c r="V750" s="12" t="str"/>
      <x:c r="W750" s="12" t="str"/>
      <x:c r="X750" s="12" t="str">
        <x:v>STRL44</x:v>
      </x:c>
      <x:c r="Y750" s="12" t="str">
        <x:v>RAFIF &amp; YOGI</x:v>
      </x:c>
      <x:c r="Z750" s="12" t="str"/>
      <x:c r="AA750" s="32" t="n">
        <x:f>IFERROR(VLOOKUP(G750,Master_Unit!$A$2:$N$78,7,FALSE),"")</x:f>
        <x:v>20</x:v>
      </x:c>
      <x:c r="AB750" s="32" t="n">
        <x:f>IF(OR(N750="",AA750=""),"",N750-AA750)</x:f>
        <x:v>-12.666666666666668</x:v>
      </x:c>
      <x:c r="AC750" s="20" t="n">
        <x:f>IF(OR(N750="",AA750="",AA750=0),"",AB750/AA750)</x:f>
        <x:v>-0.6333333333333334</x:v>
      </x:c>
      <x:c r="AD750" t="str">
        <x:f>IF(AA750="","NO STANDARD",IF(AC750&lt;=Config_Status!$B$2,"EFFICIENT",IF(AC750&lt;=Config_Status!$B$3,"NORMAL",IF(AC750&lt;=Config_Status!$B$4,"WARNING","OVER CONSUMPTION"))))</x:f>
        <x:v>EFFICIENT</x:v>
      </x:c>
      <x:c r="AE750" t="str">
        <x:f>IFERROR(VLOOKUP(G750,Master_Unit!$A$2:$N$78,13,FALSE),"UNIT NOT FOUND")</x:f>
        <x:v>Matched</x:v>
      </x:c>
    </x:row>
    <x:row r="751">
      <x:c r="A751" s="12" t="str">
        <x:v>FU-20260610-00750</x:v>
      </x:c>
      <x:c r="B751" s="12" t="n">
        <x:v>880</x:v>
      </x:c>
      <x:c r="C751" s="14" t="n">
        <x:v>46183</x:v>
      </x:c>
      <x:c r="D751" s="12" t="str">
        <x:v>Rabu</x:v>
      </x:c>
      <x:c r="E751" s="12" t="str">
        <x:v>19:02:00</x:v>
      </x:c>
      <x:c r="F751" s="12" t="str">
        <x:v>All Shift Night</x:v>
      </x:c>
      <x:c r="G751" s="12" t="str">
        <x:v>VRVV11G013</x:v>
      </x:c>
      <x:c r="H751" s="12" t="str">
        <x:v>Compactor</x:v>
      </x:c>
      <x:c r="I751" s="12" t="str">
        <x:v>VIBRO COMPACTOR VOLVO SD110NE</x:v>
      </x:c>
      <x:c r="J751" s="16" t="n">
        <x:v>75</x:v>
      </x:c>
      <x:c r="K751" s="16" t="n">
        <x:v>3204.1</x:v>
      </x:c>
      <x:c r="L751" s="16" t="n">
        <x:v>3211.9</x:v>
      </x:c>
      <x:c r="M751" s="16" t="n">
        <x:v>7.800000000000182</x:v>
      </x:c>
      <x:c r="N751" s="16" t="n">
        <x:v>9.615384615384391</x:v>
      </x:c>
      <x:c r="O751" s="12" t="str">
        <x:v>FTRL44G004</x:v>
      </x:c>
      <x:c r="P751" s="12" t="str">
        <x:v>VRVV11G013</x:v>
      </x:c>
      <x:c r="Q751" s="12" t="str"/>
      <x:c r="R751" s="12" t="str"/>
      <x:c r="S751" s="12" t="str"/>
      <x:c r="T751" s="12" t="str">
        <x:v>ABM</x:v>
      </x:c>
      <x:c r="U751" s="12" t="str"/>
      <x:c r="V751" s="12" t="str"/>
      <x:c r="W751" s="12" t="str"/>
      <x:c r="X751" s="12" t="str">
        <x:v>VRVV11</x:v>
      </x:c>
      <x:c r="Y751" s="12" t="str">
        <x:v>RAFIF &amp; YOGI</x:v>
      </x:c>
      <x:c r="Z751" s="12" t="str"/>
      <x:c r="AA751" s="32" t="n">
        <x:f>IFERROR(VLOOKUP(G751,Master_Unit!$A$2:$N$78,7,FALSE),"")</x:f>
        <x:v>15</x:v>
      </x:c>
      <x:c r="AB751" s="32" t="n">
        <x:f>IF(OR(N751="",AA751=""),"",N751-AA751)</x:f>
        <x:v>-5.384615384615609</x:v>
      </x:c>
      <x:c r="AC751" s="20" t="n">
        <x:f>IF(OR(N751="",AA751="",AA751=0),"",AB751/AA751)</x:f>
        <x:v>-0.3589743589743739</x:v>
      </x:c>
      <x:c r="AD751" t="str">
        <x:f>IF(AA751="","NO STANDARD",IF(AC751&lt;=Config_Status!$B$2,"EFFICIENT",IF(AC751&lt;=Config_Status!$B$3,"NORMAL",IF(AC751&lt;=Config_Status!$B$4,"WARNING","OVER CONSUMPTION"))))</x:f>
        <x:v>EFFICIENT</x:v>
      </x:c>
      <x:c r="AE751" t="str">
        <x:f>IFERROR(VLOOKUP(G751,Master_Unit!$A$2:$N$78,13,FALSE),"UNIT NOT FOUND")</x:f>
        <x:v>Matched</x:v>
      </x:c>
    </x:row>
    <x:row r="752">
      <x:c r="A752" s="12" t="str">
        <x:v>FU-20260610-00751</x:v>
      </x:c>
      <x:c r="B752" s="12" t="n">
        <x:v>881</x:v>
      </x:c>
      <x:c r="C752" s="14" t="n">
        <x:v>46183</x:v>
      </x:c>
      <x:c r="D752" s="12" t="str">
        <x:v>Rabu</x:v>
      </x:c>
      <x:c r="E752" s="12" t="str">
        <x:v>19:05:00</x:v>
      </x:c>
      <x:c r="F752" s="12" t="str">
        <x:v>All Shift Night</x:v>
      </x:c>
      <x:c r="G752" s="12" t="str">
        <x:v>EXVV21G035</x:v>
      </x:c>
      <x:c r="H752" s="12" t="str">
        <x:v>Excavator</x:v>
      </x:c>
      <x:c r="I752" s="12" t="str">
        <x:v>EXCAVATOR VOLVO EC210D</x:v>
      </x:c>
      <x:c r="J752" s="16" t="n">
        <x:v>81</x:v>
      </x:c>
      <x:c r="K752" s="16" t="n">
        <x:v>8406.5</x:v>
      </x:c>
      <x:c r="L752" s="16" t="n">
        <x:v>8416.2</x:v>
      </x:c>
      <x:c r="M752" s="16" t="n">
        <x:v>9.700000000000728</x:v>
      </x:c>
      <x:c r="N752" s="16" t="n">
        <x:v>8.3505154639169</x:v>
      </x:c>
      <x:c r="O752" s="12" t="str">
        <x:v>FTRL44G004</x:v>
      </x:c>
      <x:c r="P752" s="12" t="str">
        <x:v>EXVV21G035</x:v>
      </x:c>
      <x:c r="Q752" s="12" t="str"/>
      <x:c r="R752" s="12" t="str"/>
      <x:c r="S752" s="12" t="str"/>
      <x:c r="T752" s="12" t="str">
        <x:v>ABM</x:v>
      </x:c>
      <x:c r="U752" s="12" t="str"/>
      <x:c r="V752" s="12" t="str"/>
      <x:c r="W752" s="12" t="str"/>
      <x:c r="X752" s="12" t="str">
        <x:v>EXVV21</x:v>
      </x:c>
      <x:c r="Y752" s="12" t="str">
        <x:v>RAFIF &amp; YOGI</x:v>
      </x:c>
      <x:c r="Z752" s="12" t="str"/>
      <x:c r="AA752" s="32" t="n">
        <x:f>IFERROR(VLOOKUP(G752,Master_Unit!$A$2:$N$78,7,FALSE),"")</x:f>
        <x:v>20</x:v>
      </x:c>
      <x:c r="AB752" s="32" t="n">
        <x:f>IF(OR(N752="",AA752=""),"",N752-AA752)</x:f>
        <x:v>-11.6494845360831</x:v>
      </x:c>
      <x:c r="AC752" s="20" t="n">
        <x:f>IF(OR(N752="",AA752="",AA752=0),"",AB752/AA752)</x:f>
        <x:v>-0.5824742268041551</x:v>
      </x:c>
      <x:c r="AD752" t="str">
        <x:f>IF(AA752="","NO STANDARD",IF(AC752&lt;=Config_Status!$B$2,"EFFICIENT",IF(AC752&lt;=Config_Status!$B$3,"NORMAL",IF(AC752&lt;=Config_Status!$B$4,"WARNING","OVER CONSUMPTION"))))</x:f>
        <x:v>EFFICIENT</x:v>
      </x:c>
      <x:c r="AE752" t="str">
        <x:f>IFERROR(VLOOKUP(G752,Master_Unit!$A$2:$N$78,13,FALSE),"UNIT NOT FOUND")</x:f>
        <x:v>Matched</x:v>
      </x:c>
    </x:row>
    <x:row r="753">
      <x:c r="A753" s="12" t="str">
        <x:v>FU-20260610-00752</x:v>
      </x:c>
      <x:c r="B753" s="12" t="n">
        <x:v>882</x:v>
      </x:c>
      <x:c r="C753" s="14" t="n">
        <x:v>46183</x:v>
      </x:c>
      <x:c r="D753" s="12" t="str">
        <x:v>Rabu</x:v>
      </x:c>
      <x:c r="E753" s="12" t="str">
        <x:v>19:09:00</x:v>
      </x:c>
      <x:c r="F753" s="12" t="str">
        <x:v>All Shift Night</x:v>
      </x:c>
      <x:c r="G753" s="12" t="str">
        <x:v>EXVV35G005</x:v>
      </x:c>
      <x:c r="H753" s="12" t="str">
        <x:v>Excavator</x:v>
      </x:c>
      <x:c r="I753" s="12" t="str">
        <x:v>EXCAVATOR VOLVO EC350D</x:v>
      </x:c>
      <x:c r="J753" s="16" t="n">
        <x:v>143</x:v>
      </x:c>
      <x:c r="K753" s="16" t="n">
        <x:v>5202.4</x:v>
      </x:c>
      <x:c r="L753" s="16" t="n">
        <x:v>5212</x:v>
      </x:c>
      <x:c r="M753" s="16" t="n">
        <x:v>9.600000000000364</x:v>
      </x:c>
      <x:c r="N753" s="16" t="n">
        <x:v>14.895833333332769</x:v>
      </x:c>
      <x:c r="O753" s="12" t="str">
        <x:v>FTRL44G004</x:v>
      </x:c>
      <x:c r="P753" s="12" t="str">
        <x:v>EXVV35G005</x:v>
      </x:c>
      <x:c r="Q753" s="12" t="str"/>
      <x:c r="R753" s="12" t="str"/>
      <x:c r="S753" s="12" t="str"/>
      <x:c r="T753" s="12" t="str">
        <x:v>ABM</x:v>
      </x:c>
      <x:c r="U753" s="12" t="str"/>
      <x:c r="V753" s="12" t="str"/>
      <x:c r="W753" s="12" t="str"/>
      <x:c r="X753" s="12" t="str">
        <x:v>EXVV35</x:v>
      </x:c>
      <x:c r="Y753" s="12" t="str">
        <x:v>RAFIF &amp; YOGI</x:v>
      </x:c>
      <x:c r="Z753" s="12" t="str"/>
      <x:c r="AA753" s="32" t="n">
        <x:f>IFERROR(VLOOKUP(G753,Master_Unit!$A$2:$N$78,7,FALSE),"")</x:f>
        <x:v>25</x:v>
      </x:c>
      <x:c r="AB753" s="32" t="n">
        <x:f>IF(OR(N753="",AA753=""),"",N753-AA753)</x:f>
        <x:v>-10.104166666667231</x:v>
      </x:c>
      <x:c r="AC753" s="20" t="n">
        <x:f>IF(OR(N753="",AA753="",AA753=0),"",AB753/AA753)</x:f>
        <x:v>-0.4041666666666892</x:v>
      </x:c>
      <x:c r="AD753" t="str">
        <x:f>IF(AA753="","NO STANDARD",IF(AC753&lt;=Config_Status!$B$2,"EFFICIENT",IF(AC753&lt;=Config_Status!$B$3,"NORMAL",IF(AC753&lt;=Config_Status!$B$4,"WARNING","OVER CONSUMPTION"))))</x:f>
        <x:v>EFFICIENT</x:v>
      </x:c>
      <x:c r="AE753" t="str">
        <x:f>IFERROR(VLOOKUP(G753,Master_Unit!$A$2:$N$78,13,FALSE),"UNIT NOT FOUND")</x:f>
        <x:v>Matched</x:v>
      </x:c>
    </x:row>
    <x:row r="754">
      <x:c r="A754" s="12" t="str">
        <x:v>FU-20260610-00753</x:v>
      </x:c>
      <x:c r="B754" s="12" t="n">
        <x:v>883</x:v>
      </x:c>
      <x:c r="C754" s="14" t="n">
        <x:v>46183</x:v>
      </x:c>
      <x:c r="D754" s="12" t="str">
        <x:v>Rabu</x:v>
      </x:c>
      <x:c r="E754" s="12" t="str">
        <x:v>19:17:00</x:v>
      </x:c>
      <x:c r="F754" s="12" t="str">
        <x:v>All Shift Night</x:v>
      </x:c>
      <x:c r="G754" s="12" t="str">
        <x:v>EXVV21G039</x:v>
      </x:c>
      <x:c r="H754" s="12" t="str">
        <x:v>Excavator</x:v>
      </x:c>
      <x:c r="I754" s="12" t="str">
        <x:v>EXCAVATOR VOLVO EC210D</x:v>
      </x:c>
      <x:c r="J754" s="16" t="n">
        <x:v>98</x:v>
      </x:c>
      <x:c r="K754" s="16" t="n">
        <x:v>6295.5</x:v>
      </x:c>
      <x:c r="L754" s="16" t="n">
        <x:v>6300.4</x:v>
      </x:c>
      <x:c r="M754" s="16" t="n">
        <x:v>4.899999999999636</x:v>
      </x:c>
      <x:c r="N754" s="16" t="n">
        <x:v>20.000000000001485</x:v>
      </x:c>
      <x:c r="O754" s="12" t="str">
        <x:v>FTRL44G004</x:v>
      </x:c>
      <x:c r="P754" s="12" t="str">
        <x:v>EXVV21G039</x:v>
      </x:c>
      <x:c r="Q754" s="12" t="str"/>
      <x:c r="R754" s="12" t="str"/>
      <x:c r="S754" s="12" t="str"/>
      <x:c r="T754" s="12" t="str">
        <x:v>ABM</x:v>
      </x:c>
      <x:c r="U754" s="12" t="str"/>
      <x:c r="V754" s="12" t="str"/>
      <x:c r="W754" s="12" t="str"/>
      <x:c r="X754" s="12" t="str">
        <x:v>EXVV21</x:v>
      </x:c>
      <x:c r="Y754" s="12" t="str">
        <x:v>RAFIF &amp; YOGI</x:v>
      </x:c>
      <x:c r="Z754" s="12" t="str"/>
      <x:c r="AA754" s="32" t="n">
        <x:f>IFERROR(VLOOKUP(G754,Master_Unit!$A$2:$N$78,7,FALSE),"")</x:f>
        <x:v>20</x:v>
      </x:c>
      <x:c r="AB754" s="32" t="n">
        <x:f>IF(OR(N754="",AA754=""),"",N754-AA754)</x:f>
        <x:v>1.4850343177386094e-12</x:v>
      </x:c>
      <x:c r="AC754" s="20" t="n">
        <x:f>IF(OR(N754="",AA754="",AA754=0),"",AB754/AA754)</x:f>
        <x:v>7.425171588693046e-14</x:v>
      </x:c>
      <x:c r="AD754" t="str">
        <x:f>IF(AA754="","NO STANDARD",IF(AC754&lt;=Config_Status!$B$2,"EFFICIENT",IF(AC754&lt;=Config_Status!$B$3,"NORMAL",IF(AC754&lt;=Config_Status!$B$4,"WARNING","OVER CONSUMPTION"))))</x:f>
        <x:v>NORMAL</x:v>
      </x:c>
      <x:c r="AE754" t="str">
        <x:f>IFERROR(VLOOKUP(G754,Master_Unit!$A$2:$N$78,13,FALSE),"UNIT NOT FOUND")</x:f>
        <x:v>Matched</x:v>
      </x:c>
    </x:row>
    <x:row r="755">
      <x:c r="A755" s="12" t="str">
        <x:v>FU-20260610-00754</x:v>
      </x:c>
      <x:c r="B755" s="12" t="n">
        <x:v>884</x:v>
      </x:c>
      <x:c r="C755" s="14" t="n">
        <x:v>46183</x:v>
      </x:c>
      <x:c r="D755" s="12" t="str">
        <x:v>Rabu</x:v>
      </x:c>
      <x:c r="E755" s="12" t="str">
        <x:v>19:18:00</x:v>
      </x:c>
      <x:c r="F755" s="12" t="str">
        <x:v>All Shift Night</x:v>
      </x:c>
      <x:c r="G755" s="12" t="str">
        <x:v>TLYM50G017</x:v>
      </x:c>
      <x:c r="H755" s="12" t="str">
        <x:v>Other</x:v>
      </x:c>
      <x:c r="I755" s="12" t="str">
        <x:v>TOWERLAMP YAMAGEN YDG5001SE-D-TLD4</x:v>
      </x:c>
      <x:c r="J755" s="16" t="n">
        <x:v>16</x:v>
      </x:c>
      <x:c r="K755" s="16" t="n">
        <x:v>3385.2</x:v>
      </x:c>
      <x:c r="L755" s="16" t="n">
        <x:v>3395.46</x:v>
      </x:c>
      <x:c r="M755" s="16" t="n">
        <x:v>10.260000000000218</x:v>
      </x:c>
      <x:c r="N755" s="16" t="n">
        <x:v>1.5594541910331052</x:v>
      </x:c>
      <x:c r="O755" s="12" t="str">
        <x:v>FTRL44G004</x:v>
      </x:c>
      <x:c r="P755" s="12" t="str">
        <x:v>TLYM50G017</x:v>
      </x:c>
      <x:c r="Q755" s="12" t="str"/>
      <x:c r="R755" s="12" t="str"/>
      <x:c r="S755" s="12" t="str"/>
      <x:c r="T755" s="12" t="str">
        <x:v>ABM</x:v>
      </x:c>
      <x:c r="U755" s="12" t="str"/>
      <x:c r="V755" s="12" t="str"/>
      <x:c r="W755" s="12" t="str"/>
      <x:c r="X755" s="12" t="str">
        <x:v>TLYM50</x:v>
      </x:c>
      <x:c r="Y755" s="12" t="str">
        <x:v>RAFIF &amp; YOGI</x:v>
      </x:c>
      <x:c r="Z755" s="12" t="str"/>
      <x:c r="AA755" s="32" t="n">
        <x:f>IFERROR(VLOOKUP(G755,Master_Unit!$A$2:$N$78,7,FALSE),"")</x:f>
        <x:v>2</x:v>
      </x:c>
      <x:c r="AB755" s="32" t="n">
        <x:f>IF(OR(N755="",AA755=""),"",N755-AA755)</x:f>
        <x:v>-0.44054580896689477</x:v>
      </x:c>
      <x:c r="AC755" s="20" t="n">
        <x:f>IF(OR(N755="",AA755="",AA755=0),"",AB755/AA755)</x:f>
        <x:v>-0.22027290448344738</x:v>
      </x:c>
      <x:c r="AD755" t="str">
        <x:f>IF(AA755="","NO STANDARD",IF(AC755&lt;=Config_Status!$B$2,"EFFICIENT",IF(AC755&lt;=Config_Status!$B$3,"NORMAL",IF(AC755&lt;=Config_Status!$B$4,"WARNING","OVER CONSUMPTION"))))</x:f>
        <x:v>EFFICIENT</x:v>
      </x:c>
      <x:c r="AE755" t="str">
        <x:f>IFERROR(VLOOKUP(G755,Master_Unit!$A$2:$N$78,13,FALSE),"UNIT NOT FOUND")</x:f>
        <x:v>Matched</x:v>
      </x:c>
    </x:row>
    <x:row r="756">
      <x:c r="A756" s="12" t="str">
        <x:v>FU-20260610-00755</x:v>
      </x:c>
      <x:c r="B756" s="12" t="n">
        <x:v>885</x:v>
      </x:c>
      <x:c r="C756" s="14" t="n">
        <x:v>46183</x:v>
      </x:c>
      <x:c r="D756" s="12" t="str">
        <x:v>Rabu</x:v>
      </x:c>
      <x:c r="E756" s="12" t="str">
        <x:v>19:27:00</x:v>
      </x:c>
      <x:c r="F756" s="12" t="str">
        <x:v>All Shift Night</x:v>
      </x:c>
      <x:c r="G756" s="12" t="str">
        <x:v>EXVV21G042</x:v>
      </x:c>
      <x:c r="H756" s="12" t="str">
        <x:v>Excavator</x:v>
      </x:c>
      <x:c r="I756" s="12" t="str">
        <x:v>EXCAVATOR VOLVO EC210D</x:v>
      </x:c>
      <x:c r="J756" s="16" t="n">
        <x:v>100</x:v>
      </x:c>
      <x:c r="K756" s="16" t="n">
        <x:v>7748.4</x:v>
      </x:c>
      <x:c r="L756" s="16" t="n">
        <x:v>7758.9</x:v>
      </x:c>
      <x:c r="M756" s="16" t="n">
        <x:v>10.5</x:v>
      </x:c>
      <x:c r="N756" s="16" t="n">
        <x:v>9.523809523809524</x:v>
      </x:c>
      <x:c r="O756" s="12" t="str">
        <x:v>FTRL44G004</x:v>
      </x:c>
      <x:c r="P756" s="12" t="str">
        <x:v>EXVV21G042</x:v>
      </x:c>
      <x:c r="Q756" s="12" t="str"/>
      <x:c r="R756" s="12" t="str"/>
      <x:c r="S756" s="12" t="str"/>
      <x:c r="T756" s="12" t="str">
        <x:v>ABM</x:v>
      </x:c>
      <x:c r="U756" s="12" t="str"/>
      <x:c r="V756" s="12" t="str"/>
      <x:c r="W756" s="12" t="str"/>
      <x:c r="X756" s="12" t="str">
        <x:v>EXVV21</x:v>
      </x:c>
      <x:c r="Y756" s="12" t="str">
        <x:v>RAFIF &amp; YOGI</x:v>
      </x:c>
      <x:c r="Z756" s="12" t="str"/>
      <x:c r="AA756" s="32" t="n">
        <x:f>IFERROR(VLOOKUP(G756,Master_Unit!$A$2:$N$78,7,FALSE),"")</x:f>
        <x:v>20</x:v>
      </x:c>
      <x:c r="AB756" s="32" t="n">
        <x:f>IF(OR(N756="",AA756=""),"",N756-AA756)</x:f>
        <x:v>-10.476190476190476</x:v>
      </x:c>
      <x:c r="AC756" s="20" t="n">
        <x:f>IF(OR(N756="",AA756="",AA756=0),"",AB756/AA756)</x:f>
        <x:v>-0.5238095238095238</x:v>
      </x:c>
      <x:c r="AD756" t="str">
        <x:f>IF(AA756="","NO STANDARD",IF(AC756&lt;=Config_Status!$B$2,"EFFICIENT",IF(AC756&lt;=Config_Status!$B$3,"NORMAL",IF(AC756&lt;=Config_Status!$B$4,"WARNING","OVER CONSUMPTION"))))</x:f>
        <x:v>EFFICIENT</x:v>
      </x:c>
      <x:c r="AE756" t="str">
        <x:f>IFERROR(VLOOKUP(G756,Master_Unit!$A$2:$N$78,13,FALSE),"UNIT NOT FOUND")</x:f>
        <x:v>Matched</x:v>
      </x:c>
    </x:row>
    <x:row r="757">
      <x:c r="A757" s="12" t="str">
        <x:v>FU-20260610-00756</x:v>
      </x:c>
      <x:c r="B757" s="12" t="n">
        <x:v>886</x:v>
      </x:c>
      <x:c r="C757" s="14" t="n">
        <x:v>46183</x:v>
      </x:c>
      <x:c r="D757" s="12" t="str">
        <x:v>Rabu</x:v>
      </x:c>
      <x:c r="E757" s="12" t="str">
        <x:v>19:31:00</x:v>
      </x:c>
      <x:c r="F757" s="12" t="str">
        <x:v>All Shift Night</x:v>
      </x:c>
      <x:c r="G757" s="12" t="str">
        <x:v>EXVV35G007</x:v>
      </x:c>
      <x:c r="H757" s="12" t="str">
        <x:v>Excavator</x:v>
      </x:c>
      <x:c r="I757" s="12" t="str">
        <x:v>EXCAVATOR VOLVO EC350D</x:v>
      </x:c>
      <x:c r="J757" s="16" t="n">
        <x:v>112</x:v>
      </x:c>
      <x:c r="K757" s="16" t="n">
        <x:v>581</x:v>
      </x:c>
      <x:c r="L757" s="16" t="n">
        <x:v>582.6</x:v>
      </x:c>
      <x:c r="M757" s="16" t="n">
        <x:v>1.6000000000000227</x:v>
      </x:c>
      <x:c r="N757" s="16" t="n">
        <x:v>69.999999999999</x:v>
      </x:c>
      <x:c r="O757" s="12" t="str">
        <x:v>FTRL44G004</x:v>
      </x:c>
      <x:c r="P757" s="12" t="str">
        <x:v>EXVV35G007</x:v>
      </x:c>
      <x:c r="Q757" s="12" t="str"/>
      <x:c r="R757" s="12" t="str"/>
      <x:c r="S757" s="12" t="str"/>
      <x:c r="T757" s="12" t="str">
        <x:v>ABM</x:v>
      </x:c>
      <x:c r="U757" s="12" t="str"/>
      <x:c r="V757" s="12" t="str"/>
      <x:c r="W757" s="12" t="str"/>
      <x:c r="X757" s="12" t="str">
        <x:v>EXVV35</x:v>
      </x:c>
      <x:c r="Y757" s="12" t="str">
        <x:v>RAFIF &amp; YOGI</x:v>
      </x:c>
      <x:c r="Z757" s="12" t="str"/>
      <x:c r="AA757" s="32" t="n">
        <x:f>IFERROR(VLOOKUP(G757,Master_Unit!$A$2:$N$78,7,FALSE),"")</x:f>
        <x:v>25</x:v>
      </x:c>
      <x:c r="AB757" s="32" t="n">
        <x:f>IF(OR(N757="",AA757=""),"",N757-AA757)</x:f>
        <x:v>44.999999999999005</x:v>
      </x:c>
      <x:c r="AC757" s="20" t="n">
        <x:f>IF(OR(N757="",AA757="",AA757=0),"",AB757/AA757)</x:f>
        <x:v>1.7999999999999603</x:v>
      </x:c>
      <x:c r="AD757" t="str">
        <x:f>IF(AA757="","NO STANDARD",IF(AC757&lt;=Config_Status!$B$2,"EFFICIENT",IF(AC757&lt;=Config_Status!$B$3,"NORMAL",IF(AC757&lt;=Config_Status!$B$4,"WARNING","OVER CONSUMPTION"))))</x:f>
        <x:v>OVER CONSUMPTION</x:v>
      </x:c>
      <x:c r="AE757" t="str">
        <x:f>IFERROR(VLOOKUP(G757,Master_Unit!$A$2:$N$78,13,FALSE),"UNIT NOT FOUND")</x:f>
        <x:v>Matched</x:v>
      </x:c>
    </x:row>
    <x:row r="758">
      <x:c r="A758" s="12" t="str">
        <x:v>FU-20260610-00757</x:v>
      </x:c>
      <x:c r="B758" s="12" t="n">
        <x:v>887</x:v>
      </x:c>
      <x:c r="C758" s="14" t="n">
        <x:v>46183</x:v>
      </x:c>
      <x:c r="D758" s="12" t="str">
        <x:v>Rabu</x:v>
      </x:c>
      <x:c r="E758" s="12" t="str">
        <x:v>20:23:00</x:v>
      </x:c>
      <x:c r="F758" s="12" t="str">
        <x:v>All Shift Night</x:v>
      </x:c>
      <x:c r="G758" s="12" t="str">
        <x:v>STRL44G152</x:v>
      </x:c>
      <x:c r="H758" s="12" t="str">
        <x:v>Dump Truck</x:v>
      </x:c>
      <x:c r="I758" s="12" t="str">
        <x:v>DUMP TRUCK RENAULT KRANGE440-P6X4 A/T</x:v>
      </x:c>
      <x:c r="J758" s="16" t="n">
        <x:v>137</x:v>
      </x:c>
      <x:c r="K758" s="16" t="n">
        <x:v>3730</x:v>
      </x:c>
      <x:c r="L758" s="16" t="n">
        <x:v>3733</x:v>
      </x:c>
      <x:c r="M758" s="16" t="n">
        <x:v>3</x:v>
      </x:c>
      <x:c r="N758" s="16" t="n">
        <x:v>45.666666666666664</x:v>
      </x:c>
      <x:c r="O758" s="12" t="str">
        <x:v>FTRL44G004</x:v>
      </x:c>
      <x:c r="P758" s="12" t="str">
        <x:v>STRL44G152</x:v>
      </x:c>
      <x:c r="Q758" s="12" t="str"/>
      <x:c r="R758" s="12" t="str"/>
      <x:c r="S758" s="12" t="str"/>
      <x:c r="T758" s="12" t="str">
        <x:v>ABM</x:v>
      </x:c>
      <x:c r="U758" s="12" t="str"/>
      <x:c r="V758" s="12" t="str"/>
      <x:c r="W758" s="12" t="str"/>
      <x:c r="X758" s="12" t="str">
        <x:v>STRL44</x:v>
      </x:c>
      <x:c r="Y758" s="12" t="str">
        <x:v>RAFIF &amp; YOGI</x:v>
      </x:c>
      <x:c r="Z758" s="12" t="str"/>
      <x:c r="AA758" s="32" t="n">
        <x:f>IFERROR(VLOOKUP(G758,Master_Unit!$A$2:$N$78,7,FALSE),"")</x:f>
        <x:v>20</x:v>
      </x:c>
      <x:c r="AB758" s="32" t="n">
        <x:f>IF(OR(N758="",AA758=""),"",N758-AA758)</x:f>
        <x:v>25.666666666666664</x:v>
      </x:c>
      <x:c r="AC758" s="20" t="n">
        <x:f>IF(OR(N758="",AA758="",AA758=0),"",AB758/AA758)</x:f>
        <x:v>1.2833333333333332</x:v>
      </x:c>
      <x:c r="AD758" t="str">
        <x:f>IF(AA758="","NO STANDARD",IF(AC758&lt;=Config_Status!$B$2,"EFFICIENT",IF(AC758&lt;=Config_Status!$B$3,"NORMAL",IF(AC758&lt;=Config_Status!$B$4,"WARNING","OVER CONSUMPTION"))))</x:f>
        <x:v>OVER CONSUMPTION</x:v>
      </x:c>
      <x:c r="AE758" t="str">
        <x:f>IFERROR(VLOOKUP(G758,Master_Unit!$A$2:$N$78,13,FALSE),"UNIT NOT FOUND")</x:f>
        <x:v>Matched</x:v>
      </x:c>
    </x:row>
    <x:row r="759">
      <x:c r="A759" s="12" t="str">
        <x:v>FU-20260610-00758</x:v>
      </x:c>
      <x:c r="B759" s="12" t="n">
        <x:v>888</x:v>
      </x:c>
      <x:c r="C759" s="14" t="n">
        <x:v>46183</x:v>
      </x:c>
      <x:c r="D759" s="12" t="str">
        <x:v>Rabu</x:v>
      </x:c>
      <x:c r="E759" s="12" t="str">
        <x:v>20:49:00</x:v>
      </x:c>
      <x:c r="F759" s="12" t="str">
        <x:v>All Shift Night</x:v>
      </x:c>
      <x:c r="G759" s="12" t="str">
        <x:v>STRL44G140</x:v>
      </x:c>
      <x:c r="H759" s="12" t="str">
        <x:v>Dump Truck</x:v>
      </x:c>
      <x:c r="I759" s="12" t="str">
        <x:v>DUMP TRUCK RENAULT KRANGE440-P6X4 A/T</x:v>
      </x:c>
      <x:c r="J759" s="16" t="n">
        <x:v>210</x:v>
      </x:c>
      <x:c r="K759" s="16" t="n">
        <x:v>5136</x:v>
      </x:c>
      <x:c r="L759" s="16" t="n">
        <x:v>5145</x:v>
      </x:c>
      <x:c r="M759" s="16" t="n">
        <x:v>9</x:v>
      </x:c>
      <x:c r="N759" s="16" t="n">
        <x:v>23.333333333333332</x:v>
      </x:c>
      <x:c r="O759" s="12" t="str">
        <x:v>FTRL44G004</x:v>
      </x:c>
      <x:c r="P759" s="12" t="str">
        <x:v>STRL44G140</x:v>
      </x:c>
      <x:c r="Q759" s="12" t="str"/>
      <x:c r="R759" s="12" t="str"/>
      <x:c r="S759" s="12" t="str"/>
      <x:c r="T759" s="12" t="str">
        <x:v>ABM</x:v>
      </x:c>
      <x:c r="U759" s="12" t="str"/>
      <x:c r="V759" s="12" t="str"/>
      <x:c r="W759" s="12" t="str"/>
      <x:c r="X759" s="12" t="str">
        <x:v>STRL44</x:v>
      </x:c>
      <x:c r="Y759" s="12" t="str">
        <x:v>RAFIF &amp; YOGI</x:v>
      </x:c>
      <x:c r="Z759" s="12" t="str"/>
      <x:c r="AA759" s="32" t="n">
        <x:f>IFERROR(VLOOKUP(G759,Master_Unit!$A$2:$N$78,7,FALSE),"")</x:f>
        <x:v>20</x:v>
      </x:c>
      <x:c r="AB759" s="32" t="n">
        <x:f>IF(OR(N759="",AA759=""),"",N759-AA759)</x:f>
        <x:v>3.333333333333332</x:v>
      </x:c>
      <x:c r="AC759" s="20" t="n">
        <x:f>IF(OR(N759="",AA759="",AA759=0),"",AB759/AA759)</x:f>
        <x:v>0.1666666666666666</x:v>
      </x:c>
      <x:c r="AD759" t="str">
        <x:f>IF(AA759="","NO STANDARD",IF(AC759&lt;=Config_Status!$B$2,"EFFICIENT",IF(AC759&lt;=Config_Status!$B$3,"NORMAL",IF(AC759&lt;=Config_Status!$B$4,"WARNING","OVER CONSUMPTION"))))</x:f>
        <x:v>WARNING</x:v>
      </x:c>
      <x:c r="AE759" t="str">
        <x:f>IFERROR(VLOOKUP(G759,Master_Unit!$A$2:$N$78,13,FALSE),"UNIT NOT FOUND")</x:f>
        <x:v>Matched</x:v>
      </x:c>
    </x:row>
    <x:row r="760">
      <x:c r="A760" s="12" t="str">
        <x:v>FU-20260610-00759</x:v>
      </x:c>
      <x:c r="B760" s="12" t="n">
        <x:v>889</x:v>
      </x:c>
      <x:c r="C760" s="14" t="n">
        <x:v>46183</x:v>
      </x:c>
      <x:c r="D760" s="12" t="str">
        <x:v>Rabu</x:v>
      </x:c>
      <x:c r="E760" s="12" t="str">
        <x:v>20:50:00</x:v>
      </x:c>
      <x:c r="F760" s="12" t="str">
        <x:v>All Shift Night</x:v>
      </x:c>
      <x:c r="G760" s="12" t="str">
        <x:v>STRL44G142</x:v>
      </x:c>
      <x:c r="H760" s="12" t="str">
        <x:v>Dump Truck</x:v>
      </x:c>
      <x:c r="I760" s="12" t="str">
        <x:v>DUMP TRUCK RENAULT KRANGE440-P6X4 A/T</x:v>
      </x:c>
      <x:c r="J760" s="16" t="n">
        <x:v>160</x:v>
      </x:c>
      <x:c r="K760" s="16" t="n">
        <x:v>3372</x:v>
      </x:c>
      <x:c r="L760" s="16" t="n">
        <x:v>3381</x:v>
      </x:c>
      <x:c r="M760" s="16" t="n">
        <x:v>9</x:v>
      </x:c>
      <x:c r="N760" s="16" t="n">
        <x:v>17.77777777777778</x:v>
      </x:c>
      <x:c r="O760" s="12" t="str">
        <x:v>FTRL44G004</x:v>
      </x:c>
      <x:c r="P760" s="12" t="str">
        <x:v>STRL44G142</x:v>
      </x:c>
      <x:c r="Q760" s="12" t="str"/>
      <x:c r="R760" s="12" t="str"/>
      <x:c r="S760" s="12" t="str"/>
      <x:c r="T760" s="12" t="str">
        <x:v>ABM</x:v>
      </x:c>
      <x:c r="U760" s="12" t="str"/>
      <x:c r="V760" s="12" t="str"/>
      <x:c r="W760" s="12" t="str"/>
      <x:c r="X760" s="12" t="str">
        <x:v>STRL44</x:v>
      </x:c>
      <x:c r="Y760" s="12" t="str">
        <x:v>RAFIF &amp; YOGI</x:v>
      </x:c>
      <x:c r="Z760" s="12" t="str"/>
      <x:c r="AA760" s="32" t="n">
        <x:f>IFERROR(VLOOKUP(G760,Master_Unit!$A$2:$N$78,7,FALSE),"")</x:f>
        <x:v>20</x:v>
      </x:c>
      <x:c r="AB760" s="32" t="n">
        <x:f>IF(OR(N760="",AA760=""),"",N760-AA760)</x:f>
        <x:v>-2.2222222222222214</x:v>
      </x:c>
      <x:c r="AC760" s="20" t="n">
        <x:f>IF(OR(N760="",AA760="",AA760=0),"",AB760/AA760)</x:f>
        <x:v>-0.11111111111111108</x:v>
      </x:c>
      <x:c r="AD760" t="str">
        <x:f>IF(AA760="","NO STANDARD",IF(AC760&lt;=Config_Status!$B$2,"EFFICIENT",IF(AC760&lt;=Config_Status!$B$3,"NORMAL",IF(AC760&lt;=Config_Status!$B$4,"WARNING","OVER CONSUMPTION"))))</x:f>
        <x:v>EFFICIENT</x:v>
      </x:c>
      <x:c r="AE760" t="str">
        <x:f>IFERROR(VLOOKUP(G760,Master_Unit!$A$2:$N$78,13,FALSE),"UNIT NOT FOUND")</x:f>
        <x:v>Matched</x:v>
      </x:c>
    </x:row>
    <x:row r="761">
      <x:c r="A761" s="12" t="str">
        <x:v>FU-20260610-00760</x:v>
      </x:c>
      <x:c r="B761" s="12" t="n">
        <x:v>890</x:v>
      </x:c>
      <x:c r="C761" s="14" t="n">
        <x:v>46183</x:v>
      </x:c>
      <x:c r="D761" s="12" t="str">
        <x:v>Rabu</x:v>
      </x:c>
      <x:c r="E761" s="12" t="str">
        <x:v>20:56:00</x:v>
      </x:c>
      <x:c r="F761" s="12" t="str">
        <x:v>All Shift Night</x:v>
      </x:c>
      <x:c r="G761" s="12" t="str">
        <x:v>STRL44G139</x:v>
      </x:c>
      <x:c r="H761" s="12" t="str">
        <x:v>Dump Truck</x:v>
      </x:c>
      <x:c r="I761" s="12" t="str">
        <x:v>DUMP TRUCK RENAULT KRANGE440-P6X4 A/T</x:v>
      </x:c>
      <x:c r="J761" s="16" t="n">
        <x:v>103</x:v>
      </x:c>
      <x:c r="K761" s="16" t="n">
        <x:v>4997</x:v>
      </x:c>
      <x:c r="L761" s="16" t="n">
        <x:v>5008</x:v>
      </x:c>
      <x:c r="M761" s="16" t="n">
        <x:v>11</x:v>
      </x:c>
      <x:c r="N761" s="16" t="n">
        <x:v>9.363636363636363</x:v>
      </x:c>
      <x:c r="O761" s="12" t="str">
        <x:v>FTRL44G004</x:v>
      </x:c>
      <x:c r="P761" s="12" t="str">
        <x:v>STRL44G139</x:v>
      </x:c>
      <x:c r="Q761" s="12" t="str"/>
      <x:c r="R761" s="12" t="str"/>
      <x:c r="S761" s="12" t="str"/>
      <x:c r="T761" s="12" t="str">
        <x:v>ABM</x:v>
      </x:c>
      <x:c r="U761" s="12" t="str"/>
      <x:c r="V761" s="12" t="str"/>
      <x:c r="W761" s="12" t="str"/>
      <x:c r="X761" s="12" t="str">
        <x:v>STRL44</x:v>
      </x:c>
      <x:c r="Y761" s="12" t="str">
        <x:v>RAFIF &amp; YOGI</x:v>
      </x:c>
      <x:c r="Z761" s="12" t="str"/>
      <x:c r="AA761" s="32" t="n">
        <x:f>IFERROR(VLOOKUP(G761,Master_Unit!$A$2:$N$78,7,FALSE),"")</x:f>
        <x:v>20</x:v>
      </x:c>
      <x:c r="AB761" s="32" t="n">
        <x:f>IF(OR(N761="",AA761=""),"",N761-AA761)</x:f>
        <x:v>-10.636363636363637</x:v>
      </x:c>
      <x:c r="AC761" s="20" t="n">
        <x:f>IF(OR(N761="",AA761="",AA761=0),"",AB761/AA761)</x:f>
        <x:v>-0.5318181818181819</x:v>
      </x:c>
      <x:c r="AD761" t="str">
        <x:f>IF(AA761="","NO STANDARD",IF(AC761&lt;=Config_Status!$B$2,"EFFICIENT",IF(AC761&lt;=Config_Status!$B$3,"NORMAL",IF(AC761&lt;=Config_Status!$B$4,"WARNING","OVER CONSUMPTION"))))</x:f>
        <x:v>EFFICIENT</x:v>
      </x:c>
      <x:c r="AE761" t="str">
        <x:f>IFERROR(VLOOKUP(G761,Master_Unit!$A$2:$N$78,13,FALSE),"UNIT NOT FOUND")</x:f>
        <x:v>Matched</x:v>
      </x:c>
    </x:row>
    <x:row r="762">
      <x:c r="A762" s="12" t="str">
        <x:v>FU-20260610-00761</x:v>
      </x:c>
      <x:c r="B762" s="12" t="n">
        <x:v>891</x:v>
      </x:c>
      <x:c r="C762" s="14" t="n">
        <x:v>46183</x:v>
      </x:c>
      <x:c r="D762" s="12" t="str">
        <x:v>Rabu</x:v>
      </x:c>
      <x:c r="E762" s="12" t="str">
        <x:v>21:06:00</x:v>
      </x:c>
      <x:c r="F762" s="12" t="str">
        <x:v>All Shift Night</x:v>
      </x:c>
      <x:c r="G762" s="12" t="str">
        <x:v>STRL44G143</x:v>
      </x:c>
      <x:c r="H762" s="12" t="str">
        <x:v>Dump Truck</x:v>
      </x:c>
      <x:c r="I762" s="12" t="str">
        <x:v>DUMP TRUCK RENAULT KRANGE440-P6X4 A/T</x:v>
      </x:c>
      <x:c r="J762" s="16" t="n">
        <x:v>203</x:v>
      </x:c>
      <x:c r="K762" s="16" t="n">
        <x:v>5264</x:v>
      </x:c>
      <x:c r="L762" s="16" t="n">
        <x:v>5270</x:v>
      </x:c>
      <x:c r="M762" s="16" t="n">
        <x:v>6</x:v>
      </x:c>
      <x:c r="N762" s="16" t="n">
        <x:v>33.833333333333336</x:v>
      </x:c>
      <x:c r="O762" s="12" t="str">
        <x:v>FTRL44G004</x:v>
      </x:c>
      <x:c r="P762" s="12" t="str">
        <x:v>STRL44G143</x:v>
      </x:c>
      <x:c r="Q762" s="12" t="str"/>
      <x:c r="R762" s="12" t="str"/>
      <x:c r="S762" s="12" t="str"/>
      <x:c r="T762" s="12" t="str">
        <x:v>ABM</x:v>
      </x:c>
      <x:c r="U762" s="12" t="str"/>
      <x:c r="V762" s="12" t="str"/>
      <x:c r="W762" s="12" t="str"/>
      <x:c r="X762" s="12" t="str">
        <x:v>STRL44</x:v>
      </x:c>
      <x:c r="Y762" s="12" t="str">
        <x:v>RAFIF &amp; YOGI</x:v>
      </x:c>
      <x:c r="Z762" s="12" t="str"/>
      <x:c r="AA762" s="32" t="n">
        <x:f>IFERROR(VLOOKUP(G762,Master_Unit!$A$2:$N$78,7,FALSE),"")</x:f>
        <x:v>20</x:v>
      </x:c>
      <x:c r="AB762" s="32" t="n">
        <x:f>IF(OR(N762="",AA762=""),"",N762-AA762)</x:f>
        <x:v>13.833333333333336</x:v>
      </x:c>
      <x:c r="AC762" s="20" t="n">
        <x:f>IF(OR(N762="",AA762="",AA762=0),"",AB762/AA762)</x:f>
        <x:v>0.6916666666666668</x:v>
      </x:c>
      <x:c r="AD762" t="str">
        <x:f>IF(AA762="","NO STANDARD",IF(AC762&lt;=Config_Status!$B$2,"EFFICIENT",IF(AC762&lt;=Config_Status!$B$3,"NORMAL",IF(AC762&lt;=Config_Status!$B$4,"WARNING","OVER CONSUMPTION"))))</x:f>
        <x:v>OVER CONSUMPTION</x:v>
      </x:c>
      <x:c r="AE762" t="str">
        <x:f>IFERROR(VLOOKUP(G762,Master_Unit!$A$2:$N$78,13,FALSE),"UNIT NOT FOUND")</x:f>
        <x:v>Matched</x:v>
      </x:c>
    </x:row>
    <x:row r="763">
      <x:c r="A763" s="12" t="str">
        <x:v>FU-20260610-00762</x:v>
      </x:c>
      <x:c r="B763" s="12" t="n">
        <x:v>892</x:v>
      </x:c>
      <x:c r="C763" s="14" t="n">
        <x:v>46183</x:v>
      </x:c>
      <x:c r="D763" s="12" t="str">
        <x:v>Rabu</x:v>
      </x:c>
      <x:c r="E763" s="12" t="str">
        <x:v>18:23:00</x:v>
      </x:c>
      <x:c r="F763" s="12" t="str">
        <x:v>All Shift Night</x:v>
      </x:c>
      <x:c r="G763" s="12" t="str">
        <x:v>EXVV35G006</x:v>
      </x:c>
      <x:c r="H763" s="12" t="str">
        <x:v>Excavator</x:v>
      </x:c>
      <x:c r="I763" s="12" t="str">
        <x:v>EXCAVATOR VOLVO EC350D</x:v>
      </x:c>
      <x:c r="J763" s="16" t="n">
        <x:v>232</x:v>
      </x:c>
      <x:c r="K763" s="16" t="n">
        <x:v>3188.6</x:v>
      </x:c>
      <x:c r="L763" s="16" t="n">
        <x:v>3192.2</x:v>
      </x:c>
      <x:c r="M763" s="16" t="n">
        <x:v>3.599999999999909</x:v>
      </x:c>
      <x:c r="N763" s="16" t="n">
        <x:v>64.44444444444608</x:v>
      </x:c>
      <x:c r="O763" s="12" t="str">
        <x:v>FTRL44G005</x:v>
      </x:c>
      <x:c r="P763" s="12" t="str">
        <x:v>EXVV35G006</x:v>
      </x:c>
      <x:c r="Q763" s="12" t="str"/>
      <x:c r="R763" s="12" t="str"/>
      <x:c r="S763" s="12" t="str"/>
      <x:c r="T763" s="12" t="str">
        <x:v>ABM</x:v>
      </x:c>
      <x:c r="U763" s="12" t="str"/>
      <x:c r="V763" s="12" t="str"/>
      <x:c r="W763" s="12" t="str"/>
      <x:c r="X763" s="12" t="str">
        <x:v>EXVV35</x:v>
      </x:c>
      <x:c r="Y763" s="12" t="str">
        <x:v>BADRI &amp; KAMRAN</x:v>
      </x:c>
      <x:c r="Z763" s="12" t="str"/>
      <x:c r="AA763" s="32" t="n">
        <x:f>IFERROR(VLOOKUP(G763,Master_Unit!$A$2:$N$78,7,FALSE),"")</x:f>
        <x:v>25</x:v>
      </x:c>
      <x:c r="AB763" s="32" t="n">
        <x:f>IF(OR(N763="",AA763=""),"",N763-AA763)</x:f>
        <x:v>39.44444444444608</x:v>
      </x:c>
      <x:c r="AC763" s="20" t="n">
        <x:f>IF(OR(N763="",AA763="",AA763=0),"",AB763/AA763)</x:f>
        <x:v>1.577777777777843</x:v>
      </x:c>
      <x:c r="AD763" t="str">
        <x:f>IF(AA763="","NO STANDARD",IF(AC763&lt;=Config_Status!$B$2,"EFFICIENT",IF(AC763&lt;=Config_Status!$B$3,"NORMAL",IF(AC763&lt;=Config_Status!$B$4,"WARNING","OVER CONSUMPTION"))))</x:f>
        <x:v>OVER CONSUMPTION</x:v>
      </x:c>
      <x:c r="AE763" t="str">
        <x:f>IFERROR(VLOOKUP(G763,Master_Unit!$A$2:$N$78,13,FALSE),"UNIT NOT FOUND")</x:f>
        <x:v>Matched</x:v>
      </x:c>
    </x:row>
    <x:row r="764">
      <x:c r="A764" s="12" t="str">
        <x:v>FU-20260610-00763</x:v>
      </x:c>
      <x:c r="B764" s="12" t="n">
        <x:v>893</x:v>
      </x:c>
      <x:c r="C764" s="14" t="n">
        <x:v>46183</x:v>
      </x:c>
      <x:c r="D764" s="12" t="str">
        <x:v>Rabu</x:v>
      </x:c>
      <x:c r="E764" s="12" t="str">
        <x:v>18:31:00</x:v>
      </x:c>
      <x:c r="F764" s="12" t="str">
        <x:v>All Shift Night</x:v>
      </x:c>
      <x:c r="G764" s="12" t="str">
        <x:v>EXVV21G036</x:v>
      </x:c>
      <x:c r="H764" s="12" t="str">
        <x:v>Excavator</x:v>
      </x:c>
      <x:c r="I764" s="12" t="str">
        <x:v>EXCAVATOR VOLVO EC210D</x:v>
      </x:c>
      <x:c r="J764" s="16" t="n">
        <x:v>109</x:v>
      </x:c>
      <x:c r="K764" s="16" t="n">
        <x:v>7573.3</x:v>
      </x:c>
      <x:c r="L764" s="16" t="n">
        <x:v>7588.3</x:v>
      </x:c>
      <x:c r="M764" s="16" t="n">
        <x:v>15</x:v>
      </x:c>
      <x:c r="N764" s="16" t="n">
        <x:v>7.266666666666667</x:v>
      </x:c>
      <x:c r="O764" s="12" t="str">
        <x:v>FTRL44G005</x:v>
      </x:c>
      <x:c r="P764" s="12" t="str">
        <x:v>EXVV21G036</x:v>
      </x:c>
      <x:c r="Q764" s="12" t="str"/>
      <x:c r="R764" s="12" t="str"/>
      <x:c r="S764" s="12" t="str"/>
      <x:c r="T764" s="12" t="str">
        <x:v>ABM</x:v>
      </x:c>
      <x:c r="U764" s="12" t="str"/>
      <x:c r="V764" s="12" t="str"/>
      <x:c r="W764" s="12" t="str"/>
      <x:c r="X764" s="12" t="str">
        <x:v>EXVV21</x:v>
      </x:c>
      <x:c r="Y764" s="12" t="str">
        <x:v>BADRI &amp; KAMRAN</x:v>
      </x:c>
      <x:c r="Z764" s="12" t="str"/>
      <x:c r="AA764" s="32" t="n">
        <x:f>IFERROR(VLOOKUP(G764,Master_Unit!$A$2:$N$78,7,FALSE),"")</x:f>
        <x:v>20</x:v>
      </x:c>
      <x:c r="AB764" s="32" t="n">
        <x:f>IF(OR(N764="",AA764=""),"",N764-AA764)</x:f>
        <x:v>-12.733333333333334</x:v>
      </x:c>
      <x:c r="AC764" s="20" t="n">
        <x:f>IF(OR(N764="",AA764="",AA764=0),"",AB764/AA764)</x:f>
        <x:v>-0.6366666666666667</x:v>
      </x:c>
      <x:c r="AD764" t="str">
        <x:f>IF(AA764="","NO STANDARD",IF(AC764&lt;=Config_Status!$B$2,"EFFICIENT",IF(AC764&lt;=Config_Status!$B$3,"NORMAL",IF(AC764&lt;=Config_Status!$B$4,"WARNING","OVER CONSUMPTION"))))</x:f>
        <x:v>EFFICIENT</x:v>
      </x:c>
      <x:c r="AE764" t="str">
        <x:f>IFERROR(VLOOKUP(G764,Master_Unit!$A$2:$N$78,13,FALSE),"UNIT NOT FOUND")</x:f>
        <x:v>Matched</x:v>
      </x:c>
    </x:row>
    <x:row r="765">
      <x:c r="A765" s="12" t="str">
        <x:v>FU-20260610-00764</x:v>
      </x:c>
      <x:c r="B765" s="12" t="n">
        <x:v>894</x:v>
      </x:c>
      <x:c r="C765" s="14" t="n">
        <x:v>46183</x:v>
      </x:c>
      <x:c r="D765" s="12" t="str">
        <x:v>Rabu</x:v>
      </x:c>
      <x:c r="E765" s="12" t="str">
        <x:v>19:11:00</x:v>
      </x:c>
      <x:c r="F765" s="12" t="str">
        <x:v>All Shift Night</x:v>
      </x:c>
      <x:c r="G765" s="12" t="str">
        <x:v>EXVV21G041</x:v>
      </x:c>
      <x:c r="H765" s="12" t="str">
        <x:v>Excavator</x:v>
      </x:c>
      <x:c r="I765" s="12" t="str">
        <x:v>EXCAVATOR VOLVO EC210D</x:v>
      </x:c>
      <x:c r="J765" s="16" t="n">
        <x:v>208</x:v>
      </x:c>
      <x:c r="K765" s="16" t="n">
        <x:v>4545.4</x:v>
      </x:c>
      <x:c r="L765" s="16" t="n">
        <x:v>4554.7</x:v>
      </x:c>
      <x:c r="M765" s="16" t="n">
        <x:v>9.300000000000182</x:v>
      </x:c>
      <x:c r="N765" s="16" t="n">
        <x:v>22.365591397849023</x:v>
      </x:c>
      <x:c r="O765" s="12" t="str">
        <x:v>FTRL44G005</x:v>
      </x:c>
      <x:c r="P765" s="12" t="str">
        <x:v>EXVV21G041</x:v>
      </x:c>
      <x:c r="Q765" s="12" t="str"/>
      <x:c r="R765" s="12" t="str"/>
      <x:c r="S765" s="12" t="str"/>
      <x:c r="T765" s="12" t="str">
        <x:v>ABM</x:v>
      </x:c>
      <x:c r="U765" s="12" t="str"/>
      <x:c r="V765" s="12" t="str"/>
      <x:c r="W765" s="12" t="str"/>
      <x:c r="X765" s="12" t="str">
        <x:v>EXVV21</x:v>
      </x:c>
      <x:c r="Y765" s="12" t="str">
        <x:v>BADRI &amp; KAMRAN</x:v>
      </x:c>
      <x:c r="Z765" s="12" t="str"/>
      <x:c r="AA765" s="32" t="n">
        <x:f>IFERROR(VLOOKUP(G765,Master_Unit!$A$2:$N$78,7,FALSE),"")</x:f>
        <x:v>20</x:v>
      </x:c>
      <x:c r="AB765" s="32" t="n">
        <x:f>IF(OR(N765="",AA765=""),"",N765-AA765)</x:f>
        <x:v>2.3655913978490233</x:v>
      </x:c>
      <x:c r="AC765" s="20" t="n">
        <x:f>IF(OR(N765="",AA765="",AA765=0),"",AB765/AA765)</x:f>
        <x:v>0.11827956989245117</x:v>
      </x:c>
      <x:c r="AD765" t="str">
        <x:f>IF(AA765="","NO STANDARD",IF(AC765&lt;=Config_Status!$B$2,"EFFICIENT",IF(AC765&lt;=Config_Status!$B$3,"NORMAL",IF(AC765&lt;=Config_Status!$B$4,"WARNING","OVER CONSUMPTION"))))</x:f>
        <x:v>WARNING</x:v>
      </x:c>
      <x:c r="AE765" t="str">
        <x:f>IFERROR(VLOOKUP(G765,Master_Unit!$A$2:$N$78,13,FALSE),"UNIT NOT FOUND")</x:f>
        <x:v>Matched</x:v>
      </x:c>
    </x:row>
    <x:row r="766">
      <x:c r="A766" s="12" t="str">
        <x:v>FU-20260610-00765</x:v>
      </x:c>
      <x:c r="B766" s="12" t="n">
        <x:v>895</x:v>
      </x:c>
      <x:c r="C766" s="14" t="n">
        <x:v>46183</x:v>
      </x:c>
      <x:c r="D766" s="12" t="str">
        <x:v>Rabu</x:v>
      </x:c>
      <x:c r="E766" s="12" t="str">
        <x:v>19:22:00</x:v>
      </x:c>
      <x:c r="F766" s="12" t="str">
        <x:v>All Shift Night</x:v>
      </x:c>
      <x:c r="G766" s="12" t="str">
        <x:v>EXVV21G038</x:v>
      </x:c>
      <x:c r="H766" s="12" t="str">
        <x:v>Excavator</x:v>
      </x:c>
      <x:c r="I766" s="12" t="str">
        <x:v>EXCAVATOR VOLVO EC210D</x:v>
      </x:c>
      <x:c r="J766" s="16" t="n">
        <x:v>208</x:v>
      </x:c>
      <x:c r="K766" s="16" t="n">
        <x:v>4233.9</x:v>
      </x:c>
      <x:c r="L766" s="16" t="n">
        <x:v>4243.3</x:v>
      </x:c>
      <x:c r="M766" s="16" t="n">
        <x:v>9.400000000000546</x:v>
      </x:c>
      <x:c r="N766" s="16" t="n">
        <x:v>22.1276595744668</x:v>
      </x:c>
      <x:c r="O766" s="12" t="str">
        <x:v>FTRL44G005</x:v>
      </x:c>
      <x:c r="P766" s="12" t="str">
        <x:v>EXVV21G038</x:v>
      </x:c>
      <x:c r="Q766" s="12" t="str"/>
      <x:c r="R766" s="12" t="str"/>
      <x:c r="S766" s="12" t="str"/>
      <x:c r="T766" s="12" t="str">
        <x:v>ABM</x:v>
      </x:c>
      <x:c r="U766" s="12" t="str"/>
      <x:c r="V766" s="12" t="str"/>
      <x:c r="W766" s="12" t="str"/>
      <x:c r="X766" s="12" t="str">
        <x:v>EXVV21</x:v>
      </x:c>
      <x:c r="Y766" s="12" t="str">
        <x:v>BADRI &amp; KAMRAN</x:v>
      </x:c>
      <x:c r="Z766" s="12" t="str"/>
      <x:c r="AA766" s="32" t="n">
        <x:f>IFERROR(VLOOKUP(G766,Master_Unit!$A$2:$N$78,7,FALSE),"")</x:f>
        <x:v>20</x:v>
      </x:c>
      <x:c r="AB766" s="32" t="n">
        <x:f>IF(OR(N766="",AA766=""),"",N766-AA766)</x:f>
        <x:v>2.1276595744668008</x:v>
      </x:c>
      <x:c r="AC766" s="20" t="n">
        <x:f>IF(OR(N766="",AA766="",AA766=0),"",AB766/AA766)</x:f>
        <x:v>0.10638297872334004</x:v>
      </x:c>
      <x:c r="AD766" t="str">
        <x:f>IF(AA766="","NO STANDARD",IF(AC766&lt;=Config_Status!$B$2,"EFFICIENT",IF(AC766&lt;=Config_Status!$B$3,"NORMAL",IF(AC766&lt;=Config_Status!$B$4,"WARNING","OVER CONSUMPTION"))))</x:f>
        <x:v>WARNING</x:v>
      </x:c>
      <x:c r="AE766" t="str">
        <x:f>IFERROR(VLOOKUP(G766,Master_Unit!$A$2:$N$78,13,FALSE),"UNIT NOT FOUND")</x:f>
        <x:v>Matched</x:v>
      </x:c>
    </x:row>
    <x:row r="767">
      <x:c r="A767" s="12" t="str">
        <x:v>FU-20260610-00766</x:v>
      </x:c>
      <x:c r="B767" s="12" t="n">
        <x:v>896</x:v>
      </x:c>
      <x:c r="C767" s="14" t="n">
        <x:v>46183</x:v>
      </x:c>
      <x:c r="D767" s="12" t="str">
        <x:v>Rabu</x:v>
      </x:c>
      <x:c r="E767" s="12" t="str">
        <x:v>19:51:00</x:v>
      </x:c>
      <x:c r="F767" s="12" t="str">
        <x:v>All Shift Night</x:v>
      </x:c>
      <x:c r="G767" s="12" t="str">
        <x:v>STRL44G156</x:v>
      </x:c>
      <x:c r="H767" s="12" t="str">
        <x:v>Dump Truck</x:v>
      </x:c>
      <x:c r="I767" s="12" t="str">
        <x:v>DUMP TRUCK RENAULT KRANGE440-P6X4 A/T</x:v>
      </x:c>
      <x:c r="J767" s="16" t="n">
        <x:v>203</x:v>
      </x:c>
      <x:c r="K767" s="16" t="n">
        <x:v>3800</x:v>
      </x:c>
      <x:c r="L767" s="16" t="n">
        <x:v>3805</x:v>
      </x:c>
      <x:c r="M767" s="16" t="n">
        <x:v>5</x:v>
      </x:c>
      <x:c r="N767" s="16" t="n">
        <x:v>40.6</x:v>
      </x:c>
      <x:c r="O767" s="12" t="str">
        <x:v>FTRL44G005</x:v>
      </x:c>
      <x:c r="P767" s="12" t="str">
        <x:v>STRL44G156</x:v>
      </x:c>
      <x:c r="Q767" s="12" t="str"/>
      <x:c r="R767" s="12" t="str"/>
      <x:c r="S767" s="12" t="str"/>
      <x:c r="T767" s="12" t="str">
        <x:v>ABM</x:v>
      </x:c>
      <x:c r="U767" s="12" t="str"/>
      <x:c r="V767" s="12" t="str"/>
      <x:c r="W767" s="12" t="str"/>
      <x:c r="X767" s="12" t="str">
        <x:v>STRL44</x:v>
      </x:c>
      <x:c r="Y767" s="12" t="str">
        <x:v>BADRI &amp; KAMRAN</x:v>
      </x:c>
      <x:c r="Z767" s="12" t="str"/>
      <x:c r="AA767" s="32" t="n">
        <x:f>IFERROR(VLOOKUP(G767,Master_Unit!$A$2:$N$78,7,FALSE),"")</x:f>
        <x:v>20</x:v>
      </x:c>
      <x:c r="AB767" s="32" t="n">
        <x:f>IF(OR(N767="",AA767=""),"",N767-AA767)</x:f>
        <x:v>20.6</x:v>
      </x:c>
      <x:c r="AC767" s="20" t="n">
        <x:f>IF(OR(N767="",AA767="",AA767=0),"",AB767/AA767)</x:f>
        <x:v>1.03</x:v>
      </x:c>
      <x:c r="AD767" t="str">
        <x:f>IF(AA767="","NO STANDARD",IF(AC767&lt;=Config_Status!$B$2,"EFFICIENT",IF(AC767&lt;=Config_Status!$B$3,"NORMAL",IF(AC767&lt;=Config_Status!$B$4,"WARNING","OVER CONSUMPTION"))))</x:f>
        <x:v>OVER CONSUMPTION</x:v>
      </x:c>
      <x:c r="AE767" t="str">
        <x:f>IFERROR(VLOOKUP(G767,Master_Unit!$A$2:$N$78,13,FALSE),"UNIT NOT FOUND")</x:f>
        <x:v>Matched</x:v>
      </x:c>
    </x:row>
    <x:row r="768">
      <x:c r="A768" s="12" t="str">
        <x:v>FU-20260610-00767</x:v>
      </x:c>
      <x:c r="B768" s="12" t="n">
        <x:v>897</x:v>
      </x:c>
      <x:c r="C768" s="14" t="n">
        <x:v>46183</x:v>
      </x:c>
      <x:c r="D768" s="12" t="str">
        <x:v>Rabu</x:v>
      </x:c>
      <x:c r="E768" s="12" t="str">
        <x:v>19:56:00</x:v>
      </x:c>
      <x:c r="F768" s="12" t="str">
        <x:v>All Shift Night</x:v>
      </x:c>
      <x:c r="G768" s="12" t="str">
        <x:v>STRL44G153</x:v>
      </x:c>
      <x:c r="H768" s="12" t="str">
        <x:v>Dump Truck</x:v>
      </x:c>
      <x:c r="I768" s="12" t="str">
        <x:v>DUMP TRUCK RENAULT KRANGE440-P6X4 A/T</x:v>
      </x:c>
      <x:c r="J768" s="16" t="n">
        <x:v>224</x:v>
      </x:c>
      <x:c r="K768" s="16" t="n">
        <x:v>4018</x:v>
      </x:c>
      <x:c r="L768" s="16" t="n">
        <x:v>4025</x:v>
      </x:c>
      <x:c r="M768" s="16" t="n">
        <x:v>7</x:v>
      </x:c>
      <x:c r="N768" s="16" t="n">
        <x:v>32</x:v>
      </x:c>
      <x:c r="O768" s="12" t="str">
        <x:v>FTRL44G005</x:v>
      </x:c>
      <x:c r="P768" s="12" t="str">
        <x:v>STRL44G153</x:v>
      </x:c>
      <x:c r="Q768" s="12" t="str"/>
      <x:c r="R768" s="12" t="str"/>
      <x:c r="S768" s="12" t="str"/>
      <x:c r="T768" s="12" t="str">
        <x:v>ABM</x:v>
      </x:c>
      <x:c r="U768" s="12" t="str"/>
      <x:c r="V768" s="12" t="str"/>
      <x:c r="W768" s="12" t="str"/>
      <x:c r="X768" s="12" t="str">
        <x:v>STRL44</x:v>
      </x:c>
      <x:c r="Y768" s="12" t="str">
        <x:v>BADRI &amp; KAMRAN</x:v>
      </x:c>
      <x:c r="Z768" s="12" t="str"/>
      <x:c r="AA768" s="32" t="n">
        <x:f>IFERROR(VLOOKUP(G768,Master_Unit!$A$2:$N$78,7,FALSE),"")</x:f>
        <x:v>20</x:v>
      </x:c>
      <x:c r="AB768" s="32" t="n">
        <x:f>IF(OR(N768="",AA768=""),"",N768-AA768)</x:f>
        <x:v>12</x:v>
      </x:c>
      <x:c r="AC768" s="20" t="n">
        <x:f>IF(OR(N768="",AA768="",AA768=0),"",AB768/AA768)</x:f>
        <x:v>0.6</x:v>
      </x:c>
      <x:c r="AD768" t="str">
        <x:f>IF(AA768="","NO STANDARD",IF(AC768&lt;=Config_Status!$B$2,"EFFICIENT",IF(AC768&lt;=Config_Status!$B$3,"NORMAL",IF(AC768&lt;=Config_Status!$B$4,"WARNING","OVER CONSUMPTION"))))</x:f>
        <x:v>OVER CONSUMPTION</x:v>
      </x:c>
      <x:c r="AE768" t="str">
        <x:f>IFERROR(VLOOKUP(G768,Master_Unit!$A$2:$N$78,13,FALSE),"UNIT NOT FOUND")</x:f>
        <x:v>Matched</x:v>
      </x:c>
    </x:row>
    <x:row r="769">
      <x:c r="A769" s="12" t="str">
        <x:v>FU-20260610-00768</x:v>
      </x:c>
      <x:c r="B769" s="12" t="n">
        <x:v>898</x:v>
      </x:c>
      <x:c r="C769" s="14" t="n">
        <x:v>46183</x:v>
      </x:c>
      <x:c r="D769" s="12" t="str">
        <x:v>Rabu</x:v>
      </x:c>
      <x:c r="E769" s="12" t="str">
        <x:v>20:08:00</x:v>
      </x:c>
      <x:c r="F769" s="12" t="str">
        <x:v>All Shift Night</x:v>
      </x:c>
      <x:c r="G769" s="12" t="str">
        <x:v>STRL44G144</x:v>
      </x:c>
      <x:c r="H769" s="12" t="str">
        <x:v>Dump Truck</x:v>
      </x:c>
      <x:c r="I769" s="12" t="str">
        <x:v>DUMP TRUCK RENAULT KRANGE440-P6X4 A/T</x:v>
      </x:c>
      <x:c r="J769" s="16" t="n">
        <x:v>165</x:v>
      </x:c>
      <x:c r="K769" s="16" t="n">
        <x:v>1561</x:v>
      </x:c>
      <x:c r="L769" s="16" t="n">
        <x:v>1564</x:v>
      </x:c>
      <x:c r="M769" s="16" t="n">
        <x:v>3</x:v>
      </x:c>
      <x:c r="N769" s="16" t="n">
        <x:v>55</x:v>
      </x:c>
      <x:c r="O769" s="12" t="str">
        <x:v>FTRL44G005</x:v>
      </x:c>
      <x:c r="P769" s="12" t="str">
        <x:v>STRL44G144</x:v>
      </x:c>
      <x:c r="Q769" s="12" t="str"/>
      <x:c r="R769" s="12" t="str"/>
      <x:c r="S769" s="12" t="str"/>
      <x:c r="T769" s="12" t="str">
        <x:v>ABM</x:v>
      </x:c>
      <x:c r="U769" s="12" t="str"/>
      <x:c r="V769" s="12" t="str"/>
      <x:c r="W769" s="12" t="str"/>
      <x:c r="X769" s="12" t="str">
        <x:v>STRL44</x:v>
      </x:c>
      <x:c r="Y769" s="12" t="str">
        <x:v>BADRI &amp; KAMRAN</x:v>
      </x:c>
      <x:c r="Z769" s="12" t="str"/>
      <x:c r="AA769" s="32" t="n">
        <x:f>IFERROR(VLOOKUP(G769,Master_Unit!$A$2:$N$78,7,FALSE),"")</x:f>
        <x:v>20</x:v>
      </x:c>
      <x:c r="AB769" s="32" t="n">
        <x:f>IF(OR(N769="",AA769=""),"",N769-AA769)</x:f>
        <x:v>35</x:v>
      </x:c>
      <x:c r="AC769" s="20" t="n">
        <x:f>IF(OR(N769="",AA769="",AA769=0),"",AB769/AA769)</x:f>
        <x:v>1.75</x:v>
      </x:c>
      <x:c r="AD769" t="str">
        <x:f>IF(AA769="","NO STANDARD",IF(AC769&lt;=Config_Status!$B$2,"EFFICIENT",IF(AC769&lt;=Config_Status!$B$3,"NORMAL",IF(AC769&lt;=Config_Status!$B$4,"WARNING","OVER CONSUMPTION"))))</x:f>
        <x:v>OVER CONSUMPTION</x:v>
      </x:c>
      <x:c r="AE769" t="str">
        <x:f>IFERROR(VLOOKUP(G769,Master_Unit!$A$2:$N$78,13,FALSE),"UNIT NOT FOUND")</x:f>
        <x:v>Matched</x:v>
      </x:c>
    </x:row>
    <x:row r="770">
      <x:c r="A770" s="12" t="str">
        <x:v>FU-20260610-00769</x:v>
      </x:c>
      <x:c r="B770" s="12" t="n">
        <x:v>899</x:v>
      </x:c>
      <x:c r="C770" s="14" t="n">
        <x:v>46183</x:v>
      </x:c>
      <x:c r="D770" s="12" t="str">
        <x:v>Rabu</x:v>
      </x:c>
      <x:c r="E770" s="12" t="str">
        <x:v>20:16:00</x:v>
      </x:c>
      <x:c r="F770" s="12" t="str">
        <x:v>All Shift Night</x:v>
      </x:c>
      <x:c r="G770" s="12" t="str">
        <x:v>STRL44G146</x:v>
      </x:c>
      <x:c r="H770" s="12" t="str">
        <x:v>Dump Truck</x:v>
      </x:c>
      <x:c r="I770" s="12" t="str">
        <x:v>DUMP TRUCK RENAULT KRANGE440-P6X4 A/T</x:v>
      </x:c>
      <x:c r="J770" s="16" t="n">
        <x:v>193</x:v>
      </x:c>
      <x:c r="K770" s="16" t="n">
        <x:v>4962</x:v>
      </x:c>
      <x:c r="L770" s="16" t="n">
        <x:v>4970</x:v>
      </x:c>
      <x:c r="M770" s="16" t="n">
        <x:v>8</x:v>
      </x:c>
      <x:c r="N770" s="16" t="n">
        <x:v>24.125</x:v>
      </x:c>
      <x:c r="O770" s="12" t="str">
        <x:v>FTRL44G005</x:v>
      </x:c>
      <x:c r="P770" s="12" t="str">
        <x:v>STRL44G146</x:v>
      </x:c>
      <x:c r="Q770" s="12" t="str"/>
      <x:c r="R770" s="12" t="str"/>
      <x:c r="S770" s="12" t="str"/>
      <x:c r="T770" s="12" t="str">
        <x:v>ABM</x:v>
      </x:c>
      <x:c r="U770" s="12" t="str"/>
      <x:c r="V770" s="12" t="str"/>
      <x:c r="W770" s="12" t="str"/>
      <x:c r="X770" s="12" t="str">
        <x:v>STRL44</x:v>
      </x:c>
      <x:c r="Y770" s="12" t="str">
        <x:v>BADRI &amp; KAMRAN</x:v>
      </x:c>
      <x:c r="Z770" s="12" t="str"/>
      <x:c r="AA770" s="32" t="n">
        <x:f>IFERROR(VLOOKUP(G770,Master_Unit!$A$2:$N$78,7,FALSE),"")</x:f>
        <x:v>20</x:v>
      </x:c>
      <x:c r="AB770" s="32" t="n">
        <x:f>IF(OR(N770="",AA770=""),"",N770-AA770)</x:f>
        <x:v>4.125</x:v>
      </x:c>
      <x:c r="AC770" s="20" t="n">
        <x:f>IF(OR(N770="",AA770="",AA770=0),"",AB770/AA770)</x:f>
        <x:v>0.20625</x:v>
      </x:c>
      <x:c r="AD770" t="str">
        <x:f>IF(AA770="","NO STANDARD",IF(AC770&lt;=Config_Status!$B$2,"EFFICIENT",IF(AC770&lt;=Config_Status!$B$3,"NORMAL",IF(AC770&lt;=Config_Status!$B$4,"WARNING","OVER CONSUMPTION"))))</x:f>
        <x:v>OVER CONSUMPTION</x:v>
      </x:c>
      <x:c r="AE770" t="str">
        <x:f>IFERROR(VLOOKUP(G770,Master_Unit!$A$2:$N$78,13,FALSE),"UNIT NOT FOUND")</x:f>
        <x:v>Matched</x:v>
      </x:c>
    </x:row>
    <x:row r="771">
      <x:c r="A771" s="12" t="str">
        <x:v>FU-20260610-00770</x:v>
      </x:c>
      <x:c r="B771" s="12" t="n">
        <x:v>900</x:v>
      </x:c>
      <x:c r="C771" s="14" t="n">
        <x:v>46183</x:v>
      </x:c>
      <x:c r="D771" s="12" t="str">
        <x:v>Rabu</x:v>
      </x:c>
      <x:c r="E771" s="12" t="str">
        <x:v>20:21:00</x:v>
      </x:c>
      <x:c r="F771" s="12" t="str">
        <x:v>All Shift Night</x:v>
      </x:c>
      <x:c r="G771" s="12" t="str">
        <x:v>LVTH24R033</x:v>
      </x:c>
      <x:c r="H771" s="12" t="str">
        <x:v>Light Vehicle</x:v>
      </x:c>
      <x:c r="I771" s="12" t="str">
        <x:v>LIGHT VEHICLE TOYOTA HILUX</x:v>
      </x:c>
      <x:c r="J771" s="16" t="n">
        <x:v>19</x:v>
      </x:c>
      <x:c r="K771" s="16" t="n">
        <x:v>138940</x:v>
      </x:c>
      <x:c r="L771" s="16" t="n">
        <x:v>139097</x:v>
      </x:c>
      <x:c r="M771" s="16" t="n">
        <x:v>157</x:v>
      </x:c>
      <x:c r="N771" s="16" t="n">
        <x:v>0.12101910828025478</x:v>
      </x:c>
      <x:c r="O771" s="12" t="str">
        <x:v>FTRL44G005</x:v>
      </x:c>
      <x:c r="P771" s="12" t="str">
        <x:v>LVTH24R033</x:v>
      </x:c>
      <x:c r="Q771" s="12" t="str"/>
      <x:c r="R771" s="12" t="str"/>
      <x:c r="S771" s="12" t="str"/>
      <x:c r="T771" s="12" t="str">
        <x:v>ABM</x:v>
      </x:c>
      <x:c r="U771" s="12" t="str"/>
      <x:c r="V771" s="12" t="str"/>
      <x:c r="W771" s="12" t="str"/>
      <x:c r="X771" s="12" t="str">
        <x:v>LVTH24</x:v>
      </x:c>
      <x:c r="Y771" s="12" t="str">
        <x:v>BADRI &amp; KAMRAN</x:v>
      </x:c>
      <x:c r="Z771" s="12" t="str"/>
      <x:c r="AA771" s="32" t="n">
        <x:f>IFERROR(VLOOKUP(G771,Master_Unit!$A$2:$N$78,7,FALSE),"")</x:f>
        <x:v>0.2</x:v>
      </x:c>
      <x:c r="AB771" s="32" t="n">
        <x:f>IF(OR(N771="",AA771=""),"",N771-AA771)</x:f>
        <x:v>-0.07898089171974523</x:v>
      </x:c>
      <x:c r="AC771" s="20" t="n">
        <x:f>IF(OR(N771="",AA771="",AA771=0),"",AB771/AA771)</x:f>
        <x:v>-0.39490445859872614</x:v>
      </x:c>
      <x:c r="AD771" t="str">
        <x:f>IF(AA771="","NO STANDARD",IF(AC771&lt;=Config_Status!$B$2,"EFFICIENT",IF(AC771&lt;=Config_Status!$B$3,"NORMAL",IF(AC771&lt;=Config_Status!$B$4,"WARNING","OVER CONSUMPTION"))))</x:f>
        <x:v>EFFICIENT</x:v>
      </x:c>
      <x:c r="AE771" t="str">
        <x:f>IFERROR(VLOOKUP(G771,Master_Unit!$A$2:$N$78,13,FALSE),"UNIT NOT FOUND")</x:f>
        <x:v>Matched</x:v>
      </x:c>
    </x:row>
    <x:row r="772">
      <x:c r="A772" s="12" t="str">
        <x:v>FU-20260610-00771</x:v>
      </x:c>
      <x:c r="B772" s="12" t="n">
        <x:v>901</x:v>
      </x:c>
      <x:c r="C772" s="14" t="n">
        <x:v>46183</x:v>
      </x:c>
      <x:c r="D772" s="12" t="str">
        <x:v>Rabu</x:v>
      </x:c>
      <x:c r="E772" s="12" t="str">
        <x:v>20:32:00</x:v>
      </x:c>
      <x:c r="F772" s="12" t="str">
        <x:v>All Shift Night</x:v>
      </x:c>
      <x:c r="G772" s="12" t="str">
        <x:v>STRL44G151</x:v>
      </x:c>
      <x:c r="H772" s="12" t="str">
        <x:v>Dump Truck</x:v>
      </x:c>
      <x:c r="I772" s="12" t="str">
        <x:v>DUMP TRUCK RENAULT KRANGE440-P6X4 A/T</x:v>
      </x:c>
      <x:c r="J772" s="16" t="n">
        <x:v>203</x:v>
      </x:c>
      <x:c r="K772" s="16" t="n">
        <x:v>4421</x:v>
      </x:c>
      <x:c r="L772" s="16" t="n">
        <x:v>4430</x:v>
      </x:c>
      <x:c r="M772" s="16" t="n">
        <x:v>9</x:v>
      </x:c>
      <x:c r="N772" s="16" t="n">
        <x:v>22.555555555555557</x:v>
      </x:c>
      <x:c r="O772" s="12" t="str">
        <x:v>FTRL44G005</x:v>
      </x:c>
      <x:c r="P772" s="12" t="str">
        <x:v>STRL44G151</x:v>
      </x:c>
      <x:c r="Q772" s="12" t="str"/>
      <x:c r="R772" s="12" t="str"/>
      <x:c r="S772" s="12" t="str"/>
      <x:c r="T772" s="12" t="str">
        <x:v>ABM</x:v>
      </x:c>
      <x:c r="U772" s="12" t="str"/>
      <x:c r="V772" s="12" t="str"/>
      <x:c r="W772" s="12" t="str"/>
      <x:c r="X772" s="12" t="str">
        <x:v>STRL44</x:v>
      </x:c>
      <x:c r="Y772" s="12" t="str">
        <x:v>BADRI &amp; KAMRAN</x:v>
      </x:c>
      <x:c r="Z772" s="12" t="str"/>
      <x:c r="AA772" s="32" t="n">
        <x:f>IFERROR(VLOOKUP(G772,Master_Unit!$A$2:$N$78,7,FALSE),"")</x:f>
        <x:v>20</x:v>
      </x:c>
      <x:c r="AB772" s="32" t="n">
        <x:f>IF(OR(N772="",AA772=""),"",N772-AA772)</x:f>
        <x:v>2.555555555555557</x:v>
      </x:c>
      <x:c r="AC772" s="20" t="n">
        <x:f>IF(OR(N772="",AA772="",AA772=0),"",AB772/AA772)</x:f>
        <x:v>0.12777777777777785</x:v>
      </x:c>
      <x:c r="AD772" t="str">
        <x:f>IF(AA772="","NO STANDARD",IF(AC772&lt;=Config_Status!$B$2,"EFFICIENT",IF(AC772&lt;=Config_Status!$B$3,"NORMAL",IF(AC772&lt;=Config_Status!$B$4,"WARNING","OVER CONSUMPTION"))))</x:f>
        <x:v>WARNING</x:v>
      </x:c>
      <x:c r="AE772" t="str">
        <x:f>IFERROR(VLOOKUP(G772,Master_Unit!$A$2:$N$78,13,FALSE),"UNIT NOT FOUND")</x:f>
        <x:v>Matched</x:v>
      </x:c>
    </x:row>
    <x:row r="773">
      <x:c r="A773" s="12" t="str">
        <x:v>FU-20260610-00772</x:v>
      </x:c>
      <x:c r="B773" s="12" t="n">
        <x:v>902</x:v>
      </x:c>
      <x:c r="C773" s="14" t="n">
        <x:v>46183</x:v>
      </x:c>
      <x:c r="D773" s="12" t="str">
        <x:v>Rabu</x:v>
      </x:c>
      <x:c r="E773" s="12" t="str">
        <x:v>20:39:00</x:v>
      </x:c>
      <x:c r="F773" s="12" t="str">
        <x:v>All Shift Night</x:v>
      </x:c>
      <x:c r="G773" s="12" t="str">
        <x:v>STRL44G157</x:v>
      </x:c>
      <x:c r="H773" s="12" t="str">
        <x:v>Dump Truck</x:v>
      </x:c>
      <x:c r="I773" s="12" t="str">
        <x:v>DUMP TRUCK RENAULT KRANGE440-P6X4 A/T</x:v>
      </x:c>
      <x:c r="J773" s="16" t="n">
        <x:v>203</x:v>
      </x:c>
      <x:c r="K773" s="16" t="n">
        <x:v>4090</x:v>
      </x:c>
      <x:c r="L773" s="16" t="n">
        <x:v>4099</x:v>
      </x:c>
      <x:c r="M773" s="16" t="n">
        <x:v>9</x:v>
      </x:c>
      <x:c r="N773" s="16" t="n">
        <x:v>22.555555555555557</x:v>
      </x:c>
      <x:c r="O773" s="12" t="str">
        <x:v>FTRL44G005</x:v>
      </x:c>
      <x:c r="P773" s="12" t="str">
        <x:v>STRL44G157</x:v>
      </x:c>
      <x:c r="Q773" s="12" t="str"/>
      <x:c r="R773" s="12" t="str"/>
      <x:c r="S773" s="12" t="str"/>
      <x:c r="T773" s="12" t="str">
        <x:v>ABM</x:v>
      </x:c>
      <x:c r="U773" s="12" t="str"/>
      <x:c r="V773" s="12" t="str"/>
      <x:c r="W773" s="12" t="str"/>
      <x:c r="X773" s="12" t="str">
        <x:v>STRL44</x:v>
      </x:c>
      <x:c r="Y773" s="12" t="str">
        <x:v>BADRI &amp; KAMRAN</x:v>
      </x:c>
      <x:c r="Z773" s="12" t="str"/>
      <x:c r="AA773" s="32" t="n">
        <x:f>IFERROR(VLOOKUP(G773,Master_Unit!$A$2:$N$78,7,FALSE),"")</x:f>
        <x:v>20</x:v>
      </x:c>
      <x:c r="AB773" s="32" t="n">
        <x:f>IF(OR(N773="",AA773=""),"",N773-AA773)</x:f>
        <x:v>2.555555555555557</x:v>
      </x:c>
      <x:c r="AC773" s="20" t="n">
        <x:f>IF(OR(N773="",AA773="",AA773=0),"",AB773/AA773)</x:f>
        <x:v>0.12777777777777785</x:v>
      </x:c>
      <x:c r="AD773" t="str">
        <x:f>IF(AA773="","NO STANDARD",IF(AC773&lt;=Config_Status!$B$2,"EFFICIENT",IF(AC773&lt;=Config_Status!$B$3,"NORMAL",IF(AC773&lt;=Config_Status!$B$4,"WARNING","OVER CONSUMPTION"))))</x:f>
        <x:v>WARNING</x:v>
      </x:c>
      <x:c r="AE773" t="str">
        <x:f>IFERROR(VLOOKUP(G773,Master_Unit!$A$2:$N$78,13,FALSE),"UNIT NOT FOUND")</x:f>
        <x:v>Matched</x:v>
      </x:c>
    </x:row>
    <x:row r="774">
      <x:c r="A774" s="12" t="str">
        <x:v>FU-20260610-00773</x:v>
      </x:c>
      <x:c r="B774" s="12" t="n">
        <x:v>903</x:v>
      </x:c>
      <x:c r="C774" s="14" t="n">
        <x:v>46183</x:v>
      </x:c>
      <x:c r="D774" s="12" t="str">
        <x:v>Rabu</x:v>
      </x:c>
      <x:c r="E774" s="12" t="str">
        <x:v>20:43:00</x:v>
      </x:c>
      <x:c r="F774" s="12" t="str">
        <x:v>All Shift Night</x:v>
      </x:c>
      <x:c r="G774" s="12" t="str">
        <x:v>STRL44G145</x:v>
      </x:c>
      <x:c r="H774" s="12" t="str">
        <x:v>Dump Truck</x:v>
      </x:c>
      <x:c r="I774" s="12" t="str">
        <x:v>DUMP TRUCK RENAULT KRANGE440-P6X4 A/T</x:v>
      </x:c>
      <x:c r="J774" s="16" t="n">
        <x:v>203</x:v>
      </x:c>
      <x:c r="K774" s="16" t="n">
        <x:v>4970</x:v>
      </x:c>
      <x:c r="L774" s="16" t="n">
        <x:v>4979</x:v>
      </x:c>
      <x:c r="M774" s="16" t="n">
        <x:v>9</x:v>
      </x:c>
      <x:c r="N774" s="16" t="n">
        <x:v>22.555555555555557</x:v>
      </x:c>
      <x:c r="O774" s="12" t="str">
        <x:v>FTRL44G005</x:v>
      </x:c>
      <x:c r="P774" s="12" t="str">
        <x:v>STRL44G145</x:v>
      </x:c>
      <x:c r="Q774" s="12" t="str"/>
      <x:c r="R774" s="12" t="str"/>
      <x:c r="S774" s="12" t="str"/>
      <x:c r="T774" s="12" t="str">
        <x:v>ABM</x:v>
      </x:c>
      <x:c r="U774" s="12" t="str"/>
      <x:c r="V774" s="12" t="str"/>
      <x:c r="W774" s="12" t="str"/>
      <x:c r="X774" s="12" t="str">
        <x:v>STRL44</x:v>
      </x:c>
      <x:c r="Y774" s="12" t="str">
        <x:v>BADRI &amp; KAMRAN</x:v>
      </x:c>
      <x:c r="Z774" s="12" t="str"/>
      <x:c r="AA774" s="32" t="n">
        <x:f>IFERROR(VLOOKUP(G774,Master_Unit!$A$2:$N$78,7,FALSE),"")</x:f>
        <x:v>20</x:v>
      </x:c>
      <x:c r="AB774" s="32" t="n">
        <x:f>IF(OR(N774="",AA774=""),"",N774-AA774)</x:f>
        <x:v>2.555555555555557</x:v>
      </x:c>
      <x:c r="AC774" s="20" t="n">
        <x:f>IF(OR(N774="",AA774="",AA774=0),"",AB774/AA774)</x:f>
        <x:v>0.12777777777777785</x:v>
      </x:c>
      <x:c r="AD774" t="str">
        <x:f>IF(AA774="","NO STANDARD",IF(AC774&lt;=Config_Status!$B$2,"EFFICIENT",IF(AC774&lt;=Config_Status!$B$3,"NORMAL",IF(AC774&lt;=Config_Status!$B$4,"WARNING","OVER CONSUMPTION"))))</x:f>
        <x:v>WARNING</x:v>
      </x:c>
      <x:c r="AE774" t="str">
        <x:f>IFERROR(VLOOKUP(G774,Master_Unit!$A$2:$N$78,13,FALSE),"UNIT NOT FOUND")</x:f>
        <x:v>Matched</x:v>
      </x:c>
    </x:row>
    <x:row r="775">
      <x:c r="A775" s="12" t="str">
        <x:v>FU-20260610-00774</x:v>
      </x:c>
      <x:c r="B775" s="12" t="n">
        <x:v>904</x:v>
      </x:c>
      <x:c r="C775" s="14" t="n">
        <x:v>46183</x:v>
      </x:c>
      <x:c r="D775" s="12" t="str">
        <x:v>Rabu</x:v>
      </x:c>
      <x:c r="E775" s="12" t="str">
        <x:v>20:48:00</x:v>
      </x:c>
      <x:c r="F775" s="12" t="str">
        <x:v>All Shift Night</x:v>
      </x:c>
      <x:c r="G775" s="12" t="str">
        <x:v>STRL44G149</x:v>
      </x:c>
      <x:c r="H775" s="12" t="str">
        <x:v>Dump Truck</x:v>
      </x:c>
      <x:c r="I775" s="12" t="str">
        <x:v>DUMP TRUCK RENAULT KRANGE440-P6X4 A/T</x:v>
      </x:c>
      <x:c r="J775" s="16" t="n">
        <x:v>204</x:v>
      </x:c>
      <x:c r="K775" s="16" t="n">
        <x:v>4322</x:v>
      </x:c>
      <x:c r="L775" s="16" t="n">
        <x:v>4330</x:v>
      </x:c>
      <x:c r="M775" s="16" t="n">
        <x:v>8</x:v>
      </x:c>
      <x:c r="N775" s="16" t="n">
        <x:v>25.5</x:v>
      </x:c>
      <x:c r="O775" s="12" t="str">
        <x:v>FTRL44G005</x:v>
      </x:c>
      <x:c r="P775" s="12" t="str">
        <x:v>STRL44G149</x:v>
      </x:c>
      <x:c r="Q775" s="12" t="str"/>
      <x:c r="R775" s="12" t="str"/>
      <x:c r="S775" s="12" t="str"/>
      <x:c r="T775" s="12" t="str">
        <x:v>ABM</x:v>
      </x:c>
      <x:c r="U775" s="12" t="str"/>
      <x:c r="V775" s="12" t="str"/>
      <x:c r="W775" s="12" t="str"/>
      <x:c r="X775" s="12" t="str">
        <x:v>STRL44</x:v>
      </x:c>
      <x:c r="Y775" s="12" t="str">
        <x:v>BADRI &amp; KAMRAN</x:v>
      </x:c>
      <x:c r="Z775" s="12" t="str"/>
      <x:c r="AA775" s="32" t="n">
        <x:f>IFERROR(VLOOKUP(G775,Master_Unit!$A$2:$N$78,7,FALSE),"")</x:f>
        <x:v>20</x:v>
      </x:c>
      <x:c r="AB775" s="32" t="n">
        <x:f>IF(OR(N775="",AA775=""),"",N775-AA775)</x:f>
        <x:v>5.5</x:v>
      </x:c>
      <x:c r="AC775" s="20" t="n">
        <x:f>IF(OR(N775="",AA775="",AA775=0),"",AB775/AA775)</x:f>
        <x:v>0.275</x:v>
      </x:c>
      <x:c r="AD775" t="str">
        <x:f>IF(AA775="","NO STANDARD",IF(AC775&lt;=Config_Status!$B$2,"EFFICIENT",IF(AC775&lt;=Config_Status!$B$3,"NORMAL",IF(AC775&lt;=Config_Status!$B$4,"WARNING","OVER CONSUMPTION"))))</x:f>
        <x:v>OVER CONSUMPTION</x:v>
      </x:c>
      <x:c r="AE775" t="str">
        <x:f>IFERROR(VLOOKUP(G775,Master_Unit!$A$2:$N$78,13,FALSE),"UNIT NOT FOUND")</x:f>
        <x:v>Matched</x:v>
      </x:c>
    </x:row>
    <x:row r="776">
      <x:c r="A776" s="12" t="str">
        <x:v>FU-20260611-00775</x:v>
      </x:c>
      <x:c r="B776" s="12" t="n">
        <x:v>905</x:v>
      </x:c>
      <x:c r="C776" s="14" t="n">
        <x:v>46184</x:v>
      </x:c>
      <x:c r="D776" s="12" t="str">
        <x:v>Kamis</x:v>
      </x:c>
      <x:c r="E776" s="12" t="str">
        <x:v>08:05:00</x:v>
      </x:c>
      <x:c r="F776" s="12" t="str">
        <x:v>All Shift Day</x:v>
      </x:c>
      <x:c r="G776" s="12" t="str">
        <x:v>EXVV21G041</x:v>
      </x:c>
      <x:c r="H776" s="12" t="str">
        <x:v>Excavator</x:v>
      </x:c>
      <x:c r="I776" s="12" t="str">
        <x:v>EXCAVATOR VOLVO EC210D</x:v>
      </x:c>
      <x:c r="J776" s="16" t="n">
        <x:v>202</x:v>
      </x:c>
      <x:c r="K776" s="16" t="n">
        <x:v>4554.7</x:v>
      </x:c>
      <x:c r="L776" s="16" t="n">
        <x:v>4564.9</x:v>
      </x:c>
      <x:c r="M776" s="16" t="n">
        <x:v>10.199999999999818</x:v>
      </x:c>
      <x:c r="N776" s="16" t="n">
        <x:v>19.803921568627803</x:v>
      </x:c>
      <x:c r="O776" s="12" t="str">
        <x:v>FTRL44G005</x:v>
      </x:c>
      <x:c r="P776" s="12" t="str">
        <x:v>EXVV21G041</x:v>
      </x:c>
      <x:c r="Q776" s="12" t="str"/>
      <x:c r="R776" s="12" t="str"/>
      <x:c r="S776" s="12" t="str"/>
      <x:c r="T776" s="12" t="str">
        <x:v>ABM</x:v>
      </x:c>
      <x:c r="U776" s="12" t="str"/>
      <x:c r="V776" s="12" t="str"/>
      <x:c r="W776" s="12" t="str"/>
      <x:c r="X776" s="12" t="str">
        <x:v>EXVV21</x:v>
      </x:c>
      <x:c r="Y776" s="12" t="str">
        <x:v>ANDI &amp; ANGGI</x:v>
      </x:c>
      <x:c r="Z776" s="12" t="str"/>
      <x:c r="AA776" s="32" t="n">
        <x:f>IFERROR(VLOOKUP(G776,Master_Unit!$A$2:$N$78,7,FALSE),"")</x:f>
        <x:v>20</x:v>
      </x:c>
      <x:c r="AB776" s="32" t="n">
        <x:f>IF(OR(N776="",AA776=""),"",N776-AA776)</x:f>
        <x:v>-0.1960784313721966</x:v>
      </x:c>
      <x:c r="AC776" s="20" t="n">
        <x:f>IF(OR(N776="",AA776="",AA776=0),"",AB776/AA776)</x:f>
        <x:v>-0.00980392156860983</x:v>
      </x:c>
      <x:c r="AD776" t="str">
        <x:f>IF(AA776="","NO STANDARD",IF(AC776&lt;=Config_Status!$B$2,"EFFICIENT",IF(AC776&lt;=Config_Status!$B$3,"NORMAL",IF(AC776&lt;=Config_Status!$B$4,"WARNING","OVER CONSUMPTION"))))</x:f>
        <x:v>NORMAL</x:v>
      </x:c>
      <x:c r="AE776" t="str">
        <x:f>IFERROR(VLOOKUP(G776,Master_Unit!$A$2:$N$78,13,FALSE),"UNIT NOT FOUND")</x:f>
        <x:v>Matched</x:v>
      </x:c>
    </x:row>
    <x:row r="777">
      <x:c r="A777" s="12" t="str">
        <x:v>FU-20260611-00776</x:v>
      </x:c>
      <x:c r="B777" s="12" t="n">
        <x:v>906</x:v>
      </x:c>
      <x:c r="C777" s="14" t="n">
        <x:v>46184</x:v>
      </x:c>
      <x:c r="D777" s="12" t="str">
        <x:v>Kamis</x:v>
      </x:c>
      <x:c r="E777" s="12" t="str">
        <x:v>08:19:00</x:v>
      </x:c>
      <x:c r="F777" s="12" t="str">
        <x:v>All Shift Day</x:v>
      </x:c>
      <x:c r="G777" s="12" t="str">
        <x:v>EXVV21G038</x:v>
      </x:c>
      <x:c r="H777" s="12" t="str">
        <x:v>Excavator</x:v>
      </x:c>
      <x:c r="I777" s="12" t="str">
        <x:v>EXCAVATOR VOLVO EC210D</x:v>
      </x:c>
      <x:c r="J777" s="16" t="n">
        <x:v>194</x:v>
      </x:c>
      <x:c r="K777" s="16" t="n">
        <x:v>4243.3</x:v>
      </x:c>
      <x:c r="L777" s="16" t="n">
        <x:v>4251.4</x:v>
      </x:c>
      <x:c r="M777" s="16" t="n">
        <x:v>8.099999999999454</x:v>
      </x:c>
      <x:c r="N777" s="16" t="n">
        <x:v>23.95061728395223</x:v>
      </x:c>
      <x:c r="O777" s="12" t="str">
        <x:v>FTRL44G005</x:v>
      </x:c>
      <x:c r="P777" s="12" t="str">
        <x:v>EXVV21G038</x:v>
      </x:c>
      <x:c r="Q777" s="12" t="str"/>
      <x:c r="R777" s="12" t="str"/>
      <x:c r="S777" s="12" t="str"/>
      <x:c r="T777" s="12" t="str">
        <x:v>ABM</x:v>
      </x:c>
      <x:c r="U777" s="12" t="str"/>
      <x:c r="V777" s="12" t="str"/>
      <x:c r="W777" s="12" t="str"/>
      <x:c r="X777" s="12" t="str">
        <x:v>EXVV21</x:v>
      </x:c>
      <x:c r="Y777" s="12" t="str">
        <x:v>ANDI &amp; ANGGI</x:v>
      </x:c>
      <x:c r="Z777" s="12" t="str"/>
      <x:c r="AA777" s="32" t="n">
        <x:f>IFERROR(VLOOKUP(G777,Master_Unit!$A$2:$N$78,7,FALSE),"")</x:f>
        <x:v>20</x:v>
      </x:c>
      <x:c r="AB777" s="32" t="n">
        <x:f>IF(OR(N777="",AA777=""),"",N777-AA777)</x:f>
        <x:v>3.95061728395223</x:v>
      </x:c>
      <x:c r="AC777" s="20" t="n">
        <x:f>IF(OR(N777="",AA777="",AA777=0),"",AB777/AA777)</x:f>
        <x:v>0.1975308641976115</x:v>
      </x:c>
      <x:c r="AD777" t="str">
        <x:f>IF(AA777="","NO STANDARD",IF(AC777&lt;=Config_Status!$B$2,"EFFICIENT",IF(AC777&lt;=Config_Status!$B$3,"NORMAL",IF(AC777&lt;=Config_Status!$B$4,"WARNING","OVER CONSUMPTION"))))</x:f>
        <x:v>WARNING</x:v>
      </x:c>
      <x:c r="AE777" t="str">
        <x:f>IFERROR(VLOOKUP(G777,Master_Unit!$A$2:$N$78,13,FALSE),"UNIT NOT FOUND")</x:f>
        <x:v>Matched</x:v>
      </x:c>
    </x:row>
    <x:row r="778">
      <x:c r="A778" s="12" t="str">
        <x:v>FU-20260611-00777</x:v>
      </x:c>
      <x:c r="B778" s="12" t="n">
        <x:v>907</x:v>
      </x:c>
      <x:c r="C778" s="14" t="n">
        <x:v>46184</x:v>
      </x:c>
      <x:c r="D778" s="12" t="str">
        <x:v>Kamis</x:v>
      </x:c>
      <x:c r="E778" s="12" t="str">
        <x:v>08:20:00</x:v>
      </x:c>
      <x:c r="F778" s="12" t="str">
        <x:v>All Shift Day</x:v>
      </x:c>
      <x:c r="G778" s="12" t="str">
        <x:v>LVTH24R052</x:v>
      </x:c>
      <x:c r="H778" s="12" t="str">
        <x:v>Light Vehicle</x:v>
      </x:c>
      <x:c r="I778" s="12" t="str">
        <x:v>LIGHT VEHICLE TOYOTA HILUX</x:v>
      </x:c>
      <x:c r="J778" s="16" t="n">
        <x:v>20</x:v>
      </x:c>
      <x:c r="K778" s="16" t="n">
        <x:v>13365</x:v>
      </x:c>
      <x:c r="L778" s="16" t="n">
        <x:v>13447</x:v>
      </x:c>
      <x:c r="M778" s="16" t="n">
        <x:v>82</x:v>
      </x:c>
      <x:c r="N778" s="16" t="n">
        <x:v>0.24390243902439024</x:v>
      </x:c>
      <x:c r="O778" s="12" t="str">
        <x:v>FTRL44G005</x:v>
      </x:c>
      <x:c r="P778" s="12" t="str">
        <x:v>LVTH24R052</x:v>
      </x:c>
      <x:c r="Q778" s="12" t="str"/>
      <x:c r="R778" s="12" t="str"/>
      <x:c r="S778" s="12" t="str"/>
      <x:c r="T778" s="12" t="str">
        <x:v>ABM</x:v>
      </x:c>
      <x:c r="U778" s="12" t="str"/>
      <x:c r="V778" s="12" t="str"/>
      <x:c r="W778" s="12" t="str"/>
      <x:c r="X778" s="12" t="str">
        <x:v>LVTH24</x:v>
      </x:c>
      <x:c r="Y778" s="12" t="str">
        <x:v>ANDI &amp; ANGGI</x:v>
      </x:c>
      <x:c r="Z778" s="12" t="str"/>
      <x:c r="AA778" s="32" t="n">
        <x:f>IFERROR(VLOOKUP(G778,Master_Unit!$A$2:$N$78,7,FALSE),"")</x:f>
        <x:v>0.2</x:v>
      </x:c>
      <x:c r="AB778" s="32" t="n">
        <x:f>IF(OR(N778="",AA778=""),"",N778-AA778)</x:f>
        <x:v>0.04390243902439023</x:v>
      </x:c>
      <x:c r="AC778" s="20" t="n">
        <x:f>IF(OR(N778="",AA778="",AA778=0),"",AB778/AA778)</x:f>
        <x:v>0.21951219512195114</x:v>
      </x:c>
      <x:c r="AD778" t="str">
        <x:f>IF(AA778="","NO STANDARD",IF(AC778&lt;=Config_Status!$B$2,"EFFICIENT",IF(AC778&lt;=Config_Status!$B$3,"NORMAL",IF(AC778&lt;=Config_Status!$B$4,"WARNING","OVER CONSUMPTION"))))</x:f>
        <x:v>OVER CONSUMPTION</x:v>
      </x:c>
      <x:c r="AE778" t="str">
        <x:f>IFERROR(VLOOKUP(G778,Master_Unit!$A$2:$N$78,13,FALSE),"UNIT NOT FOUND")</x:f>
        <x:v>Matched</x:v>
      </x:c>
    </x:row>
    <x:row r="779">
      <x:c r="A779" s="12" t="str">
        <x:v>FU-20260611-00778</x:v>
      </x:c>
      <x:c r="B779" s="12" t="n">
        <x:v>908</x:v>
      </x:c>
      <x:c r="C779" s="14" t="n">
        <x:v>46184</x:v>
      </x:c>
      <x:c r="D779" s="12" t="str">
        <x:v>Kamis</x:v>
      </x:c>
      <x:c r="E779" s="12" t="str">
        <x:v>08:47:00</x:v>
      </x:c>
      <x:c r="F779" s="12" t="str">
        <x:v>All Shift Day</x:v>
      </x:c>
      <x:c r="G779" s="12" t="str">
        <x:v>STRL44G142</x:v>
      </x:c>
      <x:c r="H779" s="12" t="str">
        <x:v>Dump Truck</x:v>
      </x:c>
      <x:c r="I779" s="12" t="str">
        <x:v>DUMP TRUCK RENAULT KRANGE440-P6X4 A/T</x:v>
      </x:c>
      <x:c r="J779" s="16" t="n">
        <x:v>102</x:v>
      </x:c>
      <x:c r="K779" s="16" t="n">
        <x:v>3381</x:v>
      </x:c>
      <x:c r="L779" s="16" t="n">
        <x:v>3389</x:v>
      </x:c>
      <x:c r="M779" s="16" t="n">
        <x:v>8</x:v>
      </x:c>
      <x:c r="N779" s="16" t="n">
        <x:v>12.75</x:v>
      </x:c>
      <x:c r="O779" s="12" t="str">
        <x:v>FTRL44G005</x:v>
      </x:c>
      <x:c r="P779" s="12" t="str">
        <x:v>STRL44G142</x:v>
      </x:c>
      <x:c r="Q779" s="12" t="str"/>
      <x:c r="R779" s="12" t="str"/>
      <x:c r="S779" s="12" t="str"/>
      <x:c r="T779" s="12" t="str">
        <x:v>ABM</x:v>
      </x:c>
      <x:c r="U779" s="12" t="str"/>
      <x:c r="V779" s="12" t="str"/>
      <x:c r="W779" s="12" t="str"/>
      <x:c r="X779" s="12" t="str">
        <x:v>STRL44</x:v>
      </x:c>
      <x:c r="Y779" s="12" t="str">
        <x:v>ANDI &amp; ANGGI</x:v>
      </x:c>
      <x:c r="Z779" s="12" t="str"/>
      <x:c r="AA779" s="32" t="n">
        <x:f>IFERROR(VLOOKUP(G779,Master_Unit!$A$2:$N$78,7,FALSE),"")</x:f>
        <x:v>20</x:v>
      </x:c>
      <x:c r="AB779" s="32" t="n">
        <x:f>IF(OR(N779="",AA779=""),"",N779-AA779)</x:f>
        <x:v>-7.25</x:v>
      </x:c>
      <x:c r="AC779" s="20" t="n">
        <x:f>IF(OR(N779="",AA779="",AA779=0),"",AB779/AA779)</x:f>
        <x:v>-0.3625</x:v>
      </x:c>
      <x:c r="AD779" t="str">
        <x:f>IF(AA779="","NO STANDARD",IF(AC779&lt;=Config_Status!$B$2,"EFFICIENT",IF(AC779&lt;=Config_Status!$B$3,"NORMAL",IF(AC779&lt;=Config_Status!$B$4,"WARNING","OVER CONSUMPTION"))))</x:f>
        <x:v>EFFICIENT</x:v>
      </x:c>
      <x:c r="AE779" t="str">
        <x:f>IFERROR(VLOOKUP(G779,Master_Unit!$A$2:$N$78,13,FALSE),"UNIT NOT FOUND")</x:f>
        <x:v>Matched</x:v>
      </x:c>
    </x:row>
    <x:row r="780">
      <x:c r="A780" s="12" t="str">
        <x:v>FU-20260611-00779</x:v>
      </x:c>
      <x:c r="B780" s="12" t="n">
        <x:v>909</x:v>
      </x:c>
      <x:c r="C780" s="14" t="n">
        <x:v>46184</x:v>
      </x:c>
      <x:c r="D780" s="12" t="str">
        <x:v>Kamis</x:v>
      </x:c>
      <x:c r="E780" s="12" t="str">
        <x:v>08:56:00</x:v>
      </x:c>
      <x:c r="F780" s="12" t="str">
        <x:v>All Shift Day</x:v>
      </x:c>
      <x:c r="G780" s="12" t="str">
        <x:v>STRL44G143</x:v>
      </x:c>
      <x:c r="H780" s="12" t="str">
        <x:v>Dump Truck</x:v>
      </x:c>
      <x:c r="I780" s="12" t="str">
        <x:v>DUMP TRUCK RENAULT KRANGE440-P6X4 A/T</x:v>
      </x:c>
      <x:c r="J780" s="16" t="n">
        <x:v>146</x:v>
      </x:c>
      <x:c r="K780" s="16" t="n">
        <x:v>5270</x:v>
      </x:c>
      <x:c r="L780" s="16" t="n">
        <x:v>5277</x:v>
      </x:c>
      <x:c r="M780" s="16" t="n">
        <x:v>7</x:v>
      </x:c>
      <x:c r="N780" s="16" t="n">
        <x:v>20.857142857142858</x:v>
      </x:c>
      <x:c r="O780" s="12" t="str">
        <x:v>FTRL44G005</x:v>
      </x:c>
      <x:c r="P780" s="12" t="str">
        <x:v>STRL44G143</x:v>
      </x:c>
      <x:c r="Q780" s="12" t="str"/>
      <x:c r="R780" s="12" t="str"/>
      <x:c r="S780" s="12" t="str"/>
      <x:c r="T780" s="12" t="str">
        <x:v>ABM</x:v>
      </x:c>
      <x:c r="U780" s="12" t="str"/>
      <x:c r="V780" s="12" t="str"/>
      <x:c r="W780" s="12" t="str"/>
      <x:c r="X780" s="12" t="str">
        <x:v>STRL44</x:v>
      </x:c>
      <x:c r="Y780" s="12" t="str">
        <x:v>ANDI &amp; ANGGI</x:v>
      </x:c>
      <x:c r="Z780" s="12" t="str"/>
      <x:c r="AA780" s="32" t="n">
        <x:f>IFERROR(VLOOKUP(G780,Master_Unit!$A$2:$N$78,7,FALSE),"")</x:f>
        <x:v>20</x:v>
      </x:c>
      <x:c r="AB780" s="32" t="n">
        <x:f>IF(OR(N780="",AA780=""),"",N780-AA780)</x:f>
        <x:v>0.8571428571428577</x:v>
      </x:c>
      <x:c r="AC780" s="20" t="n">
        <x:f>IF(OR(N780="",AA780="",AA780=0),"",AB780/AA780)</x:f>
        <x:v>0.042857142857142885</x:v>
      </x:c>
      <x:c r="AD780" t="str">
        <x:f>IF(AA780="","NO STANDARD",IF(AC780&lt;=Config_Status!$B$2,"EFFICIENT",IF(AC780&lt;=Config_Status!$B$3,"NORMAL",IF(AC780&lt;=Config_Status!$B$4,"WARNING","OVER CONSUMPTION"))))</x:f>
        <x:v>NORMAL</x:v>
      </x:c>
      <x:c r="AE780" t="str">
        <x:f>IFERROR(VLOOKUP(G780,Master_Unit!$A$2:$N$78,13,FALSE),"UNIT NOT FOUND")</x:f>
        <x:v>Matched</x:v>
      </x:c>
    </x:row>
    <x:row r="781">
      <x:c r="A781" s="12" t="str">
        <x:v>FU-20260611-00780</x:v>
      </x:c>
      <x:c r="B781" s="12" t="n">
        <x:v>910</x:v>
      </x:c>
      <x:c r="C781" s="14" t="n">
        <x:v>46184</x:v>
      </x:c>
      <x:c r="D781" s="12" t="str">
        <x:v>Kamis</x:v>
      </x:c>
      <x:c r="E781" s="12" t="str">
        <x:v>09:11:00</x:v>
      </x:c>
      <x:c r="F781" s="12" t="str">
        <x:v>All Shift Day</x:v>
      </x:c>
      <x:c r="G781" s="12" t="str">
        <x:v>STRL44G157</x:v>
      </x:c>
      <x:c r="H781" s="12" t="str">
        <x:v>Dump Truck</x:v>
      </x:c>
      <x:c r="I781" s="12" t="str">
        <x:v>DUMP TRUCK RENAULT KRANGE440-P6X4 A/T</x:v>
      </x:c>
      <x:c r="J781" s="16" t="n">
        <x:v>204</x:v>
      </x:c>
      <x:c r="K781" s="16" t="n">
        <x:v>4099</x:v>
      </x:c>
      <x:c r="L781" s="16" t="n">
        <x:v>4107</x:v>
      </x:c>
      <x:c r="M781" s="16" t="n">
        <x:v>8</x:v>
      </x:c>
      <x:c r="N781" s="16" t="n">
        <x:v>25.5</x:v>
      </x:c>
      <x:c r="O781" s="12" t="str">
        <x:v>FTRL44G005</x:v>
      </x:c>
      <x:c r="P781" s="12" t="str">
        <x:v>STRL44G157</x:v>
      </x:c>
      <x:c r="Q781" s="12" t="str"/>
      <x:c r="R781" s="12" t="str"/>
      <x:c r="S781" s="12" t="str"/>
      <x:c r="T781" s="12" t="str">
        <x:v>ABM</x:v>
      </x:c>
      <x:c r="U781" s="12" t="str"/>
      <x:c r="V781" s="12" t="str"/>
      <x:c r="W781" s="12" t="str"/>
      <x:c r="X781" s="12" t="str">
        <x:v>STRL44</x:v>
      </x:c>
      <x:c r="Y781" s="12" t="str">
        <x:v>ANDI &amp; ANGGI</x:v>
      </x:c>
      <x:c r="Z781" s="12" t="str"/>
      <x:c r="AA781" s="32" t="n">
        <x:f>IFERROR(VLOOKUP(G781,Master_Unit!$A$2:$N$78,7,FALSE),"")</x:f>
        <x:v>20</x:v>
      </x:c>
      <x:c r="AB781" s="32" t="n">
        <x:f>IF(OR(N781="",AA781=""),"",N781-AA781)</x:f>
        <x:v>5.5</x:v>
      </x:c>
      <x:c r="AC781" s="20" t="n">
        <x:f>IF(OR(N781="",AA781="",AA781=0),"",AB781/AA781)</x:f>
        <x:v>0.275</x:v>
      </x:c>
      <x:c r="AD781" t="str">
        <x:f>IF(AA781="","NO STANDARD",IF(AC781&lt;=Config_Status!$B$2,"EFFICIENT",IF(AC781&lt;=Config_Status!$B$3,"NORMAL",IF(AC781&lt;=Config_Status!$B$4,"WARNING","OVER CONSUMPTION"))))</x:f>
        <x:v>OVER CONSUMPTION</x:v>
      </x:c>
      <x:c r="AE781" t="str">
        <x:f>IFERROR(VLOOKUP(G781,Master_Unit!$A$2:$N$78,13,FALSE),"UNIT NOT FOUND")</x:f>
        <x:v>Matched</x:v>
      </x:c>
    </x:row>
    <x:row r="782">
      <x:c r="A782" s="12" t="str">
        <x:v>FU-20260611-00781</x:v>
      </x:c>
      <x:c r="B782" s="12" t="n">
        <x:v>911</x:v>
      </x:c>
      <x:c r="C782" s="14" t="n">
        <x:v>46184</x:v>
      </x:c>
      <x:c r="D782" s="12" t="str">
        <x:v>Kamis</x:v>
      </x:c>
      <x:c r="E782" s="12" t="str">
        <x:v>09:14:00</x:v>
      </x:c>
      <x:c r="F782" s="12" t="str">
        <x:v>All Shift Day</x:v>
      </x:c>
      <x:c r="G782" s="12" t="str">
        <x:v>STRL44G152</x:v>
      </x:c>
      <x:c r="H782" s="12" t="str">
        <x:v>Dump Truck</x:v>
      </x:c>
      <x:c r="I782" s="12" t="str">
        <x:v>DUMP TRUCK RENAULT KRANGE440-P6X4 A/T</x:v>
      </x:c>
      <x:c r="J782" s="16" t="n">
        <x:v>206</x:v>
      </x:c>
      <x:c r="K782" s="16" t="n">
        <x:v>3733</x:v>
      </x:c>
      <x:c r="L782" s="16" t="n">
        <x:v>3743</x:v>
      </x:c>
      <x:c r="M782" s="16" t="n">
        <x:v>10</x:v>
      </x:c>
      <x:c r="N782" s="16" t="n">
        <x:v>20.6</x:v>
      </x:c>
      <x:c r="O782" s="12" t="str">
        <x:v>FTRL44G005</x:v>
      </x:c>
      <x:c r="P782" s="12" t="str">
        <x:v>STRL44G152</x:v>
      </x:c>
      <x:c r="Q782" s="12" t="str"/>
      <x:c r="R782" s="12" t="str"/>
      <x:c r="S782" s="12" t="str"/>
      <x:c r="T782" s="12" t="str">
        <x:v>ABM</x:v>
      </x:c>
      <x:c r="U782" s="12" t="str"/>
      <x:c r="V782" s="12" t="str"/>
      <x:c r="W782" s="12" t="str"/>
      <x:c r="X782" s="12" t="str">
        <x:v>STRL44</x:v>
      </x:c>
      <x:c r="Y782" s="12" t="str">
        <x:v>ANDI &amp; ANGGI</x:v>
      </x:c>
      <x:c r="Z782" s="12" t="str"/>
      <x:c r="AA782" s="32" t="n">
        <x:f>IFERROR(VLOOKUP(G782,Master_Unit!$A$2:$N$78,7,FALSE),"")</x:f>
        <x:v>20</x:v>
      </x:c>
      <x:c r="AB782" s="32" t="n">
        <x:f>IF(OR(N782="",AA782=""),"",N782-AA782)</x:f>
        <x:v>0.6000000000000014</x:v>
      </x:c>
      <x:c r="AC782" s="20" t="n">
        <x:f>IF(OR(N782="",AA782="",AA782=0),"",AB782/AA782)</x:f>
        <x:v>0.030000000000000072</x:v>
      </x:c>
      <x:c r="AD782" t="str">
        <x:f>IF(AA782="","NO STANDARD",IF(AC782&lt;=Config_Status!$B$2,"EFFICIENT",IF(AC782&lt;=Config_Status!$B$3,"NORMAL",IF(AC782&lt;=Config_Status!$B$4,"WARNING","OVER CONSUMPTION"))))</x:f>
        <x:v>NORMAL</x:v>
      </x:c>
      <x:c r="AE782" t="str">
        <x:f>IFERROR(VLOOKUP(G782,Master_Unit!$A$2:$N$78,13,FALSE),"UNIT NOT FOUND")</x:f>
        <x:v>Matched</x:v>
      </x:c>
    </x:row>
    <x:row r="783">
      <x:c r="A783" s="12" t="str">
        <x:v>FU-20260611-00782</x:v>
      </x:c>
      <x:c r="B783" s="12" t="n">
        <x:v>912</x:v>
      </x:c>
      <x:c r="C783" s="14" t="n">
        <x:v>46184</x:v>
      </x:c>
      <x:c r="D783" s="12" t="str">
        <x:v>Kamis</x:v>
      </x:c>
      <x:c r="E783" s="12" t="str">
        <x:v>09:17:00</x:v>
      </x:c>
      <x:c r="F783" s="12" t="str">
        <x:v>All Shift Day</x:v>
      </x:c>
      <x:c r="G783" s="12" t="str">
        <x:v>STRL44G151</x:v>
      </x:c>
      <x:c r="H783" s="12" t="str">
        <x:v>Dump Truck</x:v>
      </x:c>
      <x:c r="I783" s="12" t="str">
        <x:v>DUMP TRUCK RENAULT KRANGE440-P6X4 A/T</x:v>
      </x:c>
      <x:c r="J783" s="16" t="n">
        <x:v>206</x:v>
      </x:c>
      <x:c r="K783" s="16" t="n">
        <x:v>4430</x:v>
      </x:c>
      <x:c r="L783" s="16" t="n">
        <x:v>4438</x:v>
      </x:c>
      <x:c r="M783" s="16" t="n">
        <x:v>8</x:v>
      </x:c>
      <x:c r="N783" s="16" t="n">
        <x:v>25.75</x:v>
      </x:c>
      <x:c r="O783" s="12" t="str">
        <x:v>FTRL44G005</x:v>
      </x:c>
      <x:c r="P783" s="12" t="str">
        <x:v>STRL44G151</x:v>
      </x:c>
      <x:c r="Q783" s="12" t="str"/>
      <x:c r="R783" s="12" t="str"/>
      <x:c r="S783" s="12" t="str"/>
      <x:c r="T783" s="12" t="str">
        <x:v>ABM</x:v>
      </x:c>
      <x:c r="U783" s="12" t="str"/>
      <x:c r="V783" s="12" t="str"/>
      <x:c r="W783" s="12" t="str"/>
      <x:c r="X783" s="12" t="str">
        <x:v>STRL44</x:v>
      </x:c>
      <x:c r="Y783" s="12" t="str">
        <x:v>ANDI &amp; ANGGI</x:v>
      </x:c>
      <x:c r="Z783" s="12" t="str"/>
      <x:c r="AA783" s="32" t="n">
        <x:f>IFERROR(VLOOKUP(G783,Master_Unit!$A$2:$N$78,7,FALSE),"")</x:f>
        <x:v>20</x:v>
      </x:c>
      <x:c r="AB783" s="32" t="n">
        <x:f>IF(OR(N783="",AA783=""),"",N783-AA783)</x:f>
        <x:v>5.75</x:v>
      </x:c>
      <x:c r="AC783" s="20" t="n">
        <x:f>IF(OR(N783="",AA783="",AA783=0),"",AB783/AA783)</x:f>
        <x:v>0.2875</x:v>
      </x:c>
      <x:c r="AD783" t="str">
        <x:f>IF(AA783="","NO STANDARD",IF(AC783&lt;=Config_Status!$B$2,"EFFICIENT",IF(AC783&lt;=Config_Status!$B$3,"NORMAL",IF(AC783&lt;=Config_Status!$B$4,"WARNING","OVER CONSUMPTION"))))</x:f>
        <x:v>OVER CONSUMPTION</x:v>
      </x:c>
      <x:c r="AE783" t="str">
        <x:f>IFERROR(VLOOKUP(G783,Master_Unit!$A$2:$N$78,13,FALSE),"UNIT NOT FOUND")</x:f>
        <x:v>Matched</x:v>
      </x:c>
    </x:row>
    <x:row r="784">
      <x:c r="A784" s="12" t="str">
        <x:v>FU-20260611-00783</x:v>
      </x:c>
      <x:c r="B784" s="12" t="n">
        <x:v>913</x:v>
      </x:c>
      <x:c r="C784" s="14" t="n">
        <x:v>46184</x:v>
      </x:c>
      <x:c r="D784" s="12" t="str">
        <x:v>Kamis</x:v>
      </x:c>
      <x:c r="E784" s="12" t="str">
        <x:v>09:19:00</x:v>
      </x:c>
      <x:c r="F784" s="12" t="str">
        <x:v>All Shift Day</x:v>
      </x:c>
      <x:c r="G784" s="12" t="str">
        <x:v>STRL44G156</x:v>
      </x:c>
      <x:c r="H784" s="12" t="str">
        <x:v>Dump Truck</x:v>
      </x:c>
      <x:c r="I784" s="12" t="str">
        <x:v>DUMP TRUCK RENAULT KRANGE440-P6X4 A/T</x:v>
      </x:c>
      <x:c r="J784" s="16" t="n">
        <x:v>206</x:v>
      </x:c>
      <x:c r="K784" s="16" t="n">
        <x:v>3805</x:v>
      </x:c>
      <x:c r="L784" s="16" t="n">
        <x:v>3815</x:v>
      </x:c>
      <x:c r="M784" s="16" t="n">
        <x:v>10</x:v>
      </x:c>
      <x:c r="N784" s="16" t="n">
        <x:v>20.6</x:v>
      </x:c>
      <x:c r="O784" s="12" t="str">
        <x:v>FTRL44G005</x:v>
      </x:c>
      <x:c r="P784" s="12" t="str">
        <x:v>STRL44G156</x:v>
      </x:c>
      <x:c r="Q784" s="12" t="str"/>
      <x:c r="R784" s="12" t="str"/>
      <x:c r="S784" s="12" t="str"/>
      <x:c r="T784" s="12" t="str">
        <x:v>ABM</x:v>
      </x:c>
      <x:c r="U784" s="12" t="str"/>
      <x:c r="V784" s="12" t="str"/>
      <x:c r="W784" s="12" t="str"/>
      <x:c r="X784" s="12" t="str">
        <x:v>STRL44</x:v>
      </x:c>
      <x:c r="Y784" s="12" t="str">
        <x:v>ANDI &amp; ANGGI</x:v>
      </x:c>
      <x:c r="Z784" s="12" t="str"/>
      <x:c r="AA784" s="32" t="n">
        <x:f>IFERROR(VLOOKUP(G784,Master_Unit!$A$2:$N$78,7,FALSE),"")</x:f>
        <x:v>20</x:v>
      </x:c>
      <x:c r="AB784" s="32" t="n">
        <x:f>IF(OR(N784="",AA784=""),"",N784-AA784)</x:f>
        <x:v>0.6000000000000014</x:v>
      </x:c>
      <x:c r="AC784" s="20" t="n">
        <x:f>IF(OR(N784="",AA784="",AA784=0),"",AB784/AA784)</x:f>
        <x:v>0.030000000000000072</x:v>
      </x:c>
      <x:c r="AD784" t="str">
        <x:f>IF(AA784="","NO STANDARD",IF(AC784&lt;=Config_Status!$B$2,"EFFICIENT",IF(AC784&lt;=Config_Status!$B$3,"NORMAL",IF(AC784&lt;=Config_Status!$B$4,"WARNING","OVER CONSUMPTION"))))</x:f>
        <x:v>NORMAL</x:v>
      </x:c>
      <x:c r="AE784" t="str">
        <x:f>IFERROR(VLOOKUP(G784,Master_Unit!$A$2:$N$78,13,FALSE),"UNIT NOT FOUND")</x:f>
        <x:v>Matched</x:v>
      </x:c>
    </x:row>
    <x:row r="785">
      <x:c r="A785" s="12" t="str">
        <x:v>FU-20260611-00784</x:v>
      </x:c>
      <x:c r="B785" s="12" t="n">
        <x:v>914</x:v>
      </x:c>
      <x:c r="C785" s="14" t="n">
        <x:v>46184</x:v>
      </x:c>
      <x:c r="D785" s="12" t="str">
        <x:v>Kamis</x:v>
      </x:c>
      <x:c r="E785" s="12" t="str">
        <x:v>09:24:00</x:v>
      </x:c>
      <x:c r="F785" s="12" t="str">
        <x:v>All Shift Day</x:v>
      </x:c>
      <x:c r="G785" s="12" t="str">
        <x:v>STRL44G149</x:v>
      </x:c>
      <x:c r="H785" s="12" t="str">
        <x:v>Dump Truck</x:v>
      </x:c>
      <x:c r="I785" s="12" t="str">
        <x:v>DUMP TRUCK RENAULT KRANGE440-P6X4 A/T</x:v>
      </x:c>
      <x:c r="J785" s="16" t="n">
        <x:v>196</x:v>
      </x:c>
      <x:c r="K785" s="16" t="n">
        <x:v>4330</x:v>
      </x:c>
      <x:c r="L785" s="16" t="n">
        <x:v>4338</x:v>
      </x:c>
      <x:c r="M785" s="16" t="n">
        <x:v>8</x:v>
      </x:c>
      <x:c r="N785" s="16" t="n">
        <x:v>24.5</x:v>
      </x:c>
      <x:c r="O785" s="12" t="str">
        <x:v>FTRL44G005</x:v>
      </x:c>
      <x:c r="P785" s="12" t="str">
        <x:v>STRL44G149</x:v>
      </x:c>
      <x:c r="Q785" s="12" t="str"/>
      <x:c r="R785" s="12" t="str"/>
      <x:c r="S785" s="12" t="str"/>
      <x:c r="T785" s="12" t="str">
        <x:v>ABM</x:v>
      </x:c>
      <x:c r="U785" s="12" t="str"/>
      <x:c r="V785" s="12" t="str"/>
      <x:c r="W785" s="12" t="str"/>
      <x:c r="X785" s="12" t="str">
        <x:v>STRL44</x:v>
      </x:c>
      <x:c r="Y785" s="12" t="str">
        <x:v>ANDI &amp; ANGGI</x:v>
      </x:c>
      <x:c r="Z785" s="12" t="str"/>
      <x:c r="AA785" s="32" t="n">
        <x:f>IFERROR(VLOOKUP(G785,Master_Unit!$A$2:$N$78,7,FALSE),"")</x:f>
        <x:v>20</x:v>
      </x:c>
      <x:c r="AB785" s="32" t="n">
        <x:f>IF(OR(N785="",AA785=""),"",N785-AA785)</x:f>
        <x:v>4.5</x:v>
      </x:c>
      <x:c r="AC785" s="20" t="n">
        <x:f>IF(OR(N785="",AA785="",AA785=0),"",AB785/AA785)</x:f>
        <x:v>0.225</x:v>
      </x:c>
      <x:c r="AD785" t="str">
        <x:f>IF(AA785="","NO STANDARD",IF(AC785&lt;=Config_Status!$B$2,"EFFICIENT",IF(AC785&lt;=Config_Status!$B$3,"NORMAL",IF(AC785&lt;=Config_Status!$B$4,"WARNING","OVER CONSUMPTION"))))</x:f>
        <x:v>OVER CONSUMPTION</x:v>
      </x:c>
      <x:c r="AE785" t="str">
        <x:f>IFERROR(VLOOKUP(G785,Master_Unit!$A$2:$N$78,13,FALSE),"UNIT NOT FOUND")</x:f>
        <x:v>Matched</x:v>
      </x:c>
    </x:row>
    <x:row r="786">
      <x:c r="A786" s="12" t="str">
        <x:v>FU-20260611-00785</x:v>
      </x:c>
      <x:c r="B786" s="12" t="n">
        <x:v>915</x:v>
      </x:c>
      <x:c r="C786" s="14" t="n">
        <x:v>46184</x:v>
      </x:c>
      <x:c r="D786" s="12" t="str">
        <x:v>Kamis</x:v>
      </x:c>
      <x:c r="E786" s="12" t="str">
        <x:v>09:27:00</x:v>
      </x:c>
      <x:c r="F786" s="12" t="str">
        <x:v>All Shift Day</x:v>
      </x:c>
      <x:c r="G786" s="12" t="str">
        <x:v>STRL44G153</x:v>
      </x:c>
      <x:c r="H786" s="12" t="str">
        <x:v>Dump Truck</x:v>
      </x:c>
      <x:c r="I786" s="12" t="str">
        <x:v>DUMP TRUCK RENAULT KRANGE440-P6X4 A/T</x:v>
      </x:c>
      <x:c r="J786" s="16" t="n">
        <x:v>206</x:v>
      </x:c>
      <x:c r="K786" s="16" t="n">
        <x:v>4025</x:v>
      </x:c>
      <x:c r="L786" s="16" t="n">
        <x:v>4034</x:v>
      </x:c>
      <x:c r="M786" s="16" t="n">
        <x:v>9</x:v>
      </x:c>
      <x:c r="N786" s="16" t="n">
        <x:v>22.88888888888889</x:v>
      </x:c>
      <x:c r="O786" s="12" t="str">
        <x:v>FTRL44G005</x:v>
      </x:c>
      <x:c r="P786" s="12" t="str">
        <x:v>STRL44G153</x:v>
      </x:c>
      <x:c r="Q786" s="12" t="str"/>
      <x:c r="R786" s="12" t="str"/>
      <x:c r="S786" s="12" t="str"/>
      <x:c r="T786" s="12" t="str">
        <x:v>ABM</x:v>
      </x:c>
      <x:c r="U786" s="12" t="str"/>
      <x:c r="V786" s="12" t="str"/>
      <x:c r="W786" s="12" t="str"/>
      <x:c r="X786" s="12" t="str">
        <x:v>STRL44</x:v>
      </x:c>
      <x:c r="Y786" s="12" t="str">
        <x:v>ANDI &amp; ANGGI</x:v>
      </x:c>
      <x:c r="Z786" s="12" t="str"/>
      <x:c r="AA786" s="32" t="n">
        <x:f>IFERROR(VLOOKUP(G786,Master_Unit!$A$2:$N$78,7,FALSE),"")</x:f>
        <x:v>20</x:v>
      </x:c>
      <x:c r="AB786" s="32" t="n">
        <x:f>IF(OR(N786="",AA786=""),"",N786-AA786)</x:f>
        <x:v>2.8888888888888893</x:v>
      </x:c>
      <x:c r="AC786" s="20" t="n">
        <x:f>IF(OR(N786="",AA786="",AA786=0),"",AB786/AA786)</x:f>
        <x:v>0.14444444444444446</x:v>
      </x:c>
      <x:c r="AD786" t="str">
        <x:f>IF(AA786="","NO STANDARD",IF(AC786&lt;=Config_Status!$B$2,"EFFICIENT",IF(AC786&lt;=Config_Status!$B$3,"NORMAL",IF(AC786&lt;=Config_Status!$B$4,"WARNING","OVER CONSUMPTION"))))</x:f>
        <x:v>WARNING</x:v>
      </x:c>
      <x:c r="AE786" t="str">
        <x:f>IFERROR(VLOOKUP(G786,Master_Unit!$A$2:$N$78,13,FALSE),"UNIT NOT FOUND")</x:f>
        <x:v>Matched</x:v>
      </x:c>
    </x:row>
    <x:row r="787">
      <x:c r="A787" s="12" t="str">
        <x:v>FU-20260611-00786</x:v>
      </x:c>
      <x:c r="B787" s="12" t="n">
        <x:v>916</x:v>
      </x:c>
      <x:c r="C787" s="14" t="n">
        <x:v>46184</x:v>
      </x:c>
      <x:c r="D787" s="12" t="str">
        <x:v>Kamis</x:v>
      </x:c>
      <x:c r="E787" s="12" t="str">
        <x:v>09:41:00</x:v>
      </x:c>
      <x:c r="F787" s="12" t="str">
        <x:v>All Shift Day</x:v>
      </x:c>
      <x:c r="G787" s="12" t="str">
        <x:v>STRL44G144</x:v>
      </x:c>
      <x:c r="H787" s="12" t="str">
        <x:v>Dump Truck</x:v>
      </x:c>
      <x:c r="I787" s="12" t="str">
        <x:v>DUMP TRUCK RENAULT KRANGE440-P6X4 A/T</x:v>
      </x:c>
      <x:c r="J787" s="16" t="n">
        <x:v>196</x:v>
      </x:c>
      <x:c r="K787" s="16" t="n">
        <x:v>1564</x:v>
      </x:c>
      <x:c r="L787" s="16" t="n">
        <x:v>1573</x:v>
      </x:c>
      <x:c r="M787" s="16" t="n">
        <x:v>9</x:v>
      </x:c>
      <x:c r="N787" s="16" t="n">
        <x:v>21.77777777777778</x:v>
      </x:c>
      <x:c r="O787" s="12" t="str">
        <x:v>FTRL44G005</x:v>
      </x:c>
      <x:c r="P787" s="12" t="str">
        <x:v>STRL44G144</x:v>
      </x:c>
      <x:c r="Q787" s="12" t="str"/>
      <x:c r="R787" s="12" t="str"/>
      <x:c r="S787" s="12" t="str"/>
      <x:c r="T787" s="12" t="str">
        <x:v>ABM</x:v>
      </x:c>
      <x:c r="U787" s="12" t="str"/>
      <x:c r="V787" s="12" t="str"/>
      <x:c r="W787" s="12" t="str"/>
      <x:c r="X787" s="12" t="str">
        <x:v>STRL44</x:v>
      </x:c>
      <x:c r="Y787" s="12" t="str">
        <x:v>ANDI &amp; ANGGI</x:v>
      </x:c>
      <x:c r="Z787" s="12" t="str"/>
      <x:c r="AA787" s="32" t="n">
        <x:f>IFERROR(VLOOKUP(G787,Master_Unit!$A$2:$N$78,7,FALSE),"")</x:f>
        <x:v>20</x:v>
      </x:c>
      <x:c r="AB787" s="32" t="n">
        <x:f>IF(OR(N787="",AA787=""),"",N787-AA787)</x:f>
        <x:v>1.7777777777777786</x:v>
      </x:c>
      <x:c r="AC787" s="20" t="n">
        <x:f>IF(OR(N787="",AA787="",AA787=0),"",AB787/AA787)</x:f>
        <x:v>0.08888888888888893</x:v>
      </x:c>
      <x:c r="AD787" t="str">
        <x:f>IF(AA787="","NO STANDARD",IF(AC787&lt;=Config_Status!$B$2,"EFFICIENT",IF(AC787&lt;=Config_Status!$B$3,"NORMAL",IF(AC787&lt;=Config_Status!$B$4,"WARNING","OVER CONSUMPTION"))))</x:f>
        <x:v>NORMAL</x:v>
      </x:c>
      <x:c r="AE787" t="str">
        <x:f>IFERROR(VLOOKUP(G787,Master_Unit!$A$2:$N$78,13,FALSE),"UNIT NOT FOUND")</x:f>
        <x:v>Matched</x:v>
      </x:c>
    </x:row>
    <x:row r="788">
      <x:c r="A788" s="12" t="str">
        <x:v>FU-20260611-00787</x:v>
      </x:c>
      <x:c r="B788" s="12" t="n">
        <x:v>917</x:v>
      </x:c>
      <x:c r="C788" s="14" t="n">
        <x:v>46184</x:v>
      </x:c>
      <x:c r="D788" s="12" t="str">
        <x:v>Kamis</x:v>
      </x:c>
      <x:c r="E788" s="12" t="str">
        <x:v>10:01:00</x:v>
      </x:c>
      <x:c r="F788" s="12" t="str">
        <x:v>All Shift Day</x:v>
      </x:c>
      <x:c r="G788" s="12" t="str">
        <x:v>WTRL44G007</x:v>
      </x:c>
      <x:c r="H788" s="12" t="str">
        <x:v>Water Truck</x:v>
      </x:c>
      <x:c r="I788" s="12" t="str">
        <x:v>WATER TRUCK RENAULT KRANGE440-P6X4 A/T</x:v>
      </x:c>
      <x:c r="J788" s="16" t="n">
        <x:v>82</x:v>
      </x:c>
      <x:c r="K788" s="16" t="n">
        <x:v>1630</x:v>
      </x:c>
      <x:c r="L788" s="16" t="n">
        <x:v>1636</x:v>
      </x:c>
      <x:c r="M788" s="16" t="n">
        <x:v>6</x:v>
      </x:c>
      <x:c r="N788" s="16" t="n">
        <x:v>13.666666666666666</x:v>
      </x:c>
      <x:c r="O788" s="12" t="str">
        <x:v>FTRL44G005</x:v>
      </x:c>
      <x:c r="P788" s="12" t="str">
        <x:v>WTRL44G007</x:v>
      </x:c>
      <x:c r="Q788" s="12" t="str"/>
      <x:c r="R788" s="12" t="str"/>
      <x:c r="S788" s="12" t="str"/>
      <x:c r="T788" s="12" t="str">
        <x:v>ABM</x:v>
      </x:c>
      <x:c r="U788" s="12" t="str"/>
      <x:c r="V788" s="12" t="str"/>
      <x:c r="W788" s="12" t="str"/>
      <x:c r="X788" s="12" t="str">
        <x:v>WTRL44</x:v>
      </x:c>
      <x:c r="Y788" s="12" t="str">
        <x:v>ANDI &amp; ANGGI</x:v>
      </x:c>
      <x:c r="Z788" s="12" t="str"/>
      <x:c r="AA788" s="32" t="n">
        <x:f>IFERROR(VLOOKUP(G788,Master_Unit!$A$2:$N$78,7,FALSE),"")</x:f>
        <x:v>20</x:v>
      </x:c>
      <x:c r="AB788" s="32" t="n">
        <x:f>IF(OR(N788="",AA788=""),"",N788-AA788)</x:f>
        <x:v>-6.333333333333334</x:v>
      </x:c>
      <x:c r="AC788" s="20" t="n">
        <x:f>IF(OR(N788="",AA788="",AA788=0),"",AB788/AA788)</x:f>
        <x:v>-0.3166666666666667</x:v>
      </x:c>
      <x:c r="AD788" t="str">
        <x:f>IF(AA788="","NO STANDARD",IF(AC788&lt;=Config_Status!$B$2,"EFFICIENT",IF(AC788&lt;=Config_Status!$B$3,"NORMAL",IF(AC788&lt;=Config_Status!$B$4,"WARNING","OVER CONSUMPTION"))))</x:f>
        <x:v>EFFICIENT</x:v>
      </x:c>
      <x:c r="AE788" t="str">
        <x:f>IFERROR(VLOOKUP(G788,Master_Unit!$A$2:$N$78,13,FALSE),"UNIT NOT FOUND")</x:f>
        <x:v>Matched</x:v>
      </x:c>
    </x:row>
    <x:row r="789">
      <x:c r="A789" s="12" t="str">
        <x:v>FU-20260611-00788</x:v>
      </x:c>
      <x:c r="B789" s="12" t="n">
        <x:v>918</x:v>
      </x:c>
      <x:c r="C789" s="14" t="n">
        <x:v>46184</x:v>
      </x:c>
      <x:c r="D789" s="12" t="str">
        <x:v>Kamis</x:v>
      </x:c>
      <x:c r="E789" s="12" t="str">
        <x:v>06:53:00</x:v>
      </x:c>
      <x:c r="F789" s="12" t="str">
        <x:v>All Shift Day</x:v>
      </x:c>
      <x:c r="G789" s="12" t="str">
        <x:v>LVTH24R023</x:v>
      </x:c>
      <x:c r="H789" s="12" t="str">
        <x:v>Light Vehicle</x:v>
      </x:c>
      <x:c r="I789" s="12" t="str">
        <x:v>LIGHT VEHICLE TOYOTA HILUX</x:v>
      </x:c>
      <x:c r="J789" s="16" t="n">
        <x:v>20</x:v>
      </x:c>
      <x:c r="K789" s="16" t="n">
        <x:v>49080</x:v>
      </x:c>
      <x:c r="L789" s="16" t="n">
        <x:v>49347</x:v>
      </x:c>
      <x:c r="M789" s="16" t="n">
        <x:v>267</x:v>
      </x:c>
      <x:c r="N789" s="16" t="n">
        <x:v>0.0749063670411985</x:v>
      </x:c>
      <x:c r="O789" s="12" t="str">
        <x:v>FTRL44G004</x:v>
      </x:c>
      <x:c r="P789" s="12" t="str">
        <x:v>LVTH24R023</x:v>
      </x:c>
      <x:c r="Q789" s="12" t="str"/>
      <x:c r="R789" s="12" t="str"/>
      <x:c r="S789" s="12" t="str"/>
      <x:c r="T789" s="12" t="str">
        <x:v>ABM</x:v>
      </x:c>
      <x:c r="U789" s="12" t="str"/>
      <x:c r="V789" s="12" t="str"/>
      <x:c r="W789" s="12" t="str"/>
      <x:c r="X789" s="12" t="str">
        <x:v>LVTH24</x:v>
      </x:c>
      <x:c r="Y789" s="12" t="str">
        <x:v>FANGKI &amp; ACUNG</x:v>
      </x:c>
      <x:c r="Z789" s="12" t="str">
        <x:v>SUPPORT</x:v>
      </x:c>
      <x:c r="AA789" s="32" t="n">
        <x:f>IFERROR(VLOOKUP(G789,Master_Unit!$A$2:$N$78,7,FALSE),"")</x:f>
        <x:v>0.2</x:v>
      </x:c>
      <x:c r="AB789" s="32" t="n">
        <x:f>IF(OR(N789="",AA789=""),"",N789-AA789)</x:f>
        <x:v>-0.1250936329588015</x:v>
      </x:c>
      <x:c r="AC789" s="20" t="n">
        <x:f>IF(OR(N789="",AA789="",AA789=0),"",AB789/AA789)</x:f>
        <x:v>-0.6254681647940075</x:v>
      </x:c>
      <x:c r="AD789" t="str">
        <x:f>IF(AA789="","NO STANDARD",IF(AC789&lt;=Config_Status!$B$2,"EFFICIENT",IF(AC789&lt;=Config_Status!$B$3,"NORMAL",IF(AC789&lt;=Config_Status!$B$4,"WARNING","OVER CONSUMPTION"))))</x:f>
        <x:v>EFFICIENT</x:v>
      </x:c>
      <x:c r="AE789" t="str">
        <x:f>IFERROR(VLOOKUP(G789,Master_Unit!$A$2:$N$78,13,FALSE),"UNIT NOT FOUND")</x:f>
        <x:v>Matched</x:v>
      </x:c>
    </x:row>
    <x:row r="790">
      <x:c r="A790" s="12" t="str">
        <x:v>FU-20260611-00789</x:v>
      </x:c>
      <x:c r="B790" s="12" t="n">
        <x:v>919</x:v>
      </x:c>
      <x:c r="C790" s="14" t="n">
        <x:v>46184</x:v>
      </x:c>
      <x:c r="D790" s="12" t="str">
        <x:v>Kamis</x:v>
      </x:c>
      <x:c r="E790" s="12" t="str">
        <x:v>06:55:00</x:v>
      </x:c>
      <x:c r="F790" s="12" t="str">
        <x:v>All Shift Day</x:v>
      </x:c>
      <x:c r="G790" s="12" t="str">
        <x:v>GSHT25G001</x:v>
      </x:c>
      <x:c r="H790" s="12" t="str">
        <x:v>Genset</x:v>
      </x:c>
      <x:c r="I790" s="12" t="str">
        <x:v>GENSET HARTECH HT-250-V</x:v>
      </x:c>
      <x:c r="J790" s="16" t="n">
        <x:v>405</x:v>
      </x:c>
      <x:c r="K790" s="16" t="n">
        <x:v>1801.52</x:v>
      </x:c>
      <x:c r="L790" s="16" t="n">
        <x:v>1826.18</x:v>
      </x:c>
      <x:c r="M790" s="16" t="n">
        <x:v>24.660000000000082</x:v>
      </x:c>
      <x:c r="N790" s="16" t="n">
        <x:v>16.42335766423352</x:v>
      </x:c>
      <x:c r="O790" s="12" t="str">
        <x:v>FTRL44G004</x:v>
      </x:c>
      <x:c r="P790" s="12" t="str">
        <x:v>GSHT25G001</x:v>
      </x:c>
      <x:c r="Q790" s="12" t="str"/>
      <x:c r="R790" s="12" t="str"/>
      <x:c r="S790" s="12" t="str"/>
      <x:c r="T790" s="12" t="str">
        <x:v>ABM</x:v>
      </x:c>
      <x:c r="U790" s="12" t="str"/>
      <x:c r="V790" s="12" t="str"/>
      <x:c r="W790" s="12" t="str"/>
      <x:c r="X790" s="12" t="str">
        <x:v>GSHT25</x:v>
      </x:c>
      <x:c r="Y790" s="12" t="str">
        <x:v>FANGKI &amp; ACUNG</x:v>
      </x:c>
      <x:c r="Z790" s="12" t="str">
        <x:v>SUPPORT</x:v>
      </x:c>
      <x:c r="AA790" s="32" t="n">
        <x:f>IFERROR(VLOOKUP(G790,Master_Unit!$A$2:$N$78,7,FALSE),"")</x:f>
        <x:v>15</x:v>
      </x:c>
      <x:c r="AB790" s="32" t="n">
        <x:f>IF(OR(N790="",AA790=""),"",N790-AA790)</x:f>
        <x:v>1.4233576642335208</x:v>
      </x:c>
      <x:c r="AC790" s="20" t="n">
        <x:f>IF(OR(N790="",AA790="",AA790=0),"",AB790/AA790)</x:f>
        <x:v>0.09489051094890139</x:v>
      </x:c>
      <x:c r="AD790" t="str">
        <x:f>IF(AA790="","NO STANDARD",IF(AC790&lt;=Config_Status!$B$2,"EFFICIENT",IF(AC790&lt;=Config_Status!$B$3,"NORMAL",IF(AC790&lt;=Config_Status!$B$4,"WARNING","OVER CONSUMPTION"))))</x:f>
        <x:v>NORMAL</x:v>
      </x:c>
      <x:c r="AE790" t="str">
        <x:f>IFERROR(VLOOKUP(G790,Master_Unit!$A$2:$N$78,13,FALSE),"UNIT NOT FOUND")</x:f>
        <x:v>Matched</x:v>
      </x:c>
    </x:row>
    <x:row r="791">
      <x:c r="A791" s="12" t="str">
        <x:v>FU-20260611-00790</x:v>
      </x:c>
      <x:c r="B791" s="12" t="n">
        <x:v>920</x:v>
      </x:c>
      <x:c r="C791" s="14" t="n">
        <x:v>46184</x:v>
      </x:c>
      <x:c r="D791" s="12" t="str">
        <x:v>Kamis</x:v>
      </x:c>
      <x:c r="E791" s="12" t="str">
        <x:v>06:59:00</x:v>
      </x:c>
      <x:c r="F791" s="12" t="str">
        <x:v>All Shift Day</x:v>
      </x:c>
      <x:c r="G791" s="12" t="str">
        <x:v>WFIZ15G001</x:v>
      </x:c>
      <x:c r="H791" s="12" t="str">
        <x:v>Other</x:v>
      </x:c>
      <x:c r="I791" s="12" t="str">
        <x:v>WATERFILL ISUZU ELF-150</x:v>
      </x:c>
      <x:c r="J791" s="16" t="n">
        <x:v>15</x:v>
      </x:c>
      <x:c r="K791" s="16" t="n">
        <x:v>445</x:v>
      </x:c>
      <x:c r="L791" s="16" t="n">
        <x:v>461</x:v>
      </x:c>
      <x:c r="M791" s="16" t="n">
        <x:v>16</x:v>
      </x:c>
      <x:c r="N791" s="16" t="n">
        <x:v>0.9375</x:v>
      </x:c>
      <x:c r="O791" s="12" t="str">
        <x:v>FTRL44G004</x:v>
      </x:c>
      <x:c r="P791" s="12" t="str">
        <x:v>WFIZ15G001</x:v>
      </x:c>
      <x:c r="Q791" s="12" t="str"/>
      <x:c r="R791" s="12" t="str"/>
      <x:c r="S791" s="12" t="str"/>
      <x:c r="T791" s="12" t="str">
        <x:v>ABM</x:v>
      </x:c>
      <x:c r="U791" s="12" t="str"/>
      <x:c r="V791" s="12" t="str"/>
      <x:c r="W791" s="12" t="str"/>
      <x:c r="X791" s="12" t="str">
        <x:v>WFIZ15</x:v>
      </x:c>
      <x:c r="Y791" s="12" t="str">
        <x:v>FANGKI &amp; ACUNG</x:v>
      </x:c>
      <x:c r="Z791" s="12" t="str">
        <x:v>SUPPORT</x:v>
      </x:c>
      <x:c r="AA791" s="32" t="str">
        <x:f>IFERROR(VLOOKUP(G791,Master_Unit!$A$2:$N$78,7,FALSE),"")</x:f>
      </x:c>
      <x:c r="AB791" s="32" t="str">
        <x:f>IF(OR(N791="",AA791=""),"",N791-AA791)</x:f>
      </x:c>
      <x:c r="AC791" s="20" t="str">
        <x:f>IF(OR(N791="",AA791="",AA791=0),"",AB791/AA791)</x:f>
      </x:c>
      <x:c r="AD791" t="str">
        <x:f>IF(AA791="","NO STANDARD",IF(AC791&lt;=Config_Status!$B$2,"EFFICIENT",IF(AC791&lt;=Config_Status!$B$3,"NORMAL",IF(AC791&lt;=Config_Status!$B$4,"WARNING","OVER CONSUMPTION"))))</x:f>
        <x:v>NO STANDARD</x:v>
      </x:c>
      <x:c r="AE791" t="str">
        <x:f>IFERROR(VLOOKUP(G791,Master_Unit!$A$2:$N$78,13,FALSE),"UNIT NOT FOUND")</x:f>
        <x:v>No Standard</x:v>
      </x:c>
    </x:row>
    <x:row r="792">
      <x:c r="A792" s="12" t="str">
        <x:v>FU-20260611-00791</x:v>
      </x:c>
      <x:c r="B792" s="12" t="n">
        <x:v>921</x:v>
      </x:c>
      <x:c r="C792" s="14" t="n">
        <x:v>46184</x:v>
      </x:c>
      <x:c r="D792" s="12" t="str">
        <x:v>Kamis</x:v>
      </x:c>
      <x:c r="E792" s="12" t="str">
        <x:v>07:06:00</x:v>
      </x:c>
      <x:c r="F792" s="12" t="str">
        <x:v>All Shift Day</x:v>
      </x:c>
      <x:c r="G792" s="12" t="str">
        <x:v>EXVV21G037</x:v>
      </x:c>
      <x:c r="H792" s="12" t="str">
        <x:v>Excavator</x:v>
      </x:c>
      <x:c r="I792" s="12" t="str">
        <x:v>EXCAVATOR VOLVO EC210D</x:v>
      </x:c>
      <x:c r="J792" s="16" t="n">
        <x:v>85</x:v>
      </x:c>
      <x:c r="K792" s="16" t="n">
        <x:v>6883.1</x:v>
      </x:c>
      <x:c r="L792" s="16" t="n">
        <x:v>6893</x:v>
      </x:c>
      <x:c r="M792" s="16" t="n">
        <x:v>9.899999999999636</x:v>
      </x:c>
      <x:c r="N792" s="16" t="n">
        <x:v>8.585858585858901</x:v>
      </x:c>
      <x:c r="O792" s="12" t="str">
        <x:v>FTRL44G004</x:v>
      </x:c>
      <x:c r="P792" s="12" t="str">
        <x:v>EXVV21G037</x:v>
      </x:c>
      <x:c r="Q792" s="12" t="str"/>
      <x:c r="R792" s="12" t="str"/>
      <x:c r="S792" s="12" t="str"/>
      <x:c r="T792" s="12" t="str">
        <x:v>ABM</x:v>
      </x:c>
      <x:c r="U792" s="12" t="str"/>
      <x:c r="V792" s="12" t="str"/>
      <x:c r="W792" s="12" t="str"/>
      <x:c r="X792" s="12" t="str">
        <x:v>EXVV21</x:v>
      </x:c>
      <x:c r="Y792" s="12" t="str">
        <x:v>FANGKI &amp; ACUNG</x:v>
      </x:c>
      <x:c r="Z792" s="12" t="str">
        <x:v>EFO</x:v>
      </x:c>
      <x:c r="AA792" s="32" t="n">
        <x:f>IFERROR(VLOOKUP(G792,Master_Unit!$A$2:$N$78,7,FALSE),"")</x:f>
        <x:v>20</x:v>
      </x:c>
      <x:c r="AB792" s="32" t="n">
        <x:f>IF(OR(N792="",AA792=""),"",N792-AA792)</x:f>
        <x:v>-11.414141414141099</x:v>
      </x:c>
      <x:c r="AC792" s="20" t="n">
        <x:f>IF(OR(N792="",AA792="",AA792=0),"",AB792/AA792)</x:f>
        <x:v>-0.570707070707055</x:v>
      </x:c>
      <x:c r="AD792" t="str">
        <x:f>IF(AA792="","NO STANDARD",IF(AC792&lt;=Config_Status!$B$2,"EFFICIENT",IF(AC792&lt;=Config_Status!$B$3,"NORMAL",IF(AC792&lt;=Config_Status!$B$4,"WARNING","OVER CONSUMPTION"))))</x:f>
        <x:v>EFFICIENT</x:v>
      </x:c>
      <x:c r="AE792" t="str">
        <x:f>IFERROR(VLOOKUP(G792,Master_Unit!$A$2:$N$78,13,FALSE),"UNIT NOT FOUND")</x:f>
        <x:v>Matched</x:v>
      </x:c>
    </x:row>
    <x:row r="793">
      <x:c r="A793" s="12" t="str">
        <x:v>FU-20260611-00792</x:v>
      </x:c>
      <x:c r="B793" s="12" t="n">
        <x:v>922</x:v>
      </x:c>
      <x:c r="C793" s="14" t="n">
        <x:v>46184</x:v>
      </x:c>
      <x:c r="D793" s="12" t="str">
        <x:v>Kamis</x:v>
      </x:c>
      <x:c r="E793" s="12" t="str">
        <x:v>07:14:00</x:v>
      </x:c>
      <x:c r="F793" s="12" t="str">
        <x:v>All Shift Day</x:v>
      </x:c>
      <x:c r="G793" s="12" t="str">
        <x:v>BDKM85G039</x:v>
      </x:c>
      <x:c r="H793" s="12" t="str">
        <x:v>Dozer</x:v>
      </x:c>
      <x:c r="I793" s="12" t="str">
        <x:v>BULDOZER KOMATSU D85ESS-2</x:v>
      </x:c>
      <x:c r="J793" s="16" t="n">
        <x:v>81</x:v>
      </x:c>
      <x:c r="K793" s="16" t="n">
        <x:v>7106</x:v>
      </x:c>
      <x:c r="L793" s="16" t="n">
        <x:v>7117.2</x:v>
      </x:c>
      <x:c r="M793" s="16" t="n">
        <x:v>11.199999999999818</x:v>
      </x:c>
      <x:c r="N793" s="16" t="n">
        <x:v>7.232142857142975</x:v>
      </x:c>
      <x:c r="O793" s="12" t="str">
        <x:v>FTRL44G004</x:v>
      </x:c>
      <x:c r="P793" s="12" t="str">
        <x:v>BDKM85G039</x:v>
      </x:c>
      <x:c r="Q793" s="12" t="str"/>
      <x:c r="R793" s="12" t="str"/>
      <x:c r="S793" s="12" t="str"/>
      <x:c r="T793" s="12" t="str">
        <x:v>ABM</x:v>
      </x:c>
      <x:c r="U793" s="12" t="str"/>
      <x:c r="V793" s="12" t="str"/>
      <x:c r="W793" s="12" t="str"/>
      <x:c r="X793" s="12" t="str">
        <x:v>BDKM85</x:v>
      </x:c>
      <x:c r="Y793" s="12" t="str">
        <x:v>FANGKI &amp; ACUNG</x:v>
      </x:c>
      <x:c r="Z793" s="12" t="str">
        <x:v>COAL HAULING</x:v>
      </x:c>
      <x:c r="AA793" s="32" t="n">
        <x:f>IFERROR(VLOOKUP(G793,Master_Unit!$A$2:$N$78,7,FALSE),"")</x:f>
        <x:v>30</x:v>
      </x:c>
      <x:c r="AB793" s="32" t="n">
        <x:f>IF(OR(N793="",AA793=""),"",N793-AA793)</x:f>
        <x:v>-22.767857142857025</x:v>
      </x:c>
      <x:c r="AC793" s="20" t="n">
        <x:f>IF(OR(N793="",AA793="",AA793=0),"",AB793/AA793)</x:f>
        <x:v>-0.7589285714285675</x:v>
      </x:c>
      <x:c r="AD793" t="str">
        <x:f>IF(AA793="","NO STANDARD",IF(AC793&lt;=Config_Status!$B$2,"EFFICIENT",IF(AC793&lt;=Config_Status!$B$3,"NORMAL",IF(AC793&lt;=Config_Status!$B$4,"WARNING","OVER CONSUMPTION"))))</x:f>
        <x:v>EFFICIENT</x:v>
      </x:c>
      <x:c r="AE793" t="str">
        <x:f>IFERROR(VLOOKUP(G793,Master_Unit!$A$2:$N$78,13,FALSE),"UNIT NOT FOUND")</x:f>
        <x:v>Matched</x:v>
      </x:c>
    </x:row>
    <x:row r="794">
      <x:c r="A794" s="12" t="str">
        <x:v>FU-20260611-00793</x:v>
      </x:c>
      <x:c r="B794" s="12" t="n">
        <x:v>923</x:v>
      </x:c>
      <x:c r="C794" s="14" t="n">
        <x:v>46184</x:v>
      </x:c>
      <x:c r="D794" s="12" t="str">
        <x:v>Kamis</x:v>
      </x:c>
      <x:c r="E794" s="12" t="str">
        <x:v>07:17:00</x:v>
      </x:c>
      <x:c r="F794" s="12" t="str">
        <x:v>All Shift Day</x:v>
      </x:c>
      <x:c r="G794" s="12" t="str">
        <x:v>WTRL44G006</x:v>
      </x:c>
      <x:c r="H794" s="12" t="str">
        <x:v>Water Truck</x:v>
      </x:c>
      <x:c r="I794" s="12" t="str">
        <x:v>WATER TRUCK RENAULT KRANGE440-P6X4 A/T</x:v>
      </x:c>
      <x:c r="J794" s="16" t="n">
        <x:v>70</x:v>
      </x:c>
      <x:c r="K794" s="16" t="n">
        <x:v>2040</x:v>
      </x:c>
      <x:c r="L794" s="16" t="n">
        <x:v>2050</x:v>
      </x:c>
      <x:c r="M794" s="16" t="n">
        <x:v>10</x:v>
      </x:c>
      <x:c r="N794" s="16" t="n">
        <x:v>7</x:v>
      </x:c>
      <x:c r="O794" s="12" t="str">
        <x:v>FTRL44G004</x:v>
      </x:c>
      <x:c r="P794" s="12" t="str">
        <x:v>WTRL44G006</x:v>
      </x:c>
      <x:c r="Q794" s="12" t="str"/>
      <x:c r="R794" s="12" t="str"/>
      <x:c r="S794" s="12" t="str"/>
      <x:c r="T794" s="12" t="str">
        <x:v>ABM</x:v>
      </x:c>
      <x:c r="U794" s="12" t="str"/>
      <x:c r="V794" s="12" t="str"/>
      <x:c r="W794" s="12" t="str"/>
      <x:c r="X794" s="12" t="str">
        <x:v>WTRL44</x:v>
      </x:c>
      <x:c r="Y794" s="12" t="str">
        <x:v>FANGKI &amp; ACUNG</x:v>
      </x:c>
      <x:c r="Z794" s="12" t="str">
        <x:v>COAL HAULING</x:v>
      </x:c>
      <x:c r="AA794" s="32" t="n">
        <x:f>IFERROR(VLOOKUP(G794,Master_Unit!$A$2:$N$78,7,FALSE),"")</x:f>
        <x:v>20</x:v>
      </x:c>
      <x:c r="AB794" s="32" t="n">
        <x:f>IF(OR(N794="",AA794=""),"",N794-AA794)</x:f>
        <x:v>-13</x:v>
      </x:c>
      <x:c r="AC794" s="20" t="n">
        <x:f>IF(OR(N794="",AA794="",AA794=0),"",AB794/AA794)</x:f>
        <x:v>-0.65</x:v>
      </x:c>
      <x:c r="AD794" t="str">
        <x:f>IF(AA794="","NO STANDARD",IF(AC794&lt;=Config_Status!$B$2,"EFFICIENT",IF(AC794&lt;=Config_Status!$B$3,"NORMAL",IF(AC794&lt;=Config_Status!$B$4,"WARNING","OVER CONSUMPTION"))))</x:f>
        <x:v>EFFICIENT</x:v>
      </x:c>
      <x:c r="AE794" t="str">
        <x:f>IFERROR(VLOOKUP(G794,Master_Unit!$A$2:$N$78,13,FALSE),"UNIT NOT FOUND")</x:f>
        <x:v>Matched</x:v>
      </x:c>
    </x:row>
    <x:row r="795">
      <x:c r="A795" s="12" t="str">
        <x:v>FU-20260611-00794</x:v>
      </x:c>
      <x:c r="B795" s="12" t="n">
        <x:v>924</x:v>
      </x:c>
      <x:c r="C795" s="14" t="n">
        <x:v>46184</x:v>
      </x:c>
      <x:c r="D795" s="12" t="str">
        <x:v>Kamis</x:v>
      </x:c>
      <x:c r="E795" s="12" t="str">
        <x:v>07:23:00</x:v>
      </x:c>
      <x:c r="F795" s="12" t="str">
        <x:v>All Shift Day</x:v>
      </x:c>
      <x:c r="G795" s="12" t="str">
        <x:v>STRL44G138</x:v>
      </x:c>
      <x:c r="H795" s="12" t="str">
        <x:v>Dump Truck</x:v>
      </x:c>
      <x:c r="I795" s="12" t="str">
        <x:v>DUMP TRUCK RENAULT KRANGE440-P6X4 A/T</x:v>
      </x:c>
      <x:c r="J795" s="16" t="n">
        <x:v>95</x:v>
      </x:c>
      <x:c r="K795" s="16" t="n">
        <x:v>5332</x:v>
      </x:c>
      <x:c r="L795" s="16" t="n">
        <x:v>5339</x:v>
      </x:c>
      <x:c r="M795" s="16" t="n">
        <x:v>7</x:v>
      </x:c>
      <x:c r="N795" s="16" t="n">
        <x:v>13.571428571428571</x:v>
      </x:c>
      <x:c r="O795" s="12" t="str">
        <x:v>FTRL44G004</x:v>
      </x:c>
      <x:c r="P795" s="12" t="str">
        <x:v>STRL44G138</x:v>
      </x:c>
      <x:c r="Q795" s="12" t="str"/>
      <x:c r="R795" s="12" t="str"/>
      <x:c r="S795" s="12" t="str"/>
      <x:c r="T795" s="12" t="str">
        <x:v>ABM</x:v>
      </x:c>
      <x:c r="U795" s="12" t="str"/>
      <x:c r="V795" s="12" t="str"/>
      <x:c r="W795" s="12" t="str"/>
      <x:c r="X795" s="12" t="str">
        <x:v>STRL44</x:v>
      </x:c>
      <x:c r="Y795" s="12" t="str">
        <x:v>FANGKI &amp; ACUNG</x:v>
      </x:c>
      <x:c r="Z795" s="12" t="str">
        <x:v>COAL HAULING</x:v>
      </x:c>
      <x:c r="AA795" s="32" t="n">
        <x:f>IFERROR(VLOOKUP(G795,Master_Unit!$A$2:$N$78,7,FALSE),"")</x:f>
        <x:v>20</x:v>
      </x:c>
      <x:c r="AB795" s="32" t="n">
        <x:f>IF(OR(N795="",AA795=""),"",N795-AA795)</x:f>
        <x:v>-6.428571428571429</x:v>
      </x:c>
      <x:c r="AC795" s="20" t="n">
        <x:f>IF(OR(N795="",AA795="",AA795=0),"",AB795/AA795)</x:f>
        <x:v>-0.32142857142857145</x:v>
      </x:c>
      <x:c r="AD795" t="str">
        <x:f>IF(AA795="","NO STANDARD",IF(AC795&lt;=Config_Status!$B$2,"EFFICIENT",IF(AC795&lt;=Config_Status!$B$3,"NORMAL",IF(AC795&lt;=Config_Status!$B$4,"WARNING","OVER CONSUMPTION"))))</x:f>
        <x:v>EFFICIENT</x:v>
      </x:c>
      <x:c r="AE795" t="str">
        <x:f>IFERROR(VLOOKUP(G795,Master_Unit!$A$2:$N$78,13,FALSE),"UNIT NOT FOUND")</x:f>
        <x:v>Matched</x:v>
      </x:c>
    </x:row>
    <x:row r="796">
      <x:c r="A796" s="12" t="str">
        <x:v>FU-20260611-00795</x:v>
      </x:c>
      <x:c r="B796" s="12" t="n">
        <x:v>925</x:v>
      </x:c>
      <x:c r="C796" s="14" t="n">
        <x:v>46184</x:v>
      </x:c>
      <x:c r="D796" s="12" t="str">
        <x:v>Kamis</x:v>
      </x:c>
      <x:c r="E796" s="12" t="str">
        <x:v>07:27:00</x:v>
      </x:c>
      <x:c r="F796" s="12" t="str">
        <x:v>All Shift Day</x:v>
      </x:c>
      <x:c r="G796" s="12" t="str">
        <x:v>LVTH24R026</x:v>
      </x:c>
      <x:c r="H796" s="12" t="str">
        <x:v>Light Vehicle</x:v>
      </x:c>
      <x:c r="I796" s="12" t="str">
        <x:v>LIGHT VEHICLE TOYOTA HILUX</x:v>
      </x:c>
      <x:c r="J796" s="16" t="n">
        <x:v>20</x:v>
      </x:c>
      <x:c r="K796" s="16" t="n">
        <x:v>59458</x:v>
      </x:c>
      <x:c r="L796" s="16" t="n">
        <x:v>59578</x:v>
      </x:c>
      <x:c r="M796" s="16" t="n">
        <x:v>120</x:v>
      </x:c>
      <x:c r="N796" s="16" t="n">
        <x:v>0.16666666666666666</x:v>
      </x:c>
      <x:c r="O796" s="12" t="str">
        <x:v>FTRL44G004</x:v>
      </x:c>
      <x:c r="P796" s="12" t="str">
        <x:v>LVTH24R026</x:v>
      </x:c>
      <x:c r="Q796" s="12" t="str"/>
      <x:c r="R796" s="12" t="str"/>
      <x:c r="S796" s="12" t="str"/>
      <x:c r="T796" s="12" t="str">
        <x:v>ABM</x:v>
      </x:c>
      <x:c r="U796" s="12" t="str"/>
      <x:c r="V796" s="12" t="str"/>
      <x:c r="W796" s="12" t="str"/>
      <x:c r="X796" s="12" t="str">
        <x:v>LVTH24</x:v>
      </x:c>
      <x:c r="Y796" s="12" t="str">
        <x:v>FANGKI &amp; ACUNG</x:v>
      </x:c>
      <x:c r="Z796" s="12" t="str">
        <x:v>COAL HAULING</x:v>
      </x:c>
      <x:c r="AA796" s="32" t="n">
        <x:f>IFERROR(VLOOKUP(G796,Master_Unit!$A$2:$N$78,7,FALSE),"")</x:f>
        <x:v>0.2</x:v>
      </x:c>
      <x:c r="AB796" s="32" t="n">
        <x:f>IF(OR(N796="",AA796=""),"",N796-AA796)</x:f>
        <x:v>-0.033333333333333354</x:v>
      </x:c>
      <x:c r="AC796" s="20" t="n">
        <x:f>IF(OR(N796="",AA796="",AA796=0),"",AB796/AA796)</x:f>
        <x:v>-0.16666666666666677</x:v>
      </x:c>
      <x:c r="AD796" t="str">
        <x:f>IF(AA796="","NO STANDARD",IF(AC796&lt;=Config_Status!$B$2,"EFFICIENT",IF(AC796&lt;=Config_Status!$B$3,"NORMAL",IF(AC796&lt;=Config_Status!$B$4,"WARNING","OVER CONSUMPTION"))))</x:f>
        <x:v>EFFICIENT</x:v>
      </x:c>
      <x:c r="AE796" t="str">
        <x:f>IFERROR(VLOOKUP(G796,Master_Unit!$A$2:$N$78,13,FALSE),"UNIT NOT FOUND")</x:f>
        <x:v>Matched</x:v>
      </x:c>
    </x:row>
    <x:row r="797">
      <x:c r="A797" s="12" t="str">
        <x:v>FU-20260611-00796</x:v>
      </x:c>
      <x:c r="B797" s="12" t="n">
        <x:v>926</x:v>
      </x:c>
      <x:c r="C797" s="14" t="n">
        <x:v>46184</x:v>
      </x:c>
      <x:c r="D797" s="12" t="str">
        <x:v>Kamis</x:v>
      </x:c>
      <x:c r="E797" s="12" t="str">
        <x:v>07:28:00</x:v>
      </x:c>
      <x:c r="F797" s="12" t="str">
        <x:v>All Shift Day</x:v>
      </x:c>
      <x:c r="G797" s="12" t="str">
        <x:v>LVTH24R034</x:v>
      </x:c>
      <x:c r="H797" s="12" t="str">
        <x:v>Light Vehicle</x:v>
      </x:c>
      <x:c r="I797" s="12" t="str">
        <x:v>LIGHT VEHICLE TOYOTA HILUX</x:v>
      </x:c>
      <x:c r="J797" s="16" t="n">
        <x:v>34</x:v>
      </x:c>
      <x:c r="K797" s="16" t="n">
        <x:v>48598</x:v>
      </x:c>
      <x:c r="L797" s="16" t="n">
        <x:v>48777</x:v>
      </x:c>
      <x:c r="M797" s="16" t="n">
        <x:v>179</x:v>
      </x:c>
      <x:c r="N797" s="16" t="n">
        <x:v>0.18994413407821228</x:v>
      </x:c>
      <x:c r="O797" s="12" t="str">
        <x:v>FTRL44G004</x:v>
      </x:c>
      <x:c r="P797" s="12" t="str">
        <x:v>LVTH24R034</x:v>
      </x:c>
      <x:c r="Q797" s="12" t="str"/>
      <x:c r="R797" s="12" t="str"/>
      <x:c r="S797" s="12" t="str"/>
      <x:c r="T797" s="12" t="str">
        <x:v>ABM</x:v>
      </x:c>
      <x:c r="U797" s="12" t="str"/>
      <x:c r="V797" s="12" t="str"/>
      <x:c r="W797" s="12" t="str"/>
      <x:c r="X797" s="12" t="str">
        <x:v>LVTH24</x:v>
      </x:c>
      <x:c r="Y797" s="12" t="str">
        <x:v>FANGKI &amp; ACUNG</x:v>
      </x:c>
      <x:c r="Z797" s="12" t="str">
        <x:v>COAL HAULING</x:v>
      </x:c>
      <x:c r="AA797" s="32" t="n">
        <x:f>IFERROR(VLOOKUP(G797,Master_Unit!$A$2:$N$78,7,FALSE),"")</x:f>
        <x:v>0.2</x:v>
      </x:c>
      <x:c r="AB797" s="32" t="n">
        <x:f>IF(OR(N797="",AA797=""),"",N797-AA797)</x:f>
        <x:v>-0.010055865921787727</x:v>
      </x:c>
      <x:c r="AC797" s="20" t="n">
        <x:f>IF(OR(N797="",AA797="",AA797=0),"",AB797/AA797)</x:f>
        <x:v>-0.05027932960893863</x:v>
      </x:c>
      <x:c r="AD797" t="str">
        <x:f>IF(AA797="","NO STANDARD",IF(AC797&lt;=Config_Status!$B$2,"EFFICIENT",IF(AC797&lt;=Config_Status!$B$3,"NORMAL",IF(AC797&lt;=Config_Status!$B$4,"WARNING","OVER CONSUMPTION"))))</x:f>
        <x:v>NORMAL</x:v>
      </x:c>
      <x:c r="AE797" t="str">
        <x:f>IFERROR(VLOOKUP(G797,Master_Unit!$A$2:$N$78,13,FALSE),"UNIT NOT FOUND")</x:f>
        <x:v>Matched</x:v>
      </x:c>
    </x:row>
    <x:row r="798">
      <x:c r="A798" s="12" t="str">
        <x:v>FU-20260611-00797</x:v>
      </x:c>
      <x:c r="B798" s="12" t="n">
        <x:v>927</x:v>
      </x:c>
      <x:c r="C798" s="14" t="n">
        <x:v>46184</x:v>
      </x:c>
      <x:c r="D798" s="12" t="str">
        <x:v>Kamis</x:v>
      </x:c>
      <x:c r="E798" s="12" t="str">
        <x:v>07:36:00</x:v>
      </x:c>
      <x:c r="F798" s="12" t="str">
        <x:v>All Shift Day</x:v>
      </x:c>
      <x:c r="G798" s="12" t="str">
        <x:v>MGSD20G007</x:v>
      </x:c>
      <x:c r="H798" s="12" t="str">
        <x:v>Other</x:v>
      </x:c>
      <x:c r="I798" s="12" t="str">
        <x:v>MOTOR GRADER SDLG GD9220F</x:v>
      </x:c>
      <x:c r="J798" s="16" t="n">
        <x:v>59</x:v>
      </x:c>
      <x:c r="K798" s="16" t="n">
        <x:v>3744</x:v>
      </x:c>
      <x:c r="L798" s="16" t="n">
        <x:v>3748.9</x:v>
      </x:c>
      <x:c r="M798" s="16" t="n">
        <x:v>4.900000000000091</x:v>
      </x:c>
      <x:c r="N798" s="16" t="n">
        <x:v>12.040816326530388</x:v>
      </x:c>
      <x:c r="O798" s="12" t="str">
        <x:v>FTRL44G004</x:v>
      </x:c>
      <x:c r="P798" s="12" t="str">
        <x:v>MGSD20G007</x:v>
      </x:c>
      <x:c r="Q798" s="12" t="str"/>
      <x:c r="R798" s="12" t="str"/>
      <x:c r="S798" s="12" t="str"/>
      <x:c r="T798" s="12" t="str">
        <x:v>ABM</x:v>
      </x:c>
      <x:c r="U798" s="12" t="str"/>
      <x:c r="V798" s="12" t="str"/>
      <x:c r="W798" s="12" t="str"/>
      <x:c r="X798" s="12" t="str">
        <x:v>MGSD20</x:v>
      </x:c>
      <x:c r="Y798" s="12" t="str">
        <x:v>FANGKI &amp; ACUNG</x:v>
      </x:c>
      <x:c r="Z798" s="12" t="str">
        <x:v>COAL HAULING</x:v>
      </x:c>
      <x:c r="AA798" s="32" t="n">
        <x:f>IFERROR(VLOOKUP(G798,Master_Unit!$A$2:$N$78,7,FALSE),"")</x:f>
        <x:v>20</x:v>
      </x:c>
      <x:c r="AB798" s="32" t="n">
        <x:f>IF(OR(N798="",AA798=""),"",N798-AA798)</x:f>
        <x:v>-7.959183673469612</x:v>
      </x:c>
      <x:c r="AC798" s="20" t="n">
        <x:f>IF(OR(N798="",AA798="",AA798=0),"",AB798/AA798)</x:f>
        <x:v>-0.3979591836734806</x:v>
      </x:c>
      <x:c r="AD798" t="str">
        <x:f>IF(AA798="","NO STANDARD",IF(AC798&lt;=Config_Status!$B$2,"EFFICIENT",IF(AC798&lt;=Config_Status!$B$3,"NORMAL",IF(AC798&lt;=Config_Status!$B$4,"WARNING","OVER CONSUMPTION"))))</x:f>
        <x:v>EFFICIENT</x:v>
      </x:c>
      <x:c r="AE798" t="str">
        <x:f>IFERROR(VLOOKUP(G798,Master_Unit!$A$2:$N$78,13,FALSE),"UNIT NOT FOUND")</x:f>
        <x:v>Matched</x:v>
      </x:c>
    </x:row>
    <x:row r="799">
      <x:c r="A799" s="12" t="str">
        <x:v>FU-20260611-00798</x:v>
      </x:c>
      <x:c r="B799" s="12" t="n">
        <x:v>928</x:v>
      </x:c>
      <x:c r="C799" s="14" t="n">
        <x:v>46184</x:v>
      </x:c>
      <x:c r="D799" s="12" t="str">
        <x:v>Kamis</x:v>
      </x:c>
      <x:c r="E799" s="12" t="str">
        <x:v>07:48:00</x:v>
      </x:c>
      <x:c r="F799" s="12" t="str">
        <x:v>All Shift Day</x:v>
      </x:c>
      <x:c r="G799" s="12" t="str">
        <x:v>EXVV21G042</x:v>
      </x:c>
      <x:c r="H799" s="12" t="str">
        <x:v>Excavator</x:v>
      </x:c>
      <x:c r="I799" s="12" t="str">
        <x:v>EXCAVATOR VOLVO EC210D</x:v>
      </x:c>
      <x:c r="J799" s="16" t="n">
        <x:v>97</x:v>
      </x:c>
      <x:c r="K799" s="16" t="n">
        <x:v>7758.9</x:v>
      </x:c>
      <x:c r="L799" s="16" t="n">
        <x:v>7768.6</x:v>
      </x:c>
      <x:c r="M799" s="16" t="n">
        <x:v>9.700000000000728</x:v>
      </x:c>
      <x:c r="N799" s="16" t="n">
        <x:v>9.99999999999925</x:v>
      </x:c>
      <x:c r="O799" s="12" t="str">
        <x:v>FTRL44G004</x:v>
      </x:c>
      <x:c r="P799" s="12" t="str">
        <x:v>EXVV21G042</x:v>
      </x:c>
      <x:c r="Q799" s="12" t="str"/>
      <x:c r="R799" s="12" t="str"/>
      <x:c r="S799" s="12" t="str"/>
      <x:c r="T799" s="12" t="str">
        <x:v>ABM</x:v>
      </x:c>
      <x:c r="U799" s="12" t="str"/>
      <x:c r="V799" s="12" t="str"/>
      <x:c r="W799" s="12" t="str"/>
      <x:c r="X799" s="12" t="str">
        <x:v>EXVV21</x:v>
      </x:c>
      <x:c r="Y799" s="12" t="str">
        <x:v>FANGKI &amp; ACUNG</x:v>
      </x:c>
      <x:c r="Z799" s="12" t="str">
        <x:v>COAL HAULING</x:v>
      </x:c>
      <x:c r="AA799" s="32" t="n">
        <x:f>IFERROR(VLOOKUP(G799,Master_Unit!$A$2:$N$78,7,FALSE),"")</x:f>
        <x:v>20</x:v>
      </x:c>
      <x:c r="AB799" s="32" t="n">
        <x:f>IF(OR(N799="",AA799=""),"",N799-AA799)</x:f>
        <x:v>-10.00000000000075</x:v>
      </x:c>
      <x:c r="AC799" s="20" t="n">
        <x:f>IF(OR(N799="",AA799="",AA799=0),"",AB799/AA799)</x:f>
        <x:v>-0.5000000000000375</x:v>
      </x:c>
      <x:c r="AD799" t="str">
        <x:f>IF(AA799="","NO STANDARD",IF(AC799&lt;=Config_Status!$B$2,"EFFICIENT",IF(AC799&lt;=Config_Status!$B$3,"NORMAL",IF(AC799&lt;=Config_Status!$B$4,"WARNING","OVER CONSUMPTION"))))</x:f>
        <x:v>EFFICIENT</x:v>
      </x:c>
      <x:c r="AE799" t="str">
        <x:f>IFERROR(VLOOKUP(G799,Master_Unit!$A$2:$N$78,13,FALSE),"UNIT NOT FOUND")</x:f>
        <x:v>Matched</x:v>
      </x:c>
    </x:row>
    <x:row r="800">
      <x:c r="A800" s="12" t="str">
        <x:v>FU-20260611-00799</x:v>
      </x:c>
      <x:c r="B800" s="12" t="n">
        <x:v>929</x:v>
      </x:c>
      <x:c r="C800" s="14" t="n">
        <x:v>46184</x:v>
      </x:c>
      <x:c r="D800" s="12" t="str">
        <x:v>Kamis</x:v>
      </x:c>
      <x:c r="E800" s="12" t="str">
        <x:v>07:52:00</x:v>
      </x:c>
      <x:c r="F800" s="12" t="str">
        <x:v>All Shift Day</x:v>
      </x:c>
      <x:c r="G800" s="12" t="str">
        <x:v>EXVV21G032</x:v>
      </x:c>
      <x:c r="H800" s="12" t="str">
        <x:v>Excavator</x:v>
      </x:c>
      <x:c r="I800" s="12" t="str">
        <x:v>EXCAVATOR VOLVO EC210D</x:v>
      </x:c>
      <x:c r="J800" s="16" t="n">
        <x:v>90</x:v>
      </x:c>
      <x:c r="K800" s="16" t="n">
        <x:v>7531.8</x:v>
      </x:c>
      <x:c r="L800" s="16" t="n">
        <x:v>7542.1</x:v>
      </x:c>
      <x:c r="M800" s="16" t="n">
        <x:v>10.300000000000182</x:v>
      </x:c>
      <x:c r="N800" s="16" t="n">
        <x:v>8.737864077669748</x:v>
      </x:c>
      <x:c r="O800" s="12" t="str">
        <x:v>FTRL44G004</x:v>
      </x:c>
      <x:c r="P800" s="12" t="str">
        <x:v>EXVV21G032</x:v>
      </x:c>
      <x:c r="Q800" s="12" t="str"/>
      <x:c r="R800" s="12" t="str"/>
      <x:c r="S800" s="12" t="str"/>
      <x:c r="T800" s="12" t="str">
        <x:v>ABM</x:v>
      </x:c>
      <x:c r="U800" s="12" t="str"/>
      <x:c r="V800" s="12" t="str"/>
      <x:c r="W800" s="12" t="str"/>
      <x:c r="X800" s="12" t="str">
        <x:v>EXVV21</x:v>
      </x:c>
      <x:c r="Y800" s="12" t="str">
        <x:v>FANGKI &amp; ACUNG</x:v>
      </x:c>
      <x:c r="Z800" s="12" t="str">
        <x:v>COAL HAULING</x:v>
      </x:c>
      <x:c r="AA800" s="32" t="n">
        <x:f>IFERROR(VLOOKUP(G800,Master_Unit!$A$2:$N$78,7,FALSE),"")</x:f>
        <x:v>20</x:v>
      </x:c>
      <x:c r="AB800" s="32" t="n">
        <x:f>IF(OR(N800="",AA800=""),"",N800-AA800)</x:f>
        <x:v>-11.262135922330252</x:v>
      </x:c>
      <x:c r="AC800" s="20" t="n">
        <x:f>IF(OR(N800="",AA800="",AA800=0),"",AB800/AA800)</x:f>
        <x:v>-0.5631067961165126</x:v>
      </x:c>
      <x:c r="AD800" t="str">
        <x:f>IF(AA800="","NO STANDARD",IF(AC800&lt;=Config_Status!$B$2,"EFFICIENT",IF(AC800&lt;=Config_Status!$B$3,"NORMAL",IF(AC800&lt;=Config_Status!$B$4,"WARNING","OVER CONSUMPTION"))))</x:f>
        <x:v>EFFICIENT</x:v>
      </x:c>
      <x:c r="AE800" t="str">
        <x:f>IFERROR(VLOOKUP(G800,Master_Unit!$A$2:$N$78,13,FALSE),"UNIT NOT FOUND")</x:f>
        <x:v>Matched</x:v>
      </x:c>
    </x:row>
    <x:row r="801">
      <x:c r="A801" s="12" t="str">
        <x:v>FU-20260611-00800</x:v>
      </x:c>
      <x:c r="B801" s="12" t="n">
        <x:v>930</x:v>
      </x:c>
      <x:c r="C801" s="14" t="n">
        <x:v>46184</x:v>
      </x:c>
      <x:c r="D801" s="12" t="str">
        <x:v>Kamis</x:v>
      </x:c>
      <x:c r="E801" s="12" t="str">
        <x:v>07:56:00</x:v>
      </x:c>
      <x:c r="F801" s="12" t="str">
        <x:v>All Shift Day</x:v>
      </x:c>
      <x:c r="G801" s="12" t="str">
        <x:v>LVTH24R024</x:v>
      </x:c>
      <x:c r="H801" s="12" t="str">
        <x:v>Light Vehicle</x:v>
      </x:c>
      <x:c r="I801" s="12" t="str">
        <x:v>LIGHT VEHICLE TOYOTA HILUX</x:v>
      </x:c>
      <x:c r="J801" s="16" t="n">
        <x:v>21</x:v>
      </x:c>
      <x:c r="K801" s="16" t="n">
        <x:v>46539</x:v>
      </x:c>
      <x:c r="L801" s="16" t="n">
        <x:v>46612</x:v>
      </x:c>
      <x:c r="M801" s="16" t="n">
        <x:v>73</x:v>
      </x:c>
      <x:c r="N801" s="16" t="n">
        <x:v>0.2876712328767123</x:v>
      </x:c>
      <x:c r="O801" s="12" t="str">
        <x:v>FTRL44G004</x:v>
      </x:c>
      <x:c r="P801" s="12" t="str">
        <x:v>LVTH24R024</x:v>
      </x:c>
      <x:c r="Q801" s="12" t="str"/>
      <x:c r="R801" s="12" t="str"/>
      <x:c r="S801" s="12" t="str"/>
      <x:c r="T801" s="12" t="str">
        <x:v>ABM</x:v>
      </x:c>
      <x:c r="U801" s="12" t="str"/>
      <x:c r="V801" s="12" t="str"/>
      <x:c r="W801" s="12" t="str"/>
      <x:c r="X801" s="12" t="str">
        <x:v>LVTH24</x:v>
      </x:c>
      <x:c r="Y801" s="12" t="str">
        <x:v>FANGKI &amp; ACUNG</x:v>
      </x:c>
      <x:c r="Z801" s="12" t="str">
        <x:v>COAL HAULING</x:v>
      </x:c>
      <x:c r="AA801" s="32" t="n">
        <x:f>IFERROR(VLOOKUP(G801,Master_Unit!$A$2:$N$78,7,FALSE),"")</x:f>
        <x:v>0.2</x:v>
      </x:c>
      <x:c r="AB801" s="32" t="n">
        <x:f>IF(OR(N801="",AA801=""),"",N801-AA801)</x:f>
        <x:v>0.0876712328767123</x:v>
      </x:c>
      <x:c r="AC801" s="20" t="n">
        <x:f>IF(OR(N801="",AA801="",AA801=0),"",AB801/AA801)</x:f>
        <x:v>0.4383561643835615</x:v>
      </x:c>
      <x:c r="AD801" t="str">
        <x:f>IF(AA801="","NO STANDARD",IF(AC801&lt;=Config_Status!$B$2,"EFFICIENT",IF(AC801&lt;=Config_Status!$B$3,"NORMAL",IF(AC801&lt;=Config_Status!$B$4,"WARNING","OVER CONSUMPTION"))))</x:f>
        <x:v>OVER CONSUMPTION</x:v>
      </x:c>
      <x:c r="AE801" t="str">
        <x:f>IFERROR(VLOOKUP(G801,Master_Unit!$A$2:$N$78,13,FALSE),"UNIT NOT FOUND")</x:f>
        <x:v>Matched</x:v>
      </x:c>
    </x:row>
    <x:row r="802">
      <x:c r="A802" s="12" t="str">
        <x:v>FU-20260611-00801</x:v>
      </x:c>
      <x:c r="B802" s="12" t="n">
        <x:v>931</x:v>
      </x:c>
      <x:c r="C802" s="14" t="n">
        <x:v>46184</x:v>
      </x:c>
      <x:c r="D802" s="12" t="str">
        <x:v>Kamis</x:v>
      </x:c>
      <x:c r="E802" s="12" t="str">
        <x:v>08:03:00</x:v>
      </x:c>
      <x:c r="F802" s="12" t="str">
        <x:v>All Shift Day</x:v>
      </x:c>
      <x:c r="G802" s="12" t="str">
        <x:v>VRVV11G012</x:v>
      </x:c>
      <x:c r="H802" s="12" t="str">
        <x:v>Compactor</x:v>
      </x:c>
      <x:c r="I802" s="12" t="str">
        <x:v>VIBRO COMPACTOR VOLVO SD110NE</x:v>
      </x:c>
      <x:c r="J802" s="16" t="n">
        <x:v>54</x:v>
      </x:c>
      <x:c r="K802" s="16" t="n">
        <x:v>3317.4</x:v>
      </x:c>
      <x:c r="L802" s="16" t="n">
        <x:v>3323.5</x:v>
      </x:c>
      <x:c r="M802" s="16" t="n">
        <x:v>6.099999999999909</x:v>
      </x:c>
      <x:c r="N802" s="16" t="n">
        <x:v>8.852459016393574</x:v>
      </x:c>
      <x:c r="O802" s="12" t="str">
        <x:v>FTRL44G004</x:v>
      </x:c>
      <x:c r="P802" s="12" t="str">
        <x:v>VRVV11G012</x:v>
      </x:c>
      <x:c r="Q802" s="12" t="str"/>
      <x:c r="R802" s="12" t="str"/>
      <x:c r="S802" s="12" t="str"/>
      <x:c r="T802" s="12" t="str">
        <x:v>ABM</x:v>
      </x:c>
      <x:c r="U802" s="12" t="str"/>
      <x:c r="V802" s="12" t="str"/>
      <x:c r="W802" s="12" t="str"/>
      <x:c r="X802" s="12" t="str">
        <x:v>VRVV11</x:v>
      </x:c>
      <x:c r="Y802" s="12" t="str">
        <x:v>FANGKI &amp; ACUNG</x:v>
      </x:c>
      <x:c r="Z802" s="12" t="str">
        <x:v>COAL HAULING</x:v>
      </x:c>
      <x:c r="AA802" s="32" t="n">
        <x:f>IFERROR(VLOOKUP(G802,Master_Unit!$A$2:$N$78,7,FALSE),"")</x:f>
        <x:v>15</x:v>
      </x:c>
      <x:c r="AB802" s="32" t="n">
        <x:f>IF(OR(N802="",AA802=""),"",N802-AA802)</x:f>
        <x:v>-6.147540983606426</x:v>
      </x:c>
      <x:c r="AC802" s="20" t="n">
        <x:f>IF(OR(N802="",AA802="",AA802=0),"",AB802/AA802)</x:f>
        <x:v>-0.40983606557376173</x:v>
      </x:c>
      <x:c r="AD802" t="str">
        <x:f>IF(AA802="","NO STANDARD",IF(AC802&lt;=Config_Status!$B$2,"EFFICIENT",IF(AC802&lt;=Config_Status!$B$3,"NORMAL",IF(AC802&lt;=Config_Status!$B$4,"WARNING","OVER CONSUMPTION"))))</x:f>
        <x:v>EFFICIENT</x:v>
      </x:c>
      <x:c r="AE802" t="str">
        <x:f>IFERROR(VLOOKUP(G802,Master_Unit!$A$2:$N$78,13,FALSE),"UNIT NOT FOUND")</x:f>
        <x:v>Matched</x:v>
      </x:c>
    </x:row>
    <x:row r="803">
      <x:c r="A803" s="12" t="str">
        <x:v>FU-20260611-00802</x:v>
      </x:c>
      <x:c r="B803" s="12" t="n">
        <x:v>932</x:v>
      </x:c>
      <x:c r="C803" s="14" t="n">
        <x:v>46184</x:v>
      </x:c>
      <x:c r="D803" s="12" t="str">
        <x:v>Kamis</x:v>
      </x:c>
      <x:c r="E803" s="12" t="str">
        <x:v>08:07:00</x:v>
      </x:c>
      <x:c r="F803" s="12" t="str">
        <x:v>All Shift Day</x:v>
      </x:c>
      <x:c r="G803" s="12" t="str">
        <x:v>STRL44G154</x:v>
      </x:c>
      <x:c r="H803" s="12" t="str">
        <x:v>Dump Truck</x:v>
      </x:c>
      <x:c r="I803" s="12" t="str">
        <x:v>DUMP TRUCK RENAULT KRANGE440-P6X4 A/T</x:v>
      </x:c>
      <x:c r="J803" s="16" t="n">
        <x:v>196</x:v>
      </x:c>
      <x:c r="K803" s="16" t="n">
        <x:v>4124</x:v>
      </x:c>
      <x:c r="L803" s="16" t="n">
        <x:v>4133</x:v>
      </x:c>
      <x:c r="M803" s="16" t="n">
        <x:v>9</x:v>
      </x:c>
      <x:c r="N803" s="16" t="n">
        <x:v>21.77777777777778</x:v>
      </x:c>
      <x:c r="O803" s="12" t="str">
        <x:v>FTRL44G004</x:v>
      </x:c>
      <x:c r="P803" s="12" t="str">
        <x:v>STRL44G154</x:v>
      </x:c>
      <x:c r="Q803" s="12" t="str"/>
      <x:c r="R803" s="12" t="str"/>
      <x:c r="S803" s="12" t="str"/>
      <x:c r="T803" s="12" t="str">
        <x:v>ABM</x:v>
      </x:c>
      <x:c r="U803" s="12" t="str"/>
      <x:c r="V803" s="12" t="str"/>
      <x:c r="W803" s="12" t="str"/>
      <x:c r="X803" s="12" t="str">
        <x:v>STRL44</x:v>
      </x:c>
      <x:c r="Y803" s="12" t="str">
        <x:v>FANGKI &amp; ACUNG</x:v>
      </x:c>
      <x:c r="Z803" s="12" t="str">
        <x:v>COAL HAULING</x:v>
      </x:c>
      <x:c r="AA803" s="32" t="n">
        <x:f>IFERROR(VLOOKUP(G803,Master_Unit!$A$2:$N$78,7,FALSE),"")</x:f>
        <x:v>20</x:v>
      </x:c>
      <x:c r="AB803" s="32" t="n">
        <x:f>IF(OR(N803="",AA803=""),"",N803-AA803)</x:f>
        <x:v>1.7777777777777786</x:v>
      </x:c>
      <x:c r="AC803" s="20" t="n">
        <x:f>IF(OR(N803="",AA803="",AA803=0),"",AB803/AA803)</x:f>
        <x:v>0.08888888888888893</x:v>
      </x:c>
      <x:c r="AD803" t="str">
        <x:f>IF(AA803="","NO STANDARD",IF(AC803&lt;=Config_Status!$B$2,"EFFICIENT",IF(AC803&lt;=Config_Status!$B$3,"NORMAL",IF(AC803&lt;=Config_Status!$B$4,"WARNING","OVER CONSUMPTION"))))</x:f>
        <x:v>NORMAL</x:v>
      </x:c>
      <x:c r="AE803" t="str">
        <x:f>IFERROR(VLOOKUP(G803,Master_Unit!$A$2:$N$78,13,FALSE),"UNIT NOT FOUND")</x:f>
        <x:v>Matched</x:v>
      </x:c>
    </x:row>
    <x:row r="804">
      <x:c r="A804" s="12" t="str">
        <x:v>FU-20260611-00803</x:v>
      </x:c>
      <x:c r="B804" s="12" t="n">
        <x:v>933</x:v>
      </x:c>
      <x:c r="C804" s="14" t="n">
        <x:v>46184</x:v>
      </x:c>
      <x:c r="D804" s="12" t="str">
        <x:v>Kamis</x:v>
      </x:c>
      <x:c r="E804" s="12" t="str">
        <x:v>08:15:00</x:v>
      </x:c>
      <x:c r="F804" s="12" t="str">
        <x:v>All Shift Day</x:v>
      </x:c>
      <x:c r="G804" s="12" t="str">
        <x:v>LVTH24R033</x:v>
      </x:c>
      <x:c r="H804" s="12" t="str">
        <x:v>Light Vehicle</x:v>
      </x:c>
      <x:c r="I804" s="12" t="str">
        <x:v>LIGHT VEHICLE TOYOTA HILUX</x:v>
      </x:c>
      <x:c r="J804" s="16" t="n">
        <x:v>30</x:v>
      </x:c>
      <x:c r="K804" s="16" t="n">
        <x:v>139097</x:v>
      </x:c>
      <x:c r="L804" s="16" t="n">
        <x:v>139175</x:v>
      </x:c>
      <x:c r="M804" s="16" t="n">
        <x:v>78</x:v>
      </x:c>
      <x:c r="N804" s="16" t="n">
        <x:v>0.38461538461538464</x:v>
      </x:c>
      <x:c r="O804" s="12" t="str">
        <x:v>FTRL44G004</x:v>
      </x:c>
      <x:c r="P804" s="12" t="str">
        <x:v>LVTH24R033</x:v>
      </x:c>
      <x:c r="Q804" s="12" t="str"/>
      <x:c r="R804" s="12" t="str"/>
      <x:c r="S804" s="12" t="str"/>
      <x:c r="T804" s="12" t="str">
        <x:v>ABM</x:v>
      </x:c>
      <x:c r="U804" s="12" t="str"/>
      <x:c r="V804" s="12" t="str"/>
      <x:c r="W804" s="12" t="str"/>
      <x:c r="X804" s="12" t="str">
        <x:v>LVTH24</x:v>
      </x:c>
      <x:c r="Y804" s="12" t="str">
        <x:v>FANGKI &amp; ACUNG</x:v>
      </x:c>
      <x:c r="Z804" s="12" t="str">
        <x:v>SUPPORT</x:v>
      </x:c>
      <x:c r="AA804" s="32" t="n">
        <x:f>IFERROR(VLOOKUP(G804,Master_Unit!$A$2:$N$78,7,FALSE),"")</x:f>
        <x:v>0.2</x:v>
      </x:c>
      <x:c r="AB804" s="32" t="n">
        <x:f>IF(OR(N804="",AA804=""),"",N804-AA804)</x:f>
        <x:v>0.18461538461538463</x:v>
      </x:c>
      <x:c r="AC804" s="20" t="n">
        <x:f>IF(OR(N804="",AA804="",AA804=0),"",AB804/AA804)</x:f>
        <x:v>0.9230769230769231</x:v>
      </x:c>
      <x:c r="AD804" t="str">
        <x:f>IF(AA804="","NO STANDARD",IF(AC804&lt;=Config_Status!$B$2,"EFFICIENT",IF(AC804&lt;=Config_Status!$B$3,"NORMAL",IF(AC804&lt;=Config_Status!$B$4,"WARNING","OVER CONSUMPTION"))))</x:f>
        <x:v>OVER CONSUMPTION</x:v>
      </x:c>
      <x:c r="AE804" t="str">
        <x:f>IFERROR(VLOOKUP(G804,Master_Unit!$A$2:$N$78,13,FALSE),"UNIT NOT FOUND")</x:f>
        <x:v>Matched</x:v>
      </x:c>
    </x:row>
    <x:row r="805">
      <x:c r="A805" s="12" t="str">
        <x:v>FU-20260611-00804</x:v>
      </x:c>
      <x:c r="B805" s="12" t="n">
        <x:v>934</x:v>
      </x:c>
      <x:c r="C805" s="14" t="n">
        <x:v>46184</x:v>
      </x:c>
      <x:c r="D805" s="12" t="str">
        <x:v>Kamis</x:v>
      </x:c>
      <x:c r="E805" s="12" t="str">
        <x:v>08:17:00</x:v>
      </x:c>
      <x:c r="F805" s="12" t="str">
        <x:v>All Shift Day</x:v>
      </x:c>
      <x:c r="G805" s="12" t="str">
        <x:v>STRL44G155</x:v>
      </x:c>
      <x:c r="H805" s="12" t="str">
        <x:v>Dump Truck</x:v>
      </x:c>
      <x:c r="I805" s="12" t="str">
        <x:v>DUMP TRUCK RENAULT KRANGE440-P6X4 A/T</x:v>
      </x:c>
      <x:c r="J805" s="16" t="n">
        <x:v>210</x:v>
      </x:c>
      <x:c r="K805" s="16" t="n">
        <x:v>3988</x:v>
      </x:c>
      <x:c r="L805" s="16" t="n">
        <x:v>4004</x:v>
      </x:c>
      <x:c r="M805" s="16" t="n">
        <x:v>16</x:v>
      </x:c>
      <x:c r="N805" s="16" t="n">
        <x:v>13.125</x:v>
      </x:c>
      <x:c r="O805" s="12" t="str">
        <x:v>FTRL44G004</x:v>
      </x:c>
      <x:c r="P805" s="12" t="str">
        <x:v>STRL44G155</x:v>
      </x:c>
      <x:c r="Q805" s="12" t="str"/>
      <x:c r="R805" s="12" t="str"/>
      <x:c r="S805" s="12" t="str"/>
      <x:c r="T805" s="12" t="str">
        <x:v>ABM</x:v>
      </x:c>
      <x:c r="U805" s="12" t="str"/>
      <x:c r="V805" s="12" t="str"/>
      <x:c r="W805" s="12" t="str"/>
      <x:c r="X805" s="12" t="str">
        <x:v>STRL44</x:v>
      </x:c>
      <x:c r="Y805" s="12" t="str">
        <x:v>FANGKI &amp; ACUNG</x:v>
      </x:c>
      <x:c r="Z805" s="12" t="str">
        <x:v>COAL HAULING</x:v>
      </x:c>
      <x:c r="AA805" s="32" t="n">
        <x:f>IFERROR(VLOOKUP(G805,Master_Unit!$A$2:$N$78,7,FALSE),"")</x:f>
        <x:v>20</x:v>
      </x:c>
      <x:c r="AB805" s="32" t="n">
        <x:f>IF(OR(N805="",AA805=""),"",N805-AA805)</x:f>
        <x:v>-6.875</x:v>
      </x:c>
      <x:c r="AC805" s="20" t="n">
        <x:f>IF(OR(N805="",AA805="",AA805=0),"",AB805/AA805)</x:f>
        <x:v>-0.34375</x:v>
      </x:c>
      <x:c r="AD805" t="str">
        <x:f>IF(AA805="","NO STANDARD",IF(AC805&lt;=Config_Status!$B$2,"EFFICIENT",IF(AC805&lt;=Config_Status!$B$3,"NORMAL",IF(AC805&lt;=Config_Status!$B$4,"WARNING","OVER CONSUMPTION"))))</x:f>
        <x:v>EFFICIENT</x:v>
      </x:c>
      <x:c r="AE805" t="str">
        <x:f>IFERROR(VLOOKUP(G805,Master_Unit!$A$2:$N$78,13,FALSE),"UNIT NOT FOUND")</x:f>
        <x:v>Matched</x:v>
      </x:c>
    </x:row>
    <x:row r="806">
      <x:c r="A806" s="12" t="str">
        <x:v>FU-20260611-00805</x:v>
      </x:c>
      <x:c r="B806" s="12" t="n">
        <x:v>935</x:v>
      </x:c>
      <x:c r="C806" s="14" t="n">
        <x:v>46184</x:v>
      </x:c>
      <x:c r="D806" s="12" t="str">
        <x:v>Kamis</x:v>
      </x:c>
      <x:c r="E806" s="12" t="str">
        <x:v>08:26:00</x:v>
      </x:c>
      <x:c r="F806" s="12" t="str">
        <x:v>All Shift Day</x:v>
      </x:c>
      <x:c r="G806" s="12" t="str">
        <x:v>STRL44G135</x:v>
      </x:c>
      <x:c r="H806" s="12" t="str">
        <x:v>Dump Truck</x:v>
      </x:c>
      <x:c r="I806" s="12" t="str">
        <x:v>DUMP TRUCK RENAULT KRANGE440-P6X4 A/T</x:v>
      </x:c>
      <x:c r="J806" s="16" t="n">
        <x:v>62</x:v>
      </x:c>
      <x:c r="K806" s="16" t="n">
        <x:v>5871</x:v>
      </x:c>
      <x:c r="L806" s="16" t="n">
        <x:v>5880</x:v>
      </x:c>
      <x:c r="M806" s="16" t="n">
        <x:v>9</x:v>
      </x:c>
      <x:c r="N806" s="16" t="n">
        <x:v>6.888888888888889</x:v>
      </x:c>
      <x:c r="O806" s="12" t="str">
        <x:v>FTRL44G004</x:v>
      </x:c>
      <x:c r="P806" s="12" t="str">
        <x:v>STRL44G135</x:v>
      </x:c>
      <x:c r="Q806" s="12" t="str"/>
      <x:c r="R806" s="12" t="str"/>
      <x:c r="S806" s="12" t="str"/>
      <x:c r="T806" s="12" t="str">
        <x:v>ABM</x:v>
      </x:c>
      <x:c r="U806" s="12" t="str"/>
      <x:c r="V806" s="12" t="str"/>
      <x:c r="W806" s="12" t="str"/>
      <x:c r="X806" s="12" t="str">
        <x:v>STRL44</x:v>
      </x:c>
      <x:c r="Y806" s="12" t="str">
        <x:v>FANGKI &amp; ACUNG</x:v>
      </x:c>
      <x:c r="Z806" s="12" t="str">
        <x:v>SUPPORT</x:v>
      </x:c>
      <x:c r="AA806" s="32" t="n">
        <x:f>IFERROR(VLOOKUP(G806,Master_Unit!$A$2:$N$78,7,FALSE),"")</x:f>
        <x:v>20</x:v>
      </x:c>
      <x:c r="AB806" s="32" t="n">
        <x:f>IF(OR(N806="",AA806=""),"",N806-AA806)</x:f>
        <x:v>-13.11111111111111</x:v>
      </x:c>
      <x:c r="AC806" s="20" t="n">
        <x:f>IF(OR(N806="",AA806="",AA806=0),"",AB806/AA806)</x:f>
        <x:v>-0.6555555555555556</x:v>
      </x:c>
      <x:c r="AD806" t="str">
        <x:f>IF(AA806="","NO STANDARD",IF(AC806&lt;=Config_Status!$B$2,"EFFICIENT",IF(AC806&lt;=Config_Status!$B$3,"NORMAL",IF(AC806&lt;=Config_Status!$B$4,"WARNING","OVER CONSUMPTION"))))</x:f>
        <x:v>EFFICIENT</x:v>
      </x:c>
      <x:c r="AE806" t="str">
        <x:f>IFERROR(VLOOKUP(G806,Master_Unit!$A$2:$N$78,13,FALSE),"UNIT NOT FOUND")</x:f>
        <x:v>Matched</x:v>
      </x:c>
    </x:row>
    <x:row r="807">
      <x:c r="A807" s="12" t="str">
        <x:v>FU-20260611-00806</x:v>
      </x:c>
      <x:c r="B807" s="12" t="n">
        <x:v>936</x:v>
      </x:c>
      <x:c r="C807" s="14" t="n">
        <x:v>46184</x:v>
      </x:c>
      <x:c r="D807" s="12" t="str">
        <x:v>Kamis</x:v>
      </x:c>
      <x:c r="E807" s="12" t="str">
        <x:v>08:42:00</x:v>
      </x:c>
      <x:c r="F807" s="12" t="str">
        <x:v>All Shift Day</x:v>
      </x:c>
      <x:c r="G807" s="12" t="str">
        <x:v>STRL44G147</x:v>
      </x:c>
      <x:c r="H807" s="12" t="str">
        <x:v>Dump Truck</x:v>
      </x:c>
      <x:c r="I807" s="12" t="str">
        <x:v>DUMP TRUCK RENAULT KRANGE440-P6X4 A/T</x:v>
      </x:c>
      <x:c r="J807" s="16" t="n">
        <x:v>148</x:v>
      </x:c>
      <x:c r="K807" s="16" t="n">
        <x:v>5040</x:v>
      </x:c>
      <x:c r="L807" s="16" t="n">
        <x:v>5055</x:v>
      </x:c>
      <x:c r="M807" s="16" t="n">
        <x:v>15</x:v>
      </x:c>
      <x:c r="N807" s="16" t="n">
        <x:v>9.866666666666667</x:v>
      </x:c>
      <x:c r="O807" s="12" t="str">
        <x:v>FTRL44G004</x:v>
      </x:c>
      <x:c r="P807" s="12" t="str">
        <x:v>STRL44G147</x:v>
      </x:c>
      <x:c r="Q807" s="12" t="str"/>
      <x:c r="R807" s="12" t="str"/>
      <x:c r="S807" s="12" t="str"/>
      <x:c r="T807" s="12" t="str">
        <x:v>ABM</x:v>
      </x:c>
      <x:c r="U807" s="12" t="str"/>
      <x:c r="V807" s="12" t="str"/>
      <x:c r="W807" s="12" t="str"/>
      <x:c r="X807" s="12" t="str">
        <x:v>STRL44</x:v>
      </x:c>
      <x:c r="Y807" s="12" t="str">
        <x:v>FANGKI &amp; ACUNG</x:v>
      </x:c>
      <x:c r="Z807" s="12" t="str">
        <x:v>COAL HAULING</x:v>
      </x:c>
      <x:c r="AA807" s="32" t="n">
        <x:f>IFERROR(VLOOKUP(G807,Master_Unit!$A$2:$N$78,7,FALSE),"")</x:f>
        <x:v>20</x:v>
      </x:c>
      <x:c r="AB807" s="32" t="n">
        <x:f>IF(OR(N807="",AA807=""),"",N807-AA807)</x:f>
        <x:v>-10.133333333333333</x:v>
      </x:c>
      <x:c r="AC807" s="20" t="n">
        <x:f>IF(OR(N807="",AA807="",AA807=0),"",AB807/AA807)</x:f>
        <x:v>-0.5066666666666666</x:v>
      </x:c>
      <x:c r="AD807" t="str">
        <x:f>IF(AA807="","NO STANDARD",IF(AC807&lt;=Config_Status!$B$2,"EFFICIENT",IF(AC807&lt;=Config_Status!$B$3,"NORMAL",IF(AC807&lt;=Config_Status!$B$4,"WARNING","OVER CONSUMPTION"))))</x:f>
        <x:v>EFFICIENT</x:v>
      </x:c>
      <x:c r="AE807" t="str">
        <x:f>IFERROR(VLOOKUP(G807,Master_Unit!$A$2:$N$78,13,FALSE),"UNIT NOT FOUND")</x:f>
        <x:v>Matched</x:v>
      </x:c>
    </x:row>
    <x:row r="808">
      <x:c r="A808" s="12" t="str">
        <x:v>FU-20260611-00807</x:v>
      </x:c>
      <x:c r="B808" s="12" t="n">
        <x:v>937</x:v>
      </x:c>
      <x:c r="C808" s="14" t="n">
        <x:v>46184</x:v>
      </x:c>
      <x:c r="D808" s="12" t="str">
        <x:v>Kamis</x:v>
      </x:c>
      <x:c r="E808" s="12" t="str">
        <x:v>08:50:00</x:v>
      </x:c>
      <x:c r="F808" s="12" t="str">
        <x:v>All Shift Day</x:v>
      </x:c>
      <x:c r="G808" s="12" t="str">
        <x:v>STRL44G134</x:v>
      </x:c>
      <x:c r="H808" s="12" t="str">
        <x:v>Dump Truck</x:v>
      </x:c>
      <x:c r="I808" s="12" t="str">
        <x:v>DUMP TRUCK RENAULT KRANGE440-P6X4 A/T</x:v>
      </x:c>
      <x:c r="J808" s="16" t="n">
        <x:v>80</x:v>
      </x:c>
      <x:c r="K808" s="16" t="n">
        <x:v>5705</x:v>
      </x:c>
      <x:c r="L808" s="16" t="n">
        <x:v>5715</x:v>
      </x:c>
      <x:c r="M808" s="16" t="n">
        <x:v>10</x:v>
      </x:c>
      <x:c r="N808" s="16" t="n">
        <x:v>8</x:v>
      </x:c>
      <x:c r="O808" s="12" t="str">
        <x:v>FTRL44G004</x:v>
      </x:c>
      <x:c r="P808" s="12" t="str">
        <x:v>STRL44G134</x:v>
      </x:c>
      <x:c r="Q808" s="12" t="str"/>
      <x:c r="R808" s="12" t="str"/>
      <x:c r="S808" s="12" t="str"/>
      <x:c r="T808" s="12" t="str">
        <x:v>ABM</x:v>
      </x:c>
      <x:c r="U808" s="12" t="str"/>
      <x:c r="V808" s="12" t="str"/>
      <x:c r="W808" s="12" t="str"/>
      <x:c r="X808" s="12" t="str">
        <x:v>STRL44</x:v>
      </x:c>
      <x:c r="Y808" s="12" t="str">
        <x:v>FANGKI &amp; ACUNG</x:v>
      </x:c>
      <x:c r="Z808" s="12" t="str">
        <x:v>COAL HAULING</x:v>
      </x:c>
      <x:c r="AA808" s="32" t="n">
        <x:f>IFERROR(VLOOKUP(G808,Master_Unit!$A$2:$N$78,7,FALSE),"")</x:f>
        <x:v>20</x:v>
      </x:c>
      <x:c r="AB808" s="32" t="n">
        <x:f>IF(OR(N808="",AA808=""),"",N808-AA808)</x:f>
        <x:v>-12</x:v>
      </x:c>
      <x:c r="AC808" s="20" t="n">
        <x:f>IF(OR(N808="",AA808="",AA808=0),"",AB808/AA808)</x:f>
        <x:v>-0.6</x:v>
      </x:c>
      <x:c r="AD808" t="str">
        <x:f>IF(AA808="","NO STANDARD",IF(AC808&lt;=Config_Status!$B$2,"EFFICIENT",IF(AC808&lt;=Config_Status!$B$3,"NORMAL",IF(AC808&lt;=Config_Status!$B$4,"WARNING","OVER CONSUMPTION"))))</x:f>
        <x:v>EFFICIENT</x:v>
      </x:c>
      <x:c r="AE808" t="str">
        <x:f>IFERROR(VLOOKUP(G808,Master_Unit!$A$2:$N$78,13,FALSE),"UNIT NOT FOUND")</x:f>
        <x:v>Matched</x:v>
      </x:c>
    </x:row>
    <x:row r="809">
      <x:c r="A809" s="12" t="str">
        <x:v>FU-20260611-00808</x:v>
      </x:c>
      <x:c r="B809" s="12" t="n">
        <x:v>938</x:v>
      </x:c>
      <x:c r="C809" s="14" t="n">
        <x:v>46184</x:v>
      </x:c>
      <x:c r="D809" s="12" t="str">
        <x:v>Kamis</x:v>
      </x:c>
      <x:c r="E809" s="12" t="str">
        <x:v>08:54:00</x:v>
      </x:c>
      <x:c r="F809" s="12" t="str">
        <x:v>All Shift Day</x:v>
      </x:c>
      <x:c r="G809" s="12" t="str">
        <x:v>STRL44G137</x:v>
      </x:c>
      <x:c r="H809" s="12" t="str">
        <x:v>Dump Truck</x:v>
      </x:c>
      <x:c r="I809" s="12" t="str">
        <x:v>DUMP TRUCK RENAULT KRANGE440-P6X4 A/T</x:v>
      </x:c>
      <x:c r="J809" s="16" t="n">
        <x:v>77</x:v>
      </x:c>
      <x:c r="K809" s="16" t="n">
        <x:v>6440</x:v>
      </x:c>
      <x:c r="L809" s="16" t="n">
        <x:v>6450</x:v>
      </x:c>
      <x:c r="M809" s="16" t="n">
        <x:v>10</x:v>
      </x:c>
      <x:c r="N809" s="16" t="n">
        <x:v>7.7</x:v>
      </x:c>
      <x:c r="O809" s="12" t="str">
        <x:v>FTRL44G004</x:v>
      </x:c>
      <x:c r="P809" s="12" t="str">
        <x:v>STRL44G137</x:v>
      </x:c>
      <x:c r="Q809" s="12" t="str"/>
      <x:c r="R809" s="12" t="str"/>
      <x:c r="S809" s="12" t="str"/>
      <x:c r="T809" s="12" t="str">
        <x:v>ABM</x:v>
      </x:c>
      <x:c r="U809" s="12" t="str"/>
      <x:c r="V809" s="12" t="str"/>
      <x:c r="W809" s="12" t="str"/>
      <x:c r="X809" s="12" t="str">
        <x:v>STRL44</x:v>
      </x:c>
      <x:c r="Y809" s="12" t="str">
        <x:v>FANGKI &amp; ACUNG</x:v>
      </x:c>
      <x:c r="Z809" s="12" t="str">
        <x:v>COAL HAULING</x:v>
      </x:c>
      <x:c r="AA809" s="32" t="n">
        <x:f>IFERROR(VLOOKUP(G809,Master_Unit!$A$2:$N$78,7,FALSE),"")</x:f>
        <x:v>20</x:v>
      </x:c>
      <x:c r="AB809" s="32" t="n">
        <x:f>IF(OR(N809="",AA809=""),"",N809-AA809)</x:f>
        <x:v>-12.3</x:v>
      </x:c>
      <x:c r="AC809" s="20" t="n">
        <x:f>IF(OR(N809="",AA809="",AA809=0),"",AB809/AA809)</x:f>
        <x:v>-0.615</x:v>
      </x:c>
      <x:c r="AD809" t="str">
        <x:f>IF(AA809="","NO STANDARD",IF(AC809&lt;=Config_Status!$B$2,"EFFICIENT",IF(AC809&lt;=Config_Status!$B$3,"NORMAL",IF(AC809&lt;=Config_Status!$B$4,"WARNING","OVER CONSUMPTION"))))</x:f>
        <x:v>EFFICIENT</x:v>
      </x:c>
      <x:c r="AE809" t="str">
        <x:f>IFERROR(VLOOKUP(G809,Master_Unit!$A$2:$N$78,13,FALSE),"UNIT NOT FOUND")</x:f>
        <x:v>Matched</x:v>
      </x:c>
    </x:row>
    <x:row r="810">
      <x:c r="A810" s="12" t="str">
        <x:v>FU-20260611-00809</x:v>
      </x:c>
      <x:c r="B810" s="12" t="n">
        <x:v>939</x:v>
      </x:c>
      <x:c r="C810" s="14" t="n">
        <x:v>46184</x:v>
      </x:c>
      <x:c r="D810" s="12" t="str">
        <x:v>Kamis</x:v>
      </x:c>
      <x:c r="E810" s="12" t="str">
        <x:v>09:00:00</x:v>
      </x:c>
      <x:c r="F810" s="12" t="str">
        <x:v>All Shift Day</x:v>
      </x:c>
      <x:c r="G810" s="12" t="str">
        <x:v>STRL44G136</x:v>
      </x:c>
      <x:c r="H810" s="12" t="str">
        <x:v>Dump Truck</x:v>
      </x:c>
      <x:c r="I810" s="12" t="str">
        <x:v>DUMP TRUCK RENAULT KRANGE440-P6X4 A/T</x:v>
      </x:c>
      <x:c r="J810" s="16" t="n">
        <x:v>56</x:v>
      </x:c>
      <x:c r="K810" s="16" t="n">
        <x:v>5858</x:v>
      </x:c>
      <x:c r="L810" s="16" t="n">
        <x:v>5868</x:v>
      </x:c>
      <x:c r="M810" s="16" t="n">
        <x:v>10</x:v>
      </x:c>
      <x:c r="N810" s="16" t="n">
        <x:v>5.6</x:v>
      </x:c>
      <x:c r="O810" s="12" t="str">
        <x:v>FTRL44G004</x:v>
      </x:c>
      <x:c r="P810" s="12" t="str">
        <x:v>STRL44G136</x:v>
      </x:c>
      <x:c r="Q810" s="12" t="str"/>
      <x:c r="R810" s="12" t="str"/>
      <x:c r="S810" s="12" t="str"/>
      <x:c r="T810" s="12" t="str">
        <x:v>ABM</x:v>
      </x:c>
      <x:c r="U810" s="12" t="str"/>
      <x:c r="V810" s="12" t="str"/>
      <x:c r="W810" s="12" t="str"/>
      <x:c r="X810" s="12" t="str">
        <x:v>STRL44</x:v>
      </x:c>
      <x:c r="Y810" s="12" t="str">
        <x:v>FANGKI &amp; ACUNG</x:v>
      </x:c>
      <x:c r="Z810" s="12" t="str">
        <x:v>ETO</x:v>
      </x:c>
      <x:c r="AA810" s="32" t="n">
        <x:f>IFERROR(VLOOKUP(G810,Master_Unit!$A$2:$N$78,7,FALSE),"")</x:f>
        <x:v>20</x:v>
      </x:c>
      <x:c r="AB810" s="32" t="n">
        <x:f>IF(OR(N810="",AA810=""),"",N810-AA810)</x:f>
        <x:v>-14.4</x:v>
      </x:c>
      <x:c r="AC810" s="20" t="n">
        <x:f>IF(OR(N810="",AA810="",AA810=0),"",AB810/AA810)</x:f>
        <x:v>-0.72</x:v>
      </x:c>
      <x:c r="AD810" t="str">
        <x:f>IF(AA810="","NO STANDARD",IF(AC810&lt;=Config_Status!$B$2,"EFFICIENT",IF(AC810&lt;=Config_Status!$B$3,"NORMAL",IF(AC810&lt;=Config_Status!$B$4,"WARNING","OVER CONSUMPTION"))))</x:f>
        <x:v>EFFICIENT</x:v>
      </x:c>
      <x:c r="AE810" t="str">
        <x:f>IFERROR(VLOOKUP(G810,Master_Unit!$A$2:$N$78,13,FALSE),"UNIT NOT FOUND")</x:f>
        <x:v>Matched</x:v>
      </x:c>
    </x:row>
    <x:row r="811">
      <x:c r="A811" s="12" t="str">
        <x:v>FU-20260611-00810</x:v>
      </x:c>
      <x:c r="B811" s="12" t="n">
        <x:v>940</x:v>
      </x:c>
      <x:c r="C811" s="14" t="n">
        <x:v>46184</x:v>
      </x:c>
      <x:c r="D811" s="12" t="str">
        <x:v>Kamis</x:v>
      </x:c>
      <x:c r="E811" s="12" t="str">
        <x:v>09:05:00</x:v>
      </x:c>
      <x:c r="F811" s="12" t="str">
        <x:v>All Shift Day</x:v>
      </x:c>
      <x:c r="G811" s="12" t="str">
        <x:v>STRL44G146</x:v>
      </x:c>
      <x:c r="H811" s="12" t="str">
        <x:v>Dump Truck</x:v>
      </x:c>
      <x:c r="I811" s="12" t="str">
        <x:v>DUMP TRUCK RENAULT KRANGE440-P6X4 A/T</x:v>
      </x:c>
      <x:c r="J811" s="16" t="n">
        <x:v>196</x:v>
      </x:c>
      <x:c r="K811" s="16" t="n">
        <x:v>4970</x:v>
      </x:c>
      <x:c r="L811" s="16" t="n">
        <x:v>4978</x:v>
      </x:c>
      <x:c r="M811" s="16" t="n">
        <x:v>8</x:v>
      </x:c>
      <x:c r="N811" s="16" t="n">
        <x:v>24.5</x:v>
      </x:c>
      <x:c r="O811" s="12" t="str">
        <x:v>FTRL44G004</x:v>
      </x:c>
      <x:c r="P811" s="12" t="str">
        <x:v>STRL44G146</x:v>
      </x:c>
      <x:c r="Q811" s="12" t="str"/>
      <x:c r="R811" s="12" t="str"/>
      <x:c r="S811" s="12" t="str"/>
      <x:c r="T811" s="12" t="str">
        <x:v>ABM</x:v>
      </x:c>
      <x:c r="U811" s="12" t="str"/>
      <x:c r="V811" s="12" t="str"/>
      <x:c r="W811" s="12" t="str"/>
      <x:c r="X811" s="12" t="str">
        <x:v>STRL44</x:v>
      </x:c>
      <x:c r="Y811" s="12" t="str">
        <x:v>FANGKI &amp; ACUNG</x:v>
      </x:c>
      <x:c r="Z811" s="12" t="str">
        <x:v>SUPPORT</x:v>
      </x:c>
      <x:c r="AA811" s="32" t="n">
        <x:f>IFERROR(VLOOKUP(G811,Master_Unit!$A$2:$N$78,7,FALSE),"")</x:f>
        <x:v>20</x:v>
      </x:c>
      <x:c r="AB811" s="32" t="n">
        <x:f>IF(OR(N811="",AA811=""),"",N811-AA811)</x:f>
        <x:v>4.5</x:v>
      </x:c>
      <x:c r="AC811" s="20" t="n">
        <x:f>IF(OR(N811="",AA811="",AA811=0),"",AB811/AA811)</x:f>
        <x:v>0.225</x:v>
      </x:c>
      <x:c r="AD811" t="str">
        <x:f>IF(AA811="","NO STANDARD",IF(AC811&lt;=Config_Status!$B$2,"EFFICIENT",IF(AC811&lt;=Config_Status!$B$3,"NORMAL",IF(AC811&lt;=Config_Status!$B$4,"WARNING","OVER CONSUMPTION"))))</x:f>
        <x:v>OVER CONSUMPTION</x:v>
      </x:c>
      <x:c r="AE811" t="str">
        <x:f>IFERROR(VLOOKUP(G811,Master_Unit!$A$2:$N$78,13,FALSE),"UNIT NOT FOUND")</x:f>
        <x:v>Matched</x:v>
      </x:c>
    </x:row>
    <x:row r="812">
      <x:c r="A812" s="12" t="str">
        <x:v>FU-20260611-00811</x:v>
      </x:c>
      <x:c r="B812" s="12" t="n">
        <x:v>941</x:v>
      </x:c>
      <x:c r="C812" s="14" t="n">
        <x:v>46184</x:v>
      </x:c>
      <x:c r="D812" s="12" t="str">
        <x:v>Kamis</x:v>
      </x:c>
      <x:c r="E812" s="12" t="str">
        <x:v>09:05:00</x:v>
      </x:c>
      <x:c r="F812" s="12" t="str">
        <x:v>All Shift Day</x:v>
      </x:c>
      <x:c r="G812" s="12" t="str">
        <x:v>STRL44G145</x:v>
      </x:c>
      <x:c r="H812" s="12" t="str">
        <x:v>Dump Truck</x:v>
      </x:c>
      <x:c r="I812" s="12" t="str">
        <x:v>DUMP TRUCK RENAULT KRANGE440-P6X4 A/T</x:v>
      </x:c>
      <x:c r="J812" s="16" t="n">
        <x:v>200</x:v>
      </x:c>
      <x:c r="K812" s="16" t="n">
        <x:v>4979</x:v>
      </x:c>
      <x:c r="L812" s="16" t="n">
        <x:v>4988</x:v>
      </x:c>
      <x:c r="M812" s="16" t="n">
        <x:v>9</x:v>
      </x:c>
      <x:c r="N812" s="16" t="n">
        <x:v>22.22222222222222</x:v>
      </x:c>
      <x:c r="O812" s="12" t="str">
        <x:v>FTRL44G004</x:v>
      </x:c>
      <x:c r="P812" s="12" t="str">
        <x:v>STRL44G145</x:v>
      </x:c>
      <x:c r="Q812" s="12" t="str"/>
      <x:c r="R812" s="12" t="str"/>
      <x:c r="S812" s="12" t="str"/>
      <x:c r="T812" s="12" t="str">
        <x:v>ABM</x:v>
      </x:c>
      <x:c r="U812" s="12" t="str"/>
      <x:c r="V812" s="12" t="str"/>
      <x:c r="W812" s="12" t="str"/>
      <x:c r="X812" s="12" t="str">
        <x:v>STRL44</x:v>
      </x:c>
      <x:c r="Y812" s="12" t="str">
        <x:v>FANGKI &amp; ACUNG</x:v>
      </x:c>
      <x:c r="Z812" s="12" t="str">
        <x:v>SUPPORT</x:v>
      </x:c>
      <x:c r="AA812" s="32" t="n">
        <x:f>IFERROR(VLOOKUP(G812,Master_Unit!$A$2:$N$78,7,FALSE),"")</x:f>
        <x:v>20</x:v>
      </x:c>
      <x:c r="AB812" s="32" t="n">
        <x:f>IF(OR(N812="",AA812=""),"",N812-AA812)</x:f>
        <x:v>2.2222222222222214</x:v>
      </x:c>
      <x:c r="AC812" s="20" t="n">
        <x:f>IF(OR(N812="",AA812="",AA812=0),"",AB812/AA812)</x:f>
        <x:v>0.11111111111111108</x:v>
      </x:c>
      <x:c r="AD812" t="str">
        <x:f>IF(AA812="","NO STANDARD",IF(AC812&lt;=Config_Status!$B$2,"EFFICIENT",IF(AC812&lt;=Config_Status!$B$3,"NORMAL",IF(AC812&lt;=Config_Status!$B$4,"WARNING","OVER CONSUMPTION"))))</x:f>
        <x:v>WARNING</x:v>
      </x:c>
      <x:c r="AE812" t="str">
        <x:f>IFERROR(VLOOKUP(G812,Master_Unit!$A$2:$N$78,13,FALSE),"UNIT NOT FOUND")</x:f>
        <x:v>Matched</x:v>
      </x:c>
    </x:row>
    <x:row r="813">
      <x:c r="A813" s="12" t="str">
        <x:v>FU-20260611-00812</x:v>
      </x:c>
      <x:c r="B813" s="12" t="n">
        <x:v>942</x:v>
      </x:c>
      <x:c r="C813" s="14" t="n">
        <x:v>46184</x:v>
      </x:c>
      <x:c r="D813" s="12" t="str">
        <x:v>Kamis</x:v>
      </x:c>
      <x:c r="E813" s="12" t="str">
        <x:v>09:33:00</x:v>
      </x:c>
      <x:c r="F813" s="12" t="str">
        <x:v>All Shift Day</x:v>
      </x:c>
      <x:c r="G813" s="12" t="str">
        <x:v>LVTH24R035</x:v>
      </x:c>
      <x:c r="H813" s="12" t="str">
        <x:v>Light Vehicle</x:v>
      </x:c>
      <x:c r="I813" s="12" t="str">
        <x:v>LIGHT VEHICLE TOYOTA HILUX</x:v>
      </x:c>
      <x:c r="J813" s="16" t="n">
        <x:v>30</x:v>
      </x:c>
      <x:c r="K813" s="16" t="n">
        <x:v>69956</x:v>
      </x:c>
      <x:c r="L813" s="16" t="n">
        <x:v>70103</x:v>
      </x:c>
      <x:c r="M813" s="16" t="n">
        <x:v>147</x:v>
      </x:c>
      <x:c r="N813" s="16" t="n">
        <x:v>0.20408163265306123</x:v>
      </x:c>
      <x:c r="O813" s="12" t="str">
        <x:v>FTRL44G004</x:v>
      </x:c>
      <x:c r="P813" s="12" t="str">
        <x:v>LVTH24R035</x:v>
      </x:c>
      <x:c r="Q813" s="12" t="str"/>
      <x:c r="R813" s="12" t="str"/>
      <x:c r="S813" s="12" t="str"/>
      <x:c r="T813" s="12" t="str">
        <x:v>ABM</x:v>
      </x:c>
      <x:c r="U813" s="12" t="str"/>
      <x:c r="V813" s="12" t="str"/>
      <x:c r="W813" s="12" t="str"/>
      <x:c r="X813" s="12" t="str">
        <x:v>LVTH24</x:v>
      </x:c>
      <x:c r="Y813" s="12" t="str">
        <x:v>FANGKI &amp; ACUNG</x:v>
      </x:c>
      <x:c r="Z813" s="12" t="str">
        <x:v>PIT</x:v>
      </x:c>
      <x:c r="AA813" s="32" t="n">
        <x:f>IFERROR(VLOOKUP(G813,Master_Unit!$A$2:$N$78,7,FALSE),"")</x:f>
        <x:v>0.2</x:v>
      </x:c>
      <x:c r="AB813" s="32" t="n">
        <x:f>IF(OR(N813="",AA813=""),"",N813-AA813)</x:f>
        <x:v>0.004081632653061218</x:v>
      </x:c>
      <x:c r="AC813" s="20" t="n">
        <x:f>IF(OR(N813="",AA813="",AA813=0),"",AB813/AA813)</x:f>
        <x:v>0.02040816326530609</x:v>
      </x:c>
      <x:c r="AD813" t="str">
        <x:f>IF(AA813="","NO STANDARD",IF(AC813&lt;=Config_Status!$B$2,"EFFICIENT",IF(AC813&lt;=Config_Status!$B$3,"NORMAL",IF(AC813&lt;=Config_Status!$B$4,"WARNING","OVER CONSUMPTION"))))</x:f>
        <x:v>NORMAL</x:v>
      </x:c>
      <x:c r="AE813" t="str">
        <x:f>IFERROR(VLOOKUP(G813,Master_Unit!$A$2:$N$78,13,FALSE),"UNIT NOT FOUND")</x:f>
        <x:v>Matched</x:v>
      </x:c>
    </x:row>
    <x:row r="814">
      <x:c r="A814" s="12" t="str">
        <x:v>FU-20260611-00813</x:v>
      </x:c>
      <x:c r="B814" s="12" t="n">
        <x:v>943</x:v>
      </x:c>
      <x:c r="C814" s="14" t="n">
        <x:v>46184</x:v>
      </x:c>
      <x:c r="D814" s="12" t="str">
        <x:v>Kamis</x:v>
      </x:c>
      <x:c r="E814" s="12" t="str">
        <x:v>09:58:00</x:v>
      </x:c>
      <x:c r="F814" s="12" t="str">
        <x:v>All Shift Day</x:v>
      </x:c>
      <x:c r="G814" s="12" t="str">
        <x:v>STRL44G139</x:v>
      </x:c>
      <x:c r="H814" s="12" t="str">
        <x:v>Dump Truck</x:v>
      </x:c>
      <x:c r="I814" s="12" t="str">
        <x:v>DUMP TRUCK RENAULT KRANGE440-P6X4 A/T</x:v>
      </x:c>
      <x:c r="J814" s="16" t="n">
        <x:v>63</x:v>
      </x:c>
      <x:c r="K814" s="16" t="n">
        <x:v>5008</x:v>
      </x:c>
      <x:c r="L814" s="16" t="n">
        <x:v>5016</x:v>
      </x:c>
      <x:c r="M814" s="16" t="n">
        <x:v>8</x:v>
      </x:c>
      <x:c r="N814" s="16" t="n">
        <x:v>7.875</x:v>
      </x:c>
      <x:c r="O814" s="12" t="str">
        <x:v>FTRL44G004</x:v>
      </x:c>
      <x:c r="P814" s="12" t="str">
        <x:v>STRL44G139</x:v>
      </x:c>
      <x:c r="Q814" s="12" t="str"/>
      <x:c r="R814" s="12" t="str"/>
      <x:c r="S814" s="12" t="str"/>
      <x:c r="T814" s="12" t="str">
        <x:v>ABM</x:v>
      </x:c>
      <x:c r="U814" s="12" t="str"/>
      <x:c r="V814" s="12" t="str"/>
      <x:c r="W814" s="12" t="str"/>
      <x:c r="X814" s="12" t="str">
        <x:v>STRL44</x:v>
      </x:c>
      <x:c r="Y814" s="12" t="str">
        <x:v>FANGKI &amp; ACUNG</x:v>
      </x:c>
      <x:c r="Z814" s="12" t="str">
        <x:v>PIT</x:v>
      </x:c>
      <x:c r="AA814" s="32" t="n">
        <x:f>IFERROR(VLOOKUP(G814,Master_Unit!$A$2:$N$78,7,FALSE),"")</x:f>
        <x:v>20</x:v>
      </x:c>
      <x:c r="AB814" s="32" t="n">
        <x:f>IF(OR(N814="",AA814=""),"",N814-AA814)</x:f>
        <x:v>-12.125</x:v>
      </x:c>
      <x:c r="AC814" s="20" t="n">
        <x:f>IF(OR(N814="",AA814="",AA814=0),"",AB814/AA814)</x:f>
        <x:v>-0.60625</x:v>
      </x:c>
      <x:c r="AD814" t="str">
        <x:f>IF(AA814="","NO STANDARD",IF(AC814&lt;=Config_Status!$B$2,"EFFICIENT",IF(AC814&lt;=Config_Status!$B$3,"NORMAL",IF(AC814&lt;=Config_Status!$B$4,"WARNING","OVER CONSUMPTION"))))</x:f>
        <x:v>EFFICIENT</x:v>
      </x:c>
      <x:c r="AE814" t="str">
        <x:f>IFERROR(VLOOKUP(G814,Master_Unit!$A$2:$N$78,13,FALSE),"UNIT NOT FOUND")</x:f>
        <x:v>Matched</x:v>
      </x:c>
    </x:row>
    <x:row r="815">
      <x:c r="A815" s="12" t="str">
        <x:v>FU-20260611-00814</x:v>
      </x:c>
      <x:c r="B815" s="12" t="n">
        <x:v>944</x:v>
      </x:c>
      <x:c r="C815" s="14" t="n">
        <x:v>46184</x:v>
      </x:c>
      <x:c r="D815" s="12" t="str">
        <x:v>Kamis</x:v>
      </x:c>
      <x:c r="E815" s="12" t="str">
        <x:v>10:07:00</x:v>
      </x:c>
      <x:c r="F815" s="12" t="str">
        <x:v>All Shift Day</x:v>
      </x:c>
      <x:c r="G815" s="12" t="str">
        <x:v>EXVV21G039</x:v>
      </x:c>
      <x:c r="H815" s="12" t="str">
        <x:v>Excavator</x:v>
      </x:c>
      <x:c r="I815" s="12" t="str">
        <x:v>EXCAVATOR VOLVO EC210D</x:v>
      </x:c>
      <x:c r="J815" s="16" t="n">
        <x:v>100</x:v>
      </x:c>
      <x:c r="K815" s="16" t="n">
        <x:v>6300.4</x:v>
      </x:c>
      <x:c r="L815" s="16" t="n">
        <x:v>6312</x:v>
      </x:c>
      <x:c r="M815" s="16" t="n">
        <x:v>11.600000000000364</x:v>
      </x:c>
      <x:c r="N815" s="16" t="n">
        <x:v>8.620689655172143</x:v>
      </x:c>
      <x:c r="O815" s="12" t="str">
        <x:v>FTRL44G004</x:v>
      </x:c>
      <x:c r="P815" s="12" t="str">
        <x:v>EXVV21G039</x:v>
      </x:c>
      <x:c r="Q815" s="12" t="str"/>
      <x:c r="R815" s="12" t="str"/>
      <x:c r="S815" s="12" t="str"/>
      <x:c r="T815" s="12" t="str">
        <x:v>ABM</x:v>
      </x:c>
      <x:c r="U815" s="12" t="str"/>
      <x:c r="V815" s="12" t="str"/>
      <x:c r="W815" s="12" t="str"/>
      <x:c r="X815" s="12" t="str">
        <x:v>EXVV21</x:v>
      </x:c>
      <x:c r="Y815" s="12" t="str">
        <x:v>FANGKI &amp; ACUNG</x:v>
      </x:c>
      <x:c r="Z815" s="12" t="str">
        <x:v>PIT</x:v>
      </x:c>
      <x:c r="AA815" s="32" t="n">
        <x:f>IFERROR(VLOOKUP(G815,Master_Unit!$A$2:$N$78,7,FALSE),"")</x:f>
        <x:v>20</x:v>
      </x:c>
      <x:c r="AB815" s="32" t="n">
        <x:f>IF(OR(N815="",AA815=""),"",N815-AA815)</x:f>
        <x:v>-11.379310344827857</x:v>
      </x:c>
      <x:c r="AC815" s="20" t="n">
        <x:f>IF(OR(N815="",AA815="",AA815=0),"",AB815/AA815)</x:f>
        <x:v>-0.5689655172413929</x:v>
      </x:c>
      <x:c r="AD815" t="str">
        <x:f>IF(AA815="","NO STANDARD",IF(AC815&lt;=Config_Status!$B$2,"EFFICIENT",IF(AC815&lt;=Config_Status!$B$3,"NORMAL",IF(AC815&lt;=Config_Status!$B$4,"WARNING","OVER CONSUMPTION"))))</x:f>
        <x:v>EFFICIENT</x:v>
      </x:c>
      <x:c r="AE815" t="str">
        <x:f>IFERROR(VLOOKUP(G815,Master_Unit!$A$2:$N$78,13,FALSE),"UNIT NOT FOUND")</x:f>
        <x:v>Matched</x:v>
      </x:c>
    </x:row>
    <x:row r="816">
      <x:c r="A816" s="12" t="str">
        <x:v>FU-20260611-00815</x:v>
      </x:c>
      <x:c r="B816" s="12" t="n">
        <x:v>945</x:v>
      </x:c>
      <x:c r="C816" s="14" t="n">
        <x:v>46184</x:v>
      </x:c>
      <x:c r="D816" s="12" t="str">
        <x:v>Kamis</x:v>
      </x:c>
      <x:c r="E816" s="12" t="str">
        <x:v>10:32:00</x:v>
      </x:c>
      <x:c r="F816" s="12" t="str">
        <x:v>All Shift Day</x:v>
      </x:c>
      <x:c r="G816" s="12" t="str">
        <x:v>EXVV21G036</x:v>
      </x:c>
      <x:c r="H816" s="12" t="str">
        <x:v>Excavator</x:v>
      </x:c>
      <x:c r="I816" s="12" t="str">
        <x:v>EXCAVATOR VOLVO EC210D</x:v>
      </x:c>
      <x:c r="J816" s="16" t="n">
        <x:v>117</x:v>
      </x:c>
      <x:c r="K816" s="16" t="n">
        <x:v>7588.3</x:v>
      </x:c>
      <x:c r="L816" s="16" t="n">
        <x:v>7600.9</x:v>
      </x:c>
      <x:c r="M816" s="16" t="n">
        <x:v>12.599999999999454</x:v>
      </x:c>
      <x:c r="N816" s="16" t="n">
        <x:v>9.285714285714688</x:v>
      </x:c>
      <x:c r="O816" s="12" t="str">
        <x:v>FTRL44G004</x:v>
      </x:c>
      <x:c r="P816" s="12" t="str">
        <x:v>EXVV21G036</x:v>
      </x:c>
      <x:c r="Q816" s="12" t="str"/>
      <x:c r="R816" s="12" t="str"/>
      <x:c r="S816" s="12" t="str"/>
      <x:c r="T816" s="12" t="str">
        <x:v>ABM</x:v>
      </x:c>
      <x:c r="U816" s="12" t="str"/>
      <x:c r="V816" s="12" t="str"/>
      <x:c r="W816" s="12" t="str"/>
      <x:c r="X816" s="12" t="str">
        <x:v>EXVV21</x:v>
      </x:c>
      <x:c r="Y816" s="12" t="str">
        <x:v>FANGKI &amp; ACUNG</x:v>
      </x:c>
      <x:c r="Z816" s="12" t="str">
        <x:v>SUPPORT</x:v>
      </x:c>
      <x:c r="AA816" s="32" t="n">
        <x:f>IFERROR(VLOOKUP(G816,Master_Unit!$A$2:$N$78,7,FALSE),"")</x:f>
        <x:v>20</x:v>
      </x:c>
      <x:c r="AB816" s="32" t="n">
        <x:f>IF(OR(N816="",AA816=""),"",N816-AA816)</x:f>
        <x:v>-10.714285714285312</x:v>
      </x:c>
      <x:c r="AC816" s="20" t="n">
        <x:f>IF(OR(N816="",AA816="",AA816=0),"",AB816/AA816)</x:f>
        <x:v>-0.5357142857142656</x:v>
      </x:c>
      <x:c r="AD816" t="str">
        <x:f>IF(AA816="","NO STANDARD",IF(AC816&lt;=Config_Status!$B$2,"EFFICIENT",IF(AC816&lt;=Config_Status!$B$3,"NORMAL",IF(AC816&lt;=Config_Status!$B$4,"WARNING","OVER CONSUMPTION"))))</x:f>
        <x:v>EFFICIENT</x:v>
      </x:c>
      <x:c r="AE816" t="str">
        <x:f>IFERROR(VLOOKUP(G816,Master_Unit!$A$2:$N$78,13,FALSE),"UNIT NOT FOUND")</x:f>
        <x:v>Matched</x:v>
      </x:c>
    </x:row>
    <x:row r="817">
      <x:c r="A817" s="12" t="str">
        <x:v>FU-20260611-00816</x:v>
      </x:c>
      <x:c r="B817" s="12" t="n">
        <x:v>946</x:v>
      </x:c>
      <x:c r="C817" s="14" t="n">
        <x:v>46184</x:v>
      </x:c>
      <x:c r="D817" s="12" t="str">
        <x:v>Kamis</x:v>
      </x:c>
      <x:c r="E817" s="12" t="str">
        <x:v>12:03:00</x:v>
      </x:c>
      <x:c r="F817" s="12" t="str">
        <x:v>All Shift Day</x:v>
      </x:c>
      <x:c r="G817" s="12" t="str">
        <x:v>EXVV21G040</x:v>
      </x:c>
      <x:c r="H817" s="12" t="str">
        <x:v>Excavator</x:v>
      </x:c>
      <x:c r="I817" s="12" t="str">
        <x:v>EXCAVATOR VOLVO EC210D</x:v>
      </x:c>
      <x:c r="J817" s="16" t="n">
        <x:v>91</x:v>
      </x:c>
      <x:c r="K817" s="16" t="n">
        <x:v>6598.4</x:v>
      </x:c>
      <x:c r="L817" s="16" t="n">
        <x:v>6612.7</x:v>
      </x:c>
      <x:c r="M817" s="16" t="n">
        <x:v>14.300000000000182</x:v>
      </x:c>
      <x:c r="N817" s="16" t="n">
        <x:v>6.3636363636362825</x:v>
      </x:c>
      <x:c r="O817" s="12" t="str">
        <x:v>FTRL44G004</x:v>
      </x:c>
      <x:c r="P817" s="12" t="str">
        <x:v>EXVV21G040</x:v>
      </x:c>
      <x:c r="Q817" s="12" t="str"/>
      <x:c r="R817" s="12" t="str"/>
      <x:c r="S817" s="12" t="str"/>
      <x:c r="T817" s="12" t="str">
        <x:v>ABM</x:v>
      </x:c>
      <x:c r="U817" s="12" t="str"/>
      <x:c r="V817" s="12" t="str"/>
      <x:c r="W817" s="12" t="str"/>
      <x:c r="X817" s="12" t="str">
        <x:v>EXVV21</x:v>
      </x:c>
      <x:c r="Y817" s="12" t="str">
        <x:v>FANGKI &amp; ACUNG</x:v>
      </x:c>
      <x:c r="Z817" s="12" t="str">
        <x:v>PIT</x:v>
      </x:c>
      <x:c r="AA817" s="32" t="n">
        <x:f>IFERROR(VLOOKUP(G817,Master_Unit!$A$2:$N$78,7,FALSE),"")</x:f>
        <x:v>20</x:v>
      </x:c>
      <x:c r="AB817" s="32" t="n">
        <x:f>IF(OR(N817="",AA817=""),"",N817-AA817)</x:f>
        <x:v>-13.636363636363718</x:v>
      </x:c>
      <x:c r="AC817" s="20" t="n">
        <x:f>IF(OR(N817="",AA817="",AA817=0),"",AB817/AA817)</x:f>
        <x:v>-0.6818181818181859</x:v>
      </x:c>
      <x:c r="AD817" t="str">
        <x:f>IF(AA817="","NO STANDARD",IF(AC817&lt;=Config_Status!$B$2,"EFFICIENT",IF(AC817&lt;=Config_Status!$B$3,"NORMAL",IF(AC817&lt;=Config_Status!$B$4,"WARNING","OVER CONSUMPTION"))))</x:f>
        <x:v>EFFICIENT</x:v>
      </x:c>
      <x:c r="AE817" t="str">
        <x:f>IFERROR(VLOOKUP(G817,Master_Unit!$A$2:$N$78,13,FALSE),"UNIT NOT FOUND")</x:f>
        <x:v>Matched</x:v>
      </x:c>
    </x:row>
    <x:row r="818">
      <x:c r="A818" s="12" t="str">
        <x:v>FU-20260611-00817</x:v>
      </x:c>
      <x:c r="B818" s="12" t="n">
        <x:v>947</x:v>
      </x:c>
      <x:c r="C818" s="14" t="n">
        <x:v>46184</x:v>
      </x:c>
      <x:c r="D818" s="12" t="str">
        <x:v>Kamis</x:v>
      </x:c>
      <x:c r="E818" s="12" t="str">
        <x:v>12:08:00</x:v>
      </x:c>
      <x:c r="F818" s="12" t="str">
        <x:v>All Shift Day</x:v>
      </x:c>
      <x:c r="G818" s="12" t="str">
        <x:v>GSHT10G002</x:v>
      </x:c>
      <x:c r="H818" s="12" t="str">
        <x:v>Genset</x:v>
      </x:c>
      <x:c r="I818" s="12" t="str">
        <x:v>GENSET HARTECH HT-10</x:v>
      </x:c>
      <x:c r="J818" s="16" t="n">
        <x:v>16</x:v>
      </x:c>
      <x:c r="K818" s="16" t="n">
        <x:v>8525.8</x:v>
      </x:c>
      <x:c r="L818" s="16" t="n">
        <x:v>8541.17</x:v>
      </x:c>
      <x:c r="M818" s="16" t="n">
        <x:v>15.3700000000008</x:v>
      </x:c>
      <x:c r="N818" s="16" t="n">
        <x:v>1.0409889394924636</x:v>
      </x:c>
      <x:c r="O818" s="12" t="str">
        <x:v>FTRL44G004</x:v>
      </x:c>
      <x:c r="P818" s="12" t="str">
        <x:v>GSHT10G002</x:v>
      </x:c>
      <x:c r="Q818" s="12" t="str"/>
      <x:c r="R818" s="12" t="str"/>
      <x:c r="S818" s="12" t="str"/>
      <x:c r="T818" s="12" t="str">
        <x:v>ABM</x:v>
      </x:c>
      <x:c r="U818" s="12" t="str"/>
      <x:c r="V818" s="12" t="str"/>
      <x:c r="W818" s="12" t="str"/>
      <x:c r="X818" s="12" t="str">
        <x:v>GSHT10</x:v>
      </x:c>
      <x:c r="Y818" s="12" t="str">
        <x:v>FANGKI &amp; ACUNG</x:v>
      </x:c>
      <x:c r="Z818" s="12" t="str">
        <x:v>COAL HAULING</x:v>
      </x:c>
      <x:c r="AA818" s="32" t="n">
        <x:f>IFERROR(VLOOKUP(G818,Master_Unit!$A$2:$N$78,7,FALSE),"")</x:f>
        <x:v>3</x:v>
      </x:c>
      <x:c r="AB818" s="32" t="n">
        <x:f>IF(OR(N818="",AA818=""),"",N818-AA818)</x:f>
        <x:v>-1.9590110605075364</x:v>
      </x:c>
      <x:c r="AC818" s="20" t="n">
        <x:f>IF(OR(N818="",AA818="",AA818=0),"",AB818/AA818)</x:f>
        <x:v>-0.6530036868358454</x:v>
      </x:c>
      <x:c r="AD818" t="str">
        <x:f>IF(AA818="","NO STANDARD",IF(AC818&lt;=Config_Status!$B$2,"EFFICIENT",IF(AC818&lt;=Config_Status!$B$3,"NORMAL",IF(AC818&lt;=Config_Status!$B$4,"WARNING","OVER CONSUMPTION"))))</x:f>
        <x:v>EFFICIENT</x:v>
      </x:c>
      <x:c r="AE818" t="str">
        <x:f>IFERROR(VLOOKUP(G818,Master_Unit!$A$2:$N$78,13,FALSE),"UNIT NOT FOUND")</x:f>
        <x:v>Matched</x:v>
      </x:c>
    </x:row>
    <x:row r="819">
      <x:c r="A819" s="12" t="str">
        <x:v>FU-20260611-00818</x:v>
      </x:c>
      <x:c r="B819" s="12" t="n">
        <x:v>948</x:v>
      </x:c>
      <x:c r="C819" s="14" t="n">
        <x:v>46184</x:v>
      </x:c>
      <x:c r="D819" s="12" t="str">
        <x:v>Kamis</x:v>
      </x:c>
      <x:c r="E819" s="12" t="str">
        <x:v>12:15:00</x:v>
      </x:c>
      <x:c r="F819" s="12" t="str">
        <x:v>All Shift Day</x:v>
      </x:c>
      <x:c r="G819" s="12" t="str">
        <x:v>EXVV35G005</x:v>
      </x:c>
      <x:c r="H819" s="12" t="str">
        <x:v>Excavator</x:v>
      </x:c>
      <x:c r="I819" s="12" t="str">
        <x:v>EXCAVATOR VOLVO EC350D</x:v>
      </x:c>
      <x:c r="J819" s="16" t="n">
        <x:v>138</x:v>
      </x:c>
      <x:c r="K819" s="16" t="n">
        <x:v>5212</x:v>
      </x:c>
      <x:c r="L819" s="16" t="n">
        <x:v>5225.2</x:v>
      </x:c>
      <x:c r="M819" s="16" t="n">
        <x:v>13.199999999999818</x:v>
      </x:c>
      <x:c r="N819" s="16" t="n">
        <x:v>10.454545454545599</x:v>
      </x:c>
      <x:c r="O819" s="12" t="str">
        <x:v>FTRL44G004</x:v>
      </x:c>
      <x:c r="P819" s="12" t="str">
        <x:v>EXVV35G005</x:v>
      </x:c>
      <x:c r="Q819" s="12" t="str"/>
      <x:c r="R819" s="12" t="str"/>
      <x:c r="S819" s="12" t="str"/>
      <x:c r="T819" s="12" t="str">
        <x:v>ABM</x:v>
      </x:c>
      <x:c r="U819" s="12" t="str"/>
      <x:c r="V819" s="12" t="str"/>
      <x:c r="W819" s="12" t="str"/>
      <x:c r="X819" s="12" t="str">
        <x:v>EXVV35</x:v>
      </x:c>
      <x:c r="Y819" s="12" t="str">
        <x:v>FANGKI &amp; ACUNG</x:v>
      </x:c>
      <x:c r="Z819" s="12" t="str">
        <x:v>SUPPORT</x:v>
      </x:c>
      <x:c r="AA819" s="32" t="n">
        <x:f>IFERROR(VLOOKUP(G819,Master_Unit!$A$2:$N$78,7,FALSE),"")</x:f>
        <x:v>25</x:v>
      </x:c>
      <x:c r="AB819" s="32" t="n">
        <x:f>IF(OR(N819="",AA819=""),"",N819-AA819)</x:f>
        <x:v>-14.545454545454401</x:v>
      </x:c>
      <x:c r="AC819" s="20" t="n">
        <x:f>IF(OR(N819="",AA819="",AA819=0),"",AB819/AA819)</x:f>
        <x:v>-0.581818181818176</x:v>
      </x:c>
      <x:c r="AD819" t="str">
        <x:f>IF(AA819="","NO STANDARD",IF(AC819&lt;=Config_Status!$B$2,"EFFICIENT",IF(AC819&lt;=Config_Status!$B$3,"NORMAL",IF(AC819&lt;=Config_Status!$B$4,"WARNING","OVER CONSUMPTION"))))</x:f>
        <x:v>EFFICIENT</x:v>
      </x:c>
      <x:c r="AE819" t="str">
        <x:f>IFERROR(VLOOKUP(G819,Master_Unit!$A$2:$N$78,13,FALSE),"UNIT NOT FOUND")</x:f>
        <x:v>Matched</x:v>
      </x:c>
    </x:row>
    <x:row r="820">
      <x:c r="A820" s="12" t="str">
        <x:v>FU-20260611-00819</x:v>
      </x:c>
      <x:c r="B820" s="12" t="n">
        <x:v>949</x:v>
      </x:c>
      <x:c r="C820" s="14" t="n">
        <x:v>46184</x:v>
      </x:c>
      <x:c r="D820" s="12" t="str">
        <x:v>Kamis</x:v>
      </x:c>
      <x:c r="E820" s="12" t="str">
        <x:v>12:22:00</x:v>
      </x:c>
      <x:c r="F820" s="12" t="str">
        <x:v>All Shift Day</x:v>
      </x:c>
      <x:c r="G820" s="12" t="str">
        <x:v>EXVV35G007</x:v>
      </x:c>
      <x:c r="H820" s="12" t="str">
        <x:v>Excavator</x:v>
      </x:c>
      <x:c r="I820" s="12" t="str">
        <x:v>EXCAVATOR VOLVO EC350D</x:v>
      </x:c>
      <x:c r="J820" s="16" t="n">
        <x:v>156</x:v>
      </x:c>
      <x:c r="K820" s="16" t="n">
        <x:v>582.6</x:v>
      </x:c>
      <x:c r="L820" s="16" t="n">
        <x:v>595.9</x:v>
      </x:c>
      <x:c r="M820" s="16" t="n">
        <x:v>13.299999999999955</x:v>
      </x:c>
      <x:c r="N820" s="16" t="n">
        <x:v>11.729323308270716</x:v>
      </x:c>
      <x:c r="O820" s="12" t="str">
        <x:v>FTRL44G004</x:v>
      </x:c>
      <x:c r="P820" s="12" t="str">
        <x:v>EXVV35G007</x:v>
      </x:c>
      <x:c r="Q820" s="12" t="str"/>
      <x:c r="R820" s="12" t="str"/>
      <x:c r="S820" s="12" t="str"/>
      <x:c r="T820" s="12" t="str">
        <x:v>ABM</x:v>
      </x:c>
      <x:c r="U820" s="12" t="str"/>
      <x:c r="V820" s="12" t="str"/>
      <x:c r="W820" s="12" t="str"/>
      <x:c r="X820" s="12" t="str">
        <x:v>EXVV35</x:v>
      </x:c>
      <x:c r="Y820" s="12" t="str">
        <x:v>FANGKI &amp; ACUNG</x:v>
      </x:c>
      <x:c r="Z820" s="12" t="str">
        <x:v>PIT</x:v>
      </x:c>
      <x:c r="AA820" s="32" t="n">
        <x:f>IFERROR(VLOOKUP(G820,Master_Unit!$A$2:$N$78,7,FALSE),"")</x:f>
        <x:v>25</x:v>
      </x:c>
      <x:c r="AB820" s="32" t="n">
        <x:f>IF(OR(N820="",AA820=""),"",N820-AA820)</x:f>
        <x:v>-13.270676691729284</x:v>
      </x:c>
      <x:c r="AC820" s="20" t="n">
        <x:f>IF(OR(N820="",AA820="",AA820=0),"",AB820/AA820)</x:f>
        <x:v>-0.5308270676691713</x:v>
      </x:c>
      <x:c r="AD820" t="str">
        <x:f>IF(AA820="","NO STANDARD",IF(AC820&lt;=Config_Status!$B$2,"EFFICIENT",IF(AC820&lt;=Config_Status!$B$3,"NORMAL",IF(AC820&lt;=Config_Status!$B$4,"WARNING","OVER CONSUMPTION"))))</x:f>
        <x:v>EFFICIENT</x:v>
      </x:c>
      <x:c r="AE820" t="str">
        <x:f>IFERROR(VLOOKUP(G820,Master_Unit!$A$2:$N$78,13,FALSE),"UNIT NOT FOUND")</x:f>
        <x:v>Matched</x:v>
      </x:c>
    </x:row>
    <x:row r="821">
      <x:c r="A821" s="12" t="str">
        <x:v>FU-20260611-00820</x:v>
      </x:c>
      <x:c r="B821" s="12" t="n">
        <x:v>950</x:v>
      </x:c>
      <x:c r="C821" s="14" t="n">
        <x:v>46184</x:v>
      </x:c>
      <x:c r="D821" s="12" t="str">
        <x:v>Kamis</x:v>
      </x:c>
      <x:c r="E821" s="12" t="str">
        <x:v>12:31:00</x:v>
      </x:c>
      <x:c r="F821" s="12" t="str">
        <x:v>All Shift Day</x:v>
      </x:c>
      <x:c r="G821" s="12" t="str">
        <x:v>EXVV21G035</x:v>
      </x:c>
      <x:c r="H821" s="12" t="str">
        <x:v>Excavator</x:v>
      </x:c>
      <x:c r="I821" s="12" t="str">
        <x:v>EXCAVATOR VOLVO EC210D</x:v>
      </x:c>
      <x:c r="J821" s="16" t="n">
        <x:v>100</x:v>
      </x:c>
      <x:c r="K821" s="16" t="n">
        <x:v>8416.2</x:v>
      </x:c>
      <x:c r="L821" s="16" t="n">
        <x:v>8427.4</x:v>
      </x:c>
      <x:c r="M821" s="16" t="n">
        <x:v>11.199999999998909</x:v>
      </x:c>
      <x:c r="N821" s="16" t="n">
        <x:v>8.9285714285723</x:v>
      </x:c>
      <x:c r="O821" s="12" t="str">
        <x:v>FTRL44G004</x:v>
      </x:c>
      <x:c r="P821" s="12" t="str">
        <x:v>EXVV21G035</x:v>
      </x:c>
      <x:c r="Q821" s="12" t="str"/>
      <x:c r="R821" s="12" t="str"/>
      <x:c r="S821" s="12" t="str"/>
      <x:c r="T821" s="12" t="str">
        <x:v>ABM</x:v>
      </x:c>
      <x:c r="U821" s="12" t="str"/>
      <x:c r="V821" s="12" t="str"/>
      <x:c r="W821" s="12" t="str"/>
      <x:c r="X821" s="12" t="str">
        <x:v>EXVV21</x:v>
      </x:c>
      <x:c r="Y821" s="12" t="str">
        <x:v>FANGKI &amp; ACUNG</x:v>
      </x:c>
      <x:c r="Z821" s="12" t="str">
        <x:v>SUPPORT</x:v>
      </x:c>
      <x:c r="AA821" s="32" t="n">
        <x:f>IFERROR(VLOOKUP(G821,Master_Unit!$A$2:$N$78,7,FALSE),"")</x:f>
        <x:v>20</x:v>
      </x:c>
      <x:c r="AB821" s="32" t="n">
        <x:f>IF(OR(N821="",AA821=""),"",N821-AA821)</x:f>
        <x:v>-11.0714285714277</x:v>
      </x:c>
      <x:c r="AC821" s="20" t="n">
        <x:f>IF(OR(N821="",AA821="",AA821=0),"",AB821/AA821)</x:f>
        <x:v>-0.5535714285713851</x:v>
      </x:c>
      <x:c r="AD821" t="str">
        <x:f>IF(AA821="","NO STANDARD",IF(AC821&lt;=Config_Status!$B$2,"EFFICIENT",IF(AC821&lt;=Config_Status!$B$3,"NORMAL",IF(AC821&lt;=Config_Status!$B$4,"WARNING","OVER CONSUMPTION"))))</x:f>
        <x:v>EFFICIENT</x:v>
      </x:c>
      <x:c r="AE821" t="str">
        <x:f>IFERROR(VLOOKUP(G821,Master_Unit!$A$2:$N$78,13,FALSE),"UNIT NOT FOUND")</x:f>
        <x:v>Matched</x:v>
      </x:c>
    </x:row>
    <x:row r="822">
      <x:c r="A822" s="12" t="str">
        <x:v>FU-20260611-00821</x:v>
      </x:c>
      <x:c r="B822" s="12" t="n">
        <x:v>951</x:v>
      </x:c>
      <x:c r="C822" s="14" t="n">
        <x:v>46184</x:v>
      </x:c>
      <x:c r="D822" s="12" t="str">
        <x:v>Kamis</x:v>
      </x:c>
      <x:c r="E822" s="12" t="str">
        <x:v>12:40:00</x:v>
      </x:c>
      <x:c r="F822" s="12" t="str">
        <x:v>All Shift Day</x:v>
      </x:c>
      <x:c r="G822" s="12" t="str">
        <x:v>EXVV35G006</x:v>
      </x:c>
      <x:c r="H822" s="12" t="str">
        <x:v>Excavator</x:v>
      </x:c>
      <x:c r="I822" s="12" t="str">
        <x:v>EXCAVATOR VOLVO EC350D</x:v>
      </x:c>
      <x:c r="J822" s="16" t="n">
        <x:v>231</x:v>
      </x:c>
      <x:c r="K822" s="16" t="n">
        <x:v>3192.2</x:v>
      </x:c>
      <x:c r="L822" s="16" t="n">
        <x:v>3206.6</x:v>
      </x:c>
      <x:c r="M822" s="16" t="n">
        <x:v>14.400000000000091</x:v>
      </x:c>
      <x:c r="N822" s="16" t="n">
        <x:v>16.041666666666565</x:v>
      </x:c>
      <x:c r="O822" s="12" t="str">
        <x:v>FTRL44G004</x:v>
      </x:c>
      <x:c r="P822" s="12" t="str">
        <x:v>EXVV35G006</x:v>
      </x:c>
      <x:c r="Q822" s="12" t="str"/>
      <x:c r="R822" s="12" t="str"/>
      <x:c r="S822" s="12" t="str"/>
      <x:c r="T822" s="12" t="str">
        <x:v>ABM</x:v>
      </x:c>
      <x:c r="U822" s="12" t="str"/>
      <x:c r="V822" s="12" t="str"/>
      <x:c r="W822" s="12" t="str"/>
      <x:c r="X822" s="12" t="str">
        <x:v>EXVV35</x:v>
      </x:c>
      <x:c r="Y822" s="12" t="str">
        <x:v>FANGKI &amp; ACUNG</x:v>
      </x:c>
      <x:c r="Z822" s="12" t="str">
        <x:v>PIT</x:v>
      </x:c>
      <x:c r="AA822" s="32" t="n">
        <x:f>IFERROR(VLOOKUP(G822,Master_Unit!$A$2:$N$78,7,FALSE),"")</x:f>
        <x:v>25</x:v>
      </x:c>
      <x:c r="AB822" s="32" t="n">
        <x:f>IF(OR(N822="",AA822=""),"",N822-AA822)</x:f>
        <x:v>-8.958333333333435</x:v>
      </x:c>
      <x:c r="AC822" s="20" t="n">
        <x:f>IF(OR(N822="",AA822="",AA822=0),"",AB822/AA822)</x:f>
        <x:v>-0.3583333333333374</x:v>
      </x:c>
      <x:c r="AD822" t="str">
        <x:f>IF(AA822="","NO STANDARD",IF(AC822&lt;=Config_Status!$B$2,"EFFICIENT",IF(AC822&lt;=Config_Status!$B$3,"NORMAL",IF(AC822&lt;=Config_Status!$B$4,"WARNING","OVER CONSUMPTION"))))</x:f>
        <x:v>EFFICIENT</x:v>
      </x:c>
      <x:c r="AE822" t="str">
        <x:f>IFERROR(VLOOKUP(G822,Master_Unit!$A$2:$N$78,13,FALSE),"UNIT NOT FOUND")</x:f>
        <x:v>Matched</x:v>
      </x:c>
    </x:row>
    <x:row r="823">
      <x:c r="A823" s="12" t="str">
        <x:v>FU-20260612-00822</x:v>
      </x:c>
      <x:c r="B823" s="12" t="n">
        <x:v>952</x:v>
      </x:c>
      <x:c r="C823" s="14" t="n">
        <x:v>46185</x:v>
      </x:c>
      <x:c r="D823" s="12" t="str">
        <x:v>Jum'at</x:v>
      </x:c>
      <x:c r="E823" s="12" t="str">
        <x:v>06:20:00</x:v>
      </x:c>
      <x:c r="F823" s="12" t="str">
        <x:v>All Shift Day</x:v>
      </x:c>
      <x:c r="G823" s="12" t="str">
        <x:v>EXVV21G037</x:v>
      </x:c>
      <x:c r="H823" s="12" t="str">
        <x:v>Excavator</x:v>
      </x:c>
      <x:c r="I823" s="12" t="str">
        <x:v>EXCAVATOR VOLVO EC210D</x:v>
      </x:c>
      <x:c r="J823" s="16" t="n">
        <x:v>161</x:v>
      </x:c>
      <x:c r="K823" s="16" t="n">
        <x:v>6893</x:v>
      </x:c>
      <x:c r="L823" s="16" t="n">
        <x:v>6901.5</x:v>
      </x:c>
      <x:c r="M823" s="16" t="n">
        <x:v>8.5</x:v>
      </x:c>
      <x:c r="N823" s="16" t="n">
        <x:v>18.941176470588236</x:v>
      </x:c>
      <x:c r="O823" s="12" t="str">
        <x:v>FTRL44G004</x:v>
      </x:c>
      <x:c r="P823" s="12" t="str">
        <x:v>EXVV21G037</x:v>
      </x:c>
      <x:c r="Q823" s="12" t="str"/>
      <x:c r="R823" s="12" t="str"/>
      <x:c r="S823" s="12" t="str"/>
      <x:c r="T823" s="12" t="str">
        <x:v>ABM</x:v>
      </x:c>
      <x:c r="U823" s="12" t="str"/>
      <x:c r="V823" s="12" t="str"/>
      <x:c r="W823" s="12" t="str"/>
      <x:c r="X823" s="12" t="str">
        <x:v>EXVV21</x:v>
      </x:c>
      <x:c r="Y823" s="12" t="str">
        <x:v>BADRI &amp; KAMRAN</x:v>
      </x:c>
      <x:c r="Z823" s="12" t="str">
        <x:v>PIT</x:v>
      </x:c>
      <x:c r="AA823" s="32" t="n">
        <x:f>IFERROR(VLOOKUP(G823,Master_Unit!$A$2:$N$78,7,FALSE),"")</x:f>
        <x:v>20</x:v>
      </x:c>
      <x:c r="AB823" s="32" t="n">
        <x:f>IF(OR(N823="",AA823=""),"",N823-AA823)</x:f>
        <x:v>-1.0588235294117645</x:v>
      </x:c>
      <x:c r="AC823" s="20" t="n">
        <x:f>IF(OR(N823="",AA823="",AA823=0),"",AB823/AA823)</x:f>
        <x:v>-0.05294117647058823</x:v>
      </x:c>
      <x:c r="AD823" t="str">
        <x:f>IF(AA823="","NO STANDARD",IF(AC823&lt;=Config_Status!$B$2,"EFFICIENT",IF(AC823&lt;=Config_Status!$B$3,"NORMAL",IF(AC823&lt;=Config_Status!$B$4,"WARNING","OVER CONSUMPTION"))))</x:f>
        <x:v>NORMAL</x:v>
      </x:c>
      <x:c r="AE823" t="str">
        <x:f>IFERROR(VLOOKUP(G823,Master_Unit!$A$2:$N$78,13,FALSE),"UNIT NOT FOUND")</x:f>
        <x:v>Matched</x:v>
      </x:c>
    </x:row>
    <x:row r="824">
      <x:c r="A824" s="12" t="str">
        <x:v>FU-20260612-00823</x:v>
      </x:c>
      <x:c r="B824" s="12" t="n">
        <x:v>953</x:v>
      </x:c>
      <x:c r="C824" s="14" t="n">
        <x:v>46185</x:v>
      </x:c>
      <x:c r="D824" s="12" t="str">
        <x:v>Jum'at</x:v>
      </x:c>
      <x:c r="E824" s="12" t="str">
        <x:v>06:53:00</x:v>
      </x:c>
      <x:c r="F824" s="12" t="str">
        <x:v>All Shift Day</x:v>
      </x:c>
      <x:c r="G824" s="12" t="str">
        <x:v>BDKM85G039</x:v>
      </x:c>
      <x:c r="H824" s="12" t="str">
        <x:v>Dozer</x:v>
      </x:c>
      <x:c r="I824" s="12" t="str">
        <x:v>BULDOZER KOMATSU D85ESS-2</x:v>
      </x:c>
      <x:c r="J824" s="16" t="n">
        <x:v>201</x:v>
      </x:c>
      <x:c r="K824" s="16" t="n">
        <x:v>7117.2</x:v>
      </x:c>
      <x:c r="L824" s="16" t="n">
        <x:v>7123.4</x:v>
      </x:c>
      <x:c r="M824" s="16" t="n">
        <x:v>6.199999999999818</x:v>
      </x:c>
      <x:c r="N824" s="16" t="n">
        <x:v>32.41935483871063</x:v>
      </x:c>
      <x:c r="O824" s="12" t="str">
        <x:v>FTRL44G004</x:v>
      </x:c>
      <x:c r="P824" s="12" t="str">
        <x:v>BDKM85G039</x:v>
      </x:c>
      <x:c r="Q824" s="12" t="str"/>
      <x:c r="R824" s="12" t="str"/>
      <x:c r="S824" s="12" t="str"/>
      <x:c r="T824" s="12" t="str">
        <x:v>ABM</x:v>
      </x:c>
      <x:c r="U824" s="12" t="str"/>
      <x:c r="V824" s="12" t="str"/>
      <x:c r="W824" s="12" t="str"/>
      <x:c r="X824" s="12" t="str">
        <x:v>BDKM85</x:v>
      </x:c>
      <x:c r="Y824" s="12" t="str">
        <x:v>BADRI &amp; KAMRAN</x:v>
      </x:c>
      <x:c r="Z824" s="12" t="str">
        <x:v>SUPPORT</x:v>
      </x:c>
      <x:c r="AA824" s="32" t="n">
        <x:f>IFERROR(VLOOKUP(G824,Master_Unit!$A$2:$N$78,7,FALSE),"")</x:f>
        <x:v>30</x:v>
      </x:c>
      <x:c r="AB824" s="32" t="n">
        <x:f>IF(OR(N824="",AA824=""),"",N824-AA824)</x:f>
        <x:v>2.419354838710632</x:v>
      </x:c>
      <x:c r="AC824" s="20" t="n">
        <x:f>IF(OR(N824="",AA824="",AA824=0),"",AB824/AA824)</x:f>
        <x:v>0.0806451612903544</x:v>
      </x:c>
      <x:c r="AD824" t="str">
        <x:f>IF(AA824="","NO STANDARD",IF(AC824&lt;=Config_Status!$B$2,"EFFICIENT",IF(AC824&lt;=Config_Status!$B$3,"NORMAL",IF(AC824&lt;=Config_Status!$B$4,"WARNING","OVER CONSUMPTION"))))</x:f>
        <x:v>NORMAL</x:v>
      </x:c>
      <x:c r="AE824" t="str">
        <x:f>IFERROR(VLOOKUP(G824,Master_Unit!$A$2:$N$78,13,FALSE),"UNIT NOT FOUND")</x:f>
        <x:v>Matched</x:v>
      </x:c>
    </x:row>
    <x:row r="825">
      <x:c r="A825" s="12" t="str">
        <x:v>FU-20260612-00824</x:v>
      </x:c>
      <x:c r="B825" s="12" t="n">
        <x:v>954</x:v>
      </x:c>
      <x:c r="C825" s="14" t="n">
        <x:v>46185</x:v>
      </x:c>
      <x:c r="D825" s="12" t="str">
        <x:v>Jum'at</x:v>
      </x:c>
      <x:c r="E825" s="12" t="str">
        <x:v>07:01:00</x:v>
      </x:c>
      <x:c r="F825" s="12" t="str">
        <x:v>All Shift Day</x:v>
      </x:c>
      <x:c r="G825" s="12" t="str">
        <x:v>EXVV21G032</x:v>
      </x:c>
      <x:c r="H825" s="12" t="str">
        <x:v>Excavator</x:v>
      </x:c>
      <x:c r="I825" s="12" t="str">
        <x:v>EXCAVATOR VOLVO EC210D</x:v>
      </x:c>
      <x:c r="J825" s="16" t="n">
        <x:v>115</x:v>
      </x:c>
      <x:c r="K825" s="16" t="n">
        <x:v>7542.1</x:v>
      </x:c>
      <x:c r="L825" s="16" t="n">
        <x:v>7550.7</x:v>
      </x:c>
      <x:c r="M825" s="16" t="n">
        <x:v>8.599999999999454</x:v>
      </x:c>
      <x:c r="N825" s="16" t="n">
        <x:v>13.372093023256662</x:v>
      </x:c>
      <x:c r="O825" s="12" t="str">
        <x:v>FTRL44G004</x:v>
      </x:c>
      <x:c r="P825" s="12" t="str">
        <x:v>EXVV21G032</x:v>
      </x:c>
      <x:c r="Q825" s="12" t="str"/>
      <x:c r="R825" s="12" t="str"/>
      <x:c r="S825" s="12" t="str"/>
      <x:c r="T825" s="12" t="str">
        <x:v>ABM</x:v>
      </x:c>
      <x:c r="U825" s="12" t="str"/>
      <x:c r="V825" s="12" t="str"/>
      <x:c r="W825" s="12" t="str"/>
      <x:c r="X825" s="12" t="str">
        <x:v>EXVV21</x:v>
      </x:c>
      <x:c r="Y825" s="12" t="str">
        <x:v>BADRI &amp; KAMRAN</x:v>
      </x:c>
      <x:c r="Z825" s="12" t="str">
        <x:v>SUPPORT</x:v>
      </x:c>
      <x:c r="AA825" s="32" t="n">
        <x:f>IFERROR(VLOOKUP(G825,Master_Unit!$A$2:$N$78,7,FALSE),"")</x:f>
        <x:v>20</x:v>
      </x:c>
      <x:c r="AB825" s="32" t="n">
        <x:f>IF(OR(N825="",AA825=""),"",N825-AA825)</x:f>
        <x:v>-6.627906976743338</x:v>
      </x:c>
      <x:c r="AC825" s="20" t="n">
        <x:f>IF(OR(N825="",AA825="",AA825=0),"",AB825/AA825)</x:f>
        <x:v>-0.3313953488371669</x:v>
      </x:c>
      <x:c r="AD825" t="str">
        <x:f>IF(AA825="","NO STANDARD",IF(AC825&lt;=Config_Status!$B$2,"EFFICIENT",IF(AC825&lt;=Config_Status!$B$3,"NORMAL",IF(AC825&lt;=Config_Status!$B$4,"WARNING","OVER CONSUMPTION"))))</x:f>
        <x:v>EFFICIENT</x:v>
      </x:c>
      <x:c r="AE825" t="str">
        <x:f>IFERROR(VLOOKUP(G825,Master_Unit!$A$2:$N$78,13,FALSE),"UNIT NOT FOUND")</x:f>
        <x:v>Matched</x:v>
      </x:c>
    </x:row>
    <x:row r="826">
      <x:c r="A826" s="12" t="str">
        <x:v>FU-20260612-00825</x:v>
      </x:c>
      <x:c r="B826" s="12" t="n">
        <x:v>955</x:v>
      </x:c>
      <x:c r="C826" s="14" t="n">
        <x:v>46185</x:v>
      </x:c>
      <x:c r="D826" s="12" t="str">
        <x:v>Jum'at</x:v>
      </x:c>
      <x:c r="E826" s="12" t="str">
        <x:v>07:16:00</x:v>
      </x:c>
      <x:c r="F826" s="12" t="str">
        <x:v>All Shift Day</x:v>
      </x:c>
      <x:c r="G826" s="12" t="str">
        <x:v>EXVV21G042</x:v>
      </x:c>
      <x:c r="H826" s="12" t="str">
        <x:v>Excavator</x:v>
      </x:c>
      <x:c r="I826" s="12" t="str">
        <x:v>EXCAVATOR VOLVO EC210D</x:v>
      </x:c>
      <x:c r="J826" s="16" t="n">
        <x:v>115</x:v>
      </x:c>
      <x:c r="K826" s="16" t="n">
        <x:v>7768.6</x:v>
      </x:c>
      <x:c r="L826" s="16" t="n">
        <x:v>7777.5</x:v>
      </x:c>
      <x:c r="M826" s="16" t="n">
        <x:v>8.899999999999636</x:v>
      </x:c>
      <x:c r="N826" s="16" t="n">
        <x:v>12.92134831460727</x:v>
      </x:c>
      <x:c r="O826" s="12" t="str">
        <x:v>FTRL44G004</x:v>
      </x:c>
      <x:c r="P826" s="12" t="str">
        <x:v>EXVV21G042</x:v>
      </x:c>
      <x:c r="Q826" s="12" t="str"/>
      <x:c r="R826" s="12" t="str"/>
      <x:c r="S826" s="12" t="str"/>
      <x:c r="T826" s="12" t="str">
        <x:v>ABM</x:v>
      </x:c>
      <x:c r="U826" s="12" t="str"/>
      <x:c r="V826" s="12" t="str"/>
      <x:c r="W826" s="12" t="str"/>
      <x:c r="X826" s="12" t="str">
        <x:v>EXVV21</x:v>
      </x:c>
      <x:c r="Y826" s="12" t="str">
        <x:v>BADRI &amp; KAMRAN</x:v>
      </x:c>
      <x:c r="Z826" s="12" t="str">
        <x:v>PIT</x:v>
      </x:c>
      <x:c r="AA826" s="32" t="n">
        <x:f>IFERROR(VLOOKUP(G826,Master_Unit!$A$2:$N$78,7,FALSE),"")</x:f>
        <x:v>20</x:v>
      </x:c>
      <x:c r="AB826" s="32" t="n">
        <x:f>IF(OR(N826="",AA826=""),"",N826-AA826)</x:f>
        <x:v>-7.07865168539273</x:v>
      </x:c>
      <x:c r="AC826" s="20" t="n">
        <x:f>IF(OR(N826="",AA826="",AA826=0),"",AB826/AA826)</x:f>
        <x:v>-0.3539325842696365</x:v>
      </x:c>
      <x:c r="AD826" t="str">
        <x:f>IF(AA826="","NO STANDARD",IF(AC826&lt;=Config_Status!$B$2,"EFFICIENT",IF(AC826&lt;=Config_Status!$B$3,"NORMAL",IF(AC826&lt;=Config_Status!$B$4,"WARNING","OVER CONSUMPTION"))))</x:f>
        <x:v>EFFICIENT</x:v>
      </x:c>
      <x:c r="AE826" t="str">
        <x:f>IFERROR(VLOOKUP(G826,Master_Unit!$A$2:$N$78,13,FALSE),"UNIT NOT FOUND")</x:f>
        <x:v>Matched</x:v>
      </x:c>
    </x:row>
    <x:row r="827">
      <x:c r="A827" s="12" t="str">
        <x:v>FU-20260612-00826</x:v>
      </x:c>
      <x:c r="B827" s="12" t="n">
        <x:v>956</x:v>
      </x:c>
      <x:c r="C827" s="14" t="n">
        <x:v>46185</x:v>
      </x:c>
      <x:c r="D827" s="12" t="str">
        <x:v>Jum'at</x:v>
      </x:c>
      <x:c r="E827" s="12" t="str">
        <x:v>07:19:00</x:v>
      </x:c>
      <x:c r="F827" s="12" t="str">
        <x:v>All Shift Day</x:v>
      </x:c>
      <x:c r="G827" s="12" t="str">
        <x:v>EXVV21G039</x:v>
      </x:c>
      <x:c r="H827" s="12" t="str">
        <x:v>Excavator</x:v>
      </x:c>
      <x:c r="I827" s="12" t="str">
        <x:v>EXCAVATOR VOLVO EC210D</x:v>
      </x:c>
      <x:c r="J827" s="16" t="n">
        <x:v>111</x:v>
      </x:c>
      <x:c r="K827" s="16" t="n">
        <x:v>6312</x:v>
      </x:c>
      <x:c r="L827" s="16" t="n">
        <x:v>6318.9</x:v>
      </x:c>
      <x:c r="M827" s="16" t="n">
        <x:v>6.899999999999636</x:v>
      </x:c>
      <x:c r="N827" s="16" t="n">
        <x:v>16.086956521739978</x:v>
      </x:c>
      <x:c r="O827" s="12" t="str">
        <x:v>FTRL44G004</x:v>
      </x:c>
      <x:c r="P827" s="12" t="str">
        <x:v>EXVV21G039</x:v>
      </x:c>
      <x:c r="Q827" s="12" t="str"/>
      <x:c r="R827" s="12" t="str"/>
      <x:c r="S827" s="12" t="str"/>
      <x:c r="T827" s="12" t="str">
        <x:v>ABM</x:v>
      </x:c>
      <x:c r="U827" s="12" t="str"/>
      <x:c r="V827" s="12" t="str"/>
      <x:c r="W827" s="12" t="str"/>
      <x:c r="X827" s="12" t="str">
        <x:v>EXVV21</x:v>
      </x:c>
      <x:c r="Y827" s="12" t="str">
        <x:v>BADRI &amp; KAMRAN</x:v>
      </x:c>
      <x:c r="Z827" s="12" t="str">
        <x:v>SUPPORT</x:v>
      </x:c>
      <x:c r="AA827" s="32" t="n">
        <x:f>IFERROR(VLOOKUP(G827,Master_Unit!$A$2:$N$78,7,FALSE),"")</x:f>
        <x:v>20</x:v>
      </x:c>
      <x:c r="AB827" s="32" t="n">
        <x:f>IF(OR(N827="",AA827=""),"",N827-AA827)</x:f>
        <x:v>-3.913043478260022</x:v>
      </x:c>
      <x:c r="AC827" s="20" t="n">
        <x:f>IF(OR(N827="",AA827="",AA827=0),"",AB827/AA827)</x:f>
        <x:v>-0.1956521739130011</x:v>
      </x:c>
      <x:c r="AD827" t="str">
        <x:f>IF(AA827="","NO STANDARD",IF(AC827&lt;=Config_Status!$B$2,"EFFICIENT",IF(AC827&lt;=Config_Status!$B$3,"NORMAL",IF(AC827&lt;=Config_Status!$B$4,"WARNING","OVER CONSUMPTION"))))</x:f>
        <x:v>EFFICIENT</x:v>
      </x:c>
      <x:c r="AE827" t="str">
        <x:f>IFERROR(VLOOKUP(G827,Master_Unit!$A$2:$N$78,13,FALSE),"UNIT NOT FOUND")</x:f>
        <x:v>Matched</x:v>
      </x:c>
    </x:row>
    <x:row r="828">
      <x:c r="A828" s="12" t="str">
        <x:v>FU-20260612-00827</x:v>
      </x:c>
      <x:c r="B828" s="12" t="n">
        <x:v>957</x:v>
      </x:c>
      <x:c r="C828" s="14" t="n">
        <x:v>46185</x:v>
      </x:c>
      <x:c r="D828" s="12" t="str">
        <x:v>Jum'at</x:v>
      </x:c>
      <x:c r="E828" s="12" t="str">
        <x:v>07:27:00</x:v>
      </x:c>
      <x:c r="F828" s="12" t="str">
        <x:v>All Shift Day</x:v>
      </x:c>
      <x:c r="G828" s="12" t="str">
        <x:v>EXVV35G007</x:v>
      </x:c>
      <x:c r="H828" s="12" t="str">
        <x:v>Excavator</x:v>
      </x:c>
      <x:c r="I828" s="12" t="str">
        <x:v>EXCAVATOR VOLVO EC350D</x:v>
      </x:c>
      <x:c r="J828" s="16" t="n">
        <x:v>149</x:v>
      </x:c>
      <x:c r="K828" s="16" t="n">
        <x:v>595.9</x:v>
      </x:c>
      <x:c r="L828" s="16" t="n">
        <x:v>600.5</x:v>
      </x:c>
      <x:c r="M828" s="16" t="n">
        <x:v>4.600000000000023</x:v>
      </x:c>
      <x:c r="N828" s="16" t="n">
        <x:v>32.39130434782593</x:v>
      </x:c>
      <x:c r="O828" s="12" t="str">
        <x:v>FTRL44G004</x:v>
      </x:c>
      <x:c r="P828" s="12" t="str">
        <x:v>EXVV35G007</x:v>
      </x:c>
      <x:c r="Q828" s="12" t="str"/>
      <x:c r="R828" s="12" t="str"/>
      <x:c r="S828" s="12" t="str"/>
      <x:c r="T828" s="12" t="str">
        <x:v>ABM</x:v>
      </x:c>
      <x:c r="U828" s="12" t="str"/>
      <x:c r="V828" s="12" t="str"/>
      <x:c r="W828" s="12" t="str"/>
      <x:c r="X828" s="12" t="str">
        <x:v>EXVV35</x:v>
      </x:c>
      <x:c r="Y828" s="12" t="str">
        <x:v>BADRI &amp; KAMRAN</x:v>
      </x:c>
      <x:c r="Z828" s="12" t="str">
        <x:v>SUPPORT</x:v>
      </x:c>
      <x:c r="AA828" s="32" t="n">
        <x:f>IFERROR(VLOOKUP(G828,Master_Unit!$A$2:$N$78,7,FALSE),"")</x:f>
        <x:v>25</x:v>
      </x:c>
      <x:c r="AB828" s="32" t="n">
        <x:f>IF(OR(N828="",AA828=""),"",N828-AA828)</x:f>
        <x:v>7.39130434782593</x:v>
      </x:c>
      <x:c r="AC828" s="20" t="n">
        <x:f>IF(OR(N828="",AA828="",AA828=0),"",AB828/AA828)</x:f>
        <x:v>0.29565217391303716</x:v>
      </x:c>
      <x:c r="AD828" t="str">
        <x:f>IF(AA828="","NO STANDARD",IF(AC828&lt;=Config_Status!$B$2,"EFFICIENT",IF(AC828&lt;=Config_Status!$B$3,"NORMAL",IF(AC828&lt;=Config_Status!$B$4,"WARNING","OVER CONSUMPTION"))))</x:f>
        <x:v>OVER CONSUMPTION</x:v>
      </x:c>
      <x:c r="AE828" t="str">
        <x:f>IFERROR(VLOOKUP(G828,Master_Unit!$A$2:$N$78,13,FALSE),"UNIT NOT FOUND")</x:f>
        <x:v>Matched</x:v>
      </x:c>
    </x:row>
    <x:row r="829">
      <x:c r="A829" s="12" t="str">
        <x:v>FU-20260612-00828</x:v>
      </x:c>
      <x:c r="B829" s="12" t="n">
        <x:v>958</x:v>
      </x:c>
      <x:c r="C829" s="14" t="n">
        <x:v>46185</x:v>
      </x:c>
      <x:c r="D829" s="12" t="str">
        <x:v>Jum'at</x:v>
      </x:c>
      <x:c r="E829" s="12" t="str">
        <x:v>07:34:00</x:v>
      </x:c>
      <x:c r="F829" s="12" t="str">
        <x:v>All Shift Day</x:v>
      </x:c>
      <x:c r="G829" s="12" t="str">
        <x:v>GSHT10G001</x:v>
      </x:c>
      <x:c r="H829" s="12" t="str">
        <x:v>Genset</x:v>
      </x:c>
      <x:c r="I829" s="12" t="str">
        <x:v>GENSET HARTECH HT-10</x:v>
      </x:c>
      <x:c r="J829" s="16" t="n">
        <x:v>12</x:v>
      </x:c>
      <x:c r="K829" s="16" t="n">
        <x:v>5959.3</x:v>
      </x:c>
      <x:c r="L829" s="16" t="n">
        <x:v>5969.56</x:v>
      </x:c>
      <x:c r="M829" s="16" t="n">
        <x:v>10.260000000000218</x:v>
      </x:c>
      <x:c r="N829" s="16" t="n">
        <x:v>1.1695906432748289</x:v>
      </x:c>
      <x:c r="O829" s="12" t="str">
        <x:v>FTRL44G004</x:v>
      </x:c>
      <x:c r="P829" s="12" t="str">
        <x:v>GSHT10G001</x:v>
      </x:c>
      <x:c r="Q829" s="12" t="str"/>
      <x:c r="R829" s="12" t="str"/>
      <x:c r="S829" s="12" t="str"/>
      <x:c r="T829" s="12" t="str">
        <x:v>ABM</x:v>
      </x:c>
      <x:c r="U829" s="12" t="str"/>
      <x:c r="V829" s="12" t="str"/>
      <x:c r="W829" s="12" t="str"/>
      <x:c r="X829" s="12" t="str">
        <x:v>GSHT10</x:v>
      </x:c>
      <x:c r="Y829" s="12" t="str">
        <x:v>BADRI &amp; KAMRAN</x:v>
      </x:c>
      <x:c r="Z829" s="12" t="str">
        <x:v>PIT</x:v>
      </x:c>
      <x:c r="AA829" s="32" t="n">
        <x:f>IFERROR(VLOOKUP(G829,Master_Unit!$A$2:$N$78,7,FALSE),"")</x:f>
        <x:v>3</x:v>
      </x:c>
      <x:c r="AB829" s="32" t="n">
        <x:f>IF(OR(N829="",AA829=""),"",N829-AA829)</x:f>
        <x:v>-1.8304093567251711</x:v>
      </x:c>
      <x:c r="AC829" s="20" t="n">
        <x:f>IF(OR(N829="",AA829="",AA829=0),"",AB829/AA829)</x:f>
        <x:v>-0.6101364522417237</x:v>
      </x:c>
      <x:c r="AD829" t="str">
        <x:f>IF(AA829="","NO STANDARD",IF(AC829&lt;=Config_Status!$B$2,"EFFICIENT",IF(AC829&lt;=Config_Status!$B$3,"NORMAL",IF(AC829&lt;=Config_Status!$B$4,"WARNING","OVER CONSUMPTION"))))</x:f>
        <x:v>EFFICIENT</x:v>
      </x:c>
      <x:c r="AE829" t="str">
        <x:f>IFERROR(VLOOKUP(G829,Master_Unit!$A$2:$N$78,13,FALSE),"UNIT NOT FOUND")</x:f>
        <x:v>Matched</x:v>
      </x:c>
    </x:row>
    <x:row r="830">
      <x:c r="A830" s="12" t="str">
        <x:v>FU-20260612-00829</x:v>
      </x:c>
      <x:c r="B830" s="12" t="n">
        <x:v>959</x:v>
      </x:c>
      <x:c r="C830" s="14" t="n">
        <x:v>46185</x:v>
      </x:c>
      <x:c r="D830" s="12" t="str">
        <x:v>Jum'at</x:v>
      </x:c>
      <x:c r="E830" s="12" t="str">
        <x:v>07:37:00</x:v>
      </x:c>
      <x:c r="F830" s="12" t="str">
        <x:v>All Shift Day</x:v>
      </x:c>
      <x:c r="G830" s="12" t="str">
        <x:v>EXVV35G005</x:v>
      </x:c>
      <x:c r="H830" s="12" t="str">
        <x:v>Excavator</x:v>
      </x:c>
      <x:c r="I830" s="12" t="str">
        <x:v>EXCAVATOR VOLVO EC350D</x:v>
      </x:c>
      <x:c r="J830" s="16" t="n">
        <x:v>149</x:v>
      </x:c>
      <x:c r="K830" s="16" t="n">
        <x:v>5225.2</x:v>
      </x:c>
      <x:c r="L830" s="16" t="n">
        <x:v>5230</x:v>
      </x:c>
      <x:c r="M830" s="16" t="n">
        <x:v>4.800000000000182</x:v>
      </x:c>
      <x:c r="N830" s="16" t="n">
        <x:v>31.041666666665492</x:v>
      </x:c>
      <x:c r="O830" s="12" t="str">
        <x:v>FTRL44G004</x:v>
      </x:c>
      <x:c r="P830" s="12" t="str">
        <x:v>EXVV35G005</x:v>
      </x:c>
      <x:c r="Q830" s="12" t="str"/>
      <x:c r="R830" s="12" t="str"/>
      <x:c r="S830" s="12" t="str"/>
      <x:c r="T830" s="12" t="str">
        <x:v>ABM</x:v>
      </x:c>
      <x:c r="U830" s="12" t="str"/>
      <x:c r="V830" s="12" t="str"/>
      <x:c r="W830" s="12" t="str"/>
      <x:c r="X830" s="12" t="str">
        <x:v>EXVV35</x:v>
      </x:c>
      <x:c r="Y830" s="12" t="str">
        <x:v>BADRI &amp; KAMRAN</x:v>
      </x:c>
      <x:c r="Z830" s="12" t="str">
        <x:v>PIT</x:v>
      </x:c>
      <x:c r="AA830" s="32" t="n">
        <x:f>IFERROR(VLOOKUP(G830,Master_Unit!$A$2:$N$78,7,FALSE),"")</x:f>
        <x:v>25</x:v>
      </x:c>
      <x:c r="AB830" s="32" t="n">
        <x:f>IF(OR(N830="",AA830=""),"",N830-AA830)</x:f>
        <x:v>6.041666666665492</x:v>
      </x:c>
      <x:c r="AC830" s="20" t="n">
        <x:f>IF(OR(N830="",AA830="",AA830=0),"",AB830/AA830)</x:f>
        <x:v>0.24166666666661968</x:v>
      </x:c>
      <x:c r="AD830" t="str">
        <x:f>IF(AA830="","NO STANDARD",IF(AC830&lt;=Config_Status!$B$2,"EFFICIENT",IF(AC830&lt;=Config_Status!$B$3,"NORMAL",IF(AC830&lt;=Config_Status!$B$4,"WARNING","OVER CONSUMPTION"))))</x:f>
        <x:v>OVER CONSUMPTION</x:v>
      </x:c>
      <x:c r="AE830" t="str">
        <x:f>IFERROR(VLOOKUP(G830,Master_Unit!$A$2:$N$78,13,FALSE),"UNIT NOT FOUND")</x:f>
        <x:v>Matched</x:v>
      </x:c>
    </x:row>
    <x:row r="831">
      <x:c r="A831" s="12" t="str">
        <x:v>FU-20260612-00830</x:v>
      </x:c>
      <x:c r="B831" s="12" t="n">
        <x:v>960</x:v>
      </x:c>
      <x:c r="C831" s="14" t="n">
        <x:v>46185</x:v>
      </x:c>
      <x:c r="D831" s="12" t="str">
        <x:v>Jum'at</x:v>
      </x:c>
      <x:c r="E831" s="12" t="str">
        <x:v>07:40:00</x:v>
      </x:c>
      <x:c r="F831" s="12" t="str">
        <x:v>All Shift Day</x:v>
      </x:c>
      <x:c r="G831" s="12" t="str">
        <x:v>EXVV21G043</x:v>
      </x:c>
      <x:c r="H831" s="12" t="str">
        <x:v>Excavator</x:v>
      </x:c>
      <x:c r="I831" s="12" t="str">
        <x:v>EXCAVATOR VOLVO EC210D</x:v>
      </x:c>
      <x:c r="J831" s="16" t="n">
        <x:v>151</x:v>
      </x:c>
      <x:c r="K831" s="16" t="n">
        <x:v>5346.6</x:v>
      </x:c>
      <x:c r="L831" s="16" t="n">
        <x:v>5357.1</x:v>
      </x:c>
      <x:c r="M831" s="16" t="n">
        <x:v>10.5</x:v>
      </x:c>
      <x:c r="N831" s="16" t="n">
        <x:v>14.380952380952381</x:v>
      </x:c>
      <x:c r="O831" s="12" t="str">
        <x:v>FTRL44G004</x:v>
      </x:c>
      <x:c r="P831" s="12" t="str">
        <x:v>EXVV21G043</x:v>
      </x:c>
      <x:c r="Q831" s="12" t="str"/>
      <x:c r="R831" s="12" t="str"/>
      <x:c r="S831" s="12" t="str"/>
      <x:c r="T831" s="12" t="str">
        <x:v>ABM</x:v>
      </x:c>
      <x:c r="U831" s="12" t="str"/>
      <x:c r="V831" s="12" t="str"/>
      <x:c r="W831" s="12" t="str"/>
      <x:c r="X831" s="12" t="str">
        <x:v>EXVV21</x:v>
      </x:c>
      <x:c r="Y831" s="12" t="str">
        <x:v>BADRI &amp; KAMRAN</x:v>
      </x:c>
      <x:c r="Z831" s="12" t="str">
        <x:v>PIT</x:v>
      </x:c>
      <x:c r="AA831" s="32" t="n">
        <x:f>IFERROR(VLOOKUP(G831,Master_Unit!$A$2:$N$78,7,FALSE),"")</x:f>
        <x:v>20</x:v>
      </x:c>
      <x:c r="AB831" s="32" t="n">
        <x:f>IF(OR(N831="",AA831=""),"",N831-AA831)</x:f>
        <x:v>-5.619047619047619</x:v>
      </x:c>
      <x:c r="AC831" s="20" t="n">
        <x:f>IF(OR(N831="",AA831="",AA831=0),"",AB831/AA831)</x:f>
        <x:v>-0.28095238095238095</x:v>
      </x:c>
      <x:c r="AD831" t="str">
        <x:f>IF(AA831="","NO STANDARD",IF(AC831&lt;=Config_Status!$B$2,"EFFICIENT",IF(AC831&lt;=Config_Status!$B$3,"NORMAL",IF(AC831&lt;=Config_Status!$B$4,"WARNING","OVER CONSUMPTION"))))</x:f>
        <x:v>EFFICIENT</x:v>
      </x:c>
      <x:c r="AE831" t="str">
        <x:f>IFERROR(VLOOKUP(G831,Master_Unit!$A$2:$N$78,13,FALSE),"UNIT NOT FOUND")</x:f>
        <x:v>Matched</x:v>
      </x:c>
    </x:row>
    <x:row r="832">
      <x:c r="A832" s="12" t="str">
        <x:v>FU-20260612-00831</x:v>
      </x:c>
      <x:c r="B832" s="12" t="n">
        <x:v>961</x:v>
      </x:c>
      <x:c r="C832" s="14" t="n">
        <x:v>46185</x:v>
      </x:c>
      <x:c r="D832" s="12" t="str">
        <x:v>Jum'at</x:v>
      </x:c>
      <x:c r="E832" s="12" t="str">
        <x:v>07:48:00</x:v>
      </x:c>
      <x:c r="F832" s="12" t="str">
        <x:v>All Shift Day</x:v>
      </x:c>
      <x:c r="G832" s="12" t="str">
        <x:v>LVMP25R005</x:v>
      </x:c>
      <x:c r="H832" s="12" t="str">
        <x:v>Light Vehicle</x:v>
      </x:c>
      <x:c r="I832" s="12" t="str">
        <x:v>LIGHT VEHICLE MITSUBISHI PAJERO</x:v>
      </x:c>
      <x:c r="J832" s="16" t="n">
        <x:v>30</x:v>
      </x:c>
      <x:c r="K832" s="16" t="n">
        <x:v>59237</x:v>
      </x:c>
      <x:c r="L832" s="16" t="n">
        <x:v>59776</x:v>
      </x:c>
      <x:c r="M832" s="16" t="n">
        <x:v>539</x:v>
      </x:c>
      <x:c r="N832" s="16" t="n">
        <x:v>0.055658627087198514</x:v>
      </x:c>
      <x:c r="O832" s="12" t="str">
        <x:v>FTRL44G004</x:v>
      </x:c>
      <x:c r="P832" s="12" t="str">
        <x:v>LVMP25R005</x:v>
      </x:c>
      <x:c r="Q832" s="12" t="str"/>
      <x:c r="R832" s="12" t="str"/>
      <x:c r="S832" s="12" t="str"/>
      <x:c r="T832" s="12" t="str">
        <x:v>ABM</x:v>
      </x:c>
      <x:c r="U832" s="12" t="str"/>
      <x:c r="V832" s="12" t="str"/>
      <x:c r="W832" s="12" t="str"/>
      <x:c r="X832" s="12" t="str">
        <x:v>LVMP25</x:v>
      </x:c>
      <x:c r="Y832" s="12" t="str">
        <x:v>BADRI &amp; KAMRAN</x:v>
      </x:c>
      <x:c r="Z832" s="12" t="str">
        <x:v>PIT</x:v>
      </x:c>
      <x:c r="AA832" s="32" t="str">
        <x:f>IFERROR(VLOOKUP(G832,Master_Unit!$A$2:$N$78,7,FALSE),"")</x:f>
      </x:c>
      <x:c r="AB832" s="32" t="str">
        <x:f>IF(OR(N832="",AA832=""),"",N832-AA832)</x:f>
      </x:c>
      <x:c r="AC832" s="20" t="str">
        <x:f>IF(OR(N832="",AA832="",AA832=0),"",AB832/AA832)</x:f>
      </x:c>
      <x:c r="AD832" t="str">
        <x:f>IF(AA832="","NO STANDARD",IF(AC832&lt;=Config_Status!$B$2,"EFFICIENT",IF(AC832&lt;=Config_Status!$B$3,"NORMAL",IF(AC832&lt;=Config_Status!$B$4,"WARNING","OVER CONSUMPTION"))))</x:f>
        <x:v>NO STANDARD</x:v>
      </x:c>
      <x:c r="AE832" t="str">
        <x:f>IFERROR(VLOOKUP(G832,Master_Unit!$A$2:$N$78,13,FALSE),"UNIT NOT FOUND")</x:f>
        <x:v>No Standard</x:v>
      </x:c>
    </x:row>
    <x:row r="833">
      <x:c r="A833" s="12" t="str">
        <x:v>FU-20260612-00832</x:v>
      </x:c>
      <x:c r="B833" s="12" t="n">
        <x:v>962</x:v>
      </x:c>
      <x:c r="C833" s="14" t="n">
        <x:v>46185</x:v>
      </x:c>
      <x:c r="D833" s="12" t="str">
        <x:v>Jum'at</x:v>
      </x:c>
      <x:c r="E833" s="12" t="str">
        <x:v>07:50:00</x:v>
      </x:c>
      <x:c r="F833" s="12" t="str">
        <x:v>All Shift Day</x:v>
      </x:c>
      <x:c r="G833" s="12" t="str">
        <x:v>EXVV21G036</x:v>
      </x:c>
      <x:c r="H833" s="12" t="str">
        <x:v>Excavator</x:v>
      </x:c>
      <x:c r="I833" s="12" t="str">
        <x:v>EXCAVATOR VOLVO EC210D</x:v>
      </x:c>
      <x:c r="J833" s="16" t="n">
        <x:v>112</x:v>
      </x:c>
      <x:c r="K833" s="16" t="n">
        <x:v>7600.9</x:v>
      </x:c>
      <x:c r="L833" s="16" t="n">
        <x:v>7606.8</x:v>
      </x:c>
      <x:c r="M833" s="16" t="n">
        <x:v>5.900000000000546</x:v>
      </x:c>
      <x:c r="N833" s="16" t="n">
        <x:v>18.98305084745587</x:v>
      </x:c>
      <x:c r="O833" s="12" t="str">
        <x:v>FTRL44G004</x:v>
      </x:c>
      <x:c r="P833" s="12" t="str">
        <x:v>EXVV21G036</x:v>
      </x:c>
      <x:c r="Q833" s="12" t="str"/>
      <x:c r="R833" s="12" t="str"/>
      <x:c r="S833" s="12" t="str"/>
      <x:c r="T833" s="12" t="str">
        <x:v>ABM</x:v>
      </x:c>
      <x:c r="U833" s="12" t="str"/>
      <x:c r="V833" s="12" t="str"/>
      <x:c r="W833" s="12" t="str"/>
      <x:c r="X833" s="12" t="str">
        <x:v>EXVV21</x:v>
      </x:c>
      <x:c r="Y833" s="12" t="str">
        <x:v>BADRI &amp; KAMRAN</x:v>
      </x:c>
      <x:c r="Z833" s="12" t="str">
        <x:v>PIT</x:v>
      </x:c>
      <x:c r="AA833" s="32" t="n">
        <x:f>IFERROR(VLOOKUP(G833,Master_Unit!$A$2:$N$78,7,FALSE),"")</x:f>
        <x:v>20</x:v>
      </x:c>
      <x:c r="AB833" s="32" t="n">
        <x:f>IF(OR(N833="",AA833=""),"",N833-AA833)</x:f>
        <x:v>-1.0169491525441288</x:v>
      </x:c>
      <x:c r="AC833" s="20" t="n">
        <x:f>IF(OR(N833="",AA833="",AA833=0),"",AB833/AA833)</x:f>
        <x:v>-0.05084745762720644</x:v>
      </x:c>
      <x:c r="AD833" t="str">
        <x:f>IF(AA833="","NO STANDARD",IF(AC833&lt;=Config_Status!$B$2,"EFFICIENT",IF(AC833&lt;=Config_Status!$B$3,"NORMAL",IF(AC833&lt;=Config_Status!$B$4,"WARNING","OVER CONSUMPTION"))))</x:f>
        <x:v>NORMAL</x:v>
      </x:c>
      <x:c r="AE833" t="str">
        <x:f>IFERROR(VLOOKUP(G833,Master_Unit!$A$2:$N$78,13,FALSE),"UNIT NOT FOUND")</x:f>
        <x:v>Matched</x:v>
      </x:c>
    </x:row>
    <x:row r="834">
      <x:c r="A834" s="12" t="str">
        <x:v>FU-20260612-00833</x:v>
      </x:c>
      <x:c r="B834" s="12" t="n">
        <x:v>963</x:v>
      </x:c>
      <x:c r="C834" s="14" t="n">
        <x:v>46185</x:v>
      </x:c>
      <x:c r="D834" s="12" t="str">
        <x:v>Jum'at</x:v>
      </x:c>
      <x:c r="E834" s="12" t="str">
        <x:v>07:59:00</x:v>
      </x:c>
      <x:c r="F834" s="12" t="str">
        <x:v>All Shift Day</x:v>
      </x:c>
      <x:c r="G834" s="12" t="str">
        <x:v>EXVV35G006</x:v>
      </x:c>
      <x:c r="H834" s="12" t="str">
        <x:v>Excavator</x:v>
      </x:c>
      <x:c r="I834" s="12" t="str">
        <x:v>EXCAVATOR VOLVO EC350D</x:v>
      </x:c>
      <x:c r="J834" s="16" t="n">
        <x:v>219</x:v>
      </x:c>
      <x:c r="K834" s="16" t="n">
        <x:v>3206.6</x:v>
      </x:c>
      <x:c r="L834" s="16" t="n">
        <x:v>3208.8</x:v>
      </x:c>
      <x:c r="M834" s="16" t="n">
        <x:v>2.200000000000273</x:v>
      </x:c>
      <x:c r="N834" s="16" t="n">
        <x:v>99.5454545454422</x:v>
      </x:c>
      <x:c r="O834" s="12" t="str">
        <x:v>FTRL44G004</x:v>
      </x:c>
      <x:c r="P834" s="12" t="str">
        <x:v>EXVV35G006</x:v>
      </x:c>
      <x:c r="Q834" s="12" t="str"/>
      <x:c r="R834" s="12" t="str"/>
      <x:c r="S834" s="12" t="str"/>
      <x:c r="T834" s="12" t="str">
        <x:v>ABM</x:v>
      </x:c>
      <x:c r="U834" s="12" t="str"/>
      <x:c r="V834" s="12" t="str"/>
      <x:c r="W834" s="12" t="str"/>
      <x:c r="X834" s="12" t="str">
        <x:v>EXVV35</x:v>
      </x:c>
      <x:c r="Y834" s="12" t="str">
        <x:v>BADRI &amp; KAMRAN</x:v>
      </x:c>
      <x:c r="Z834" s="12" t="str">
        <x:v>PIT</x:v>
      </x:c>
      <x:c r="AA834" s="32" t="n">
        <x:f>IFERROR(VLOOKUP(G834,Master_Unit!$A$2:$N$78,7,FALSE),"")</x:f>
        <x:v>25</x:v>
      </x:c>
      <x:c r="AB834" s="32" t="n">
        <x:f>IF(OR(N834="",AA834=""),"",N834-AA834)</x:f>
        <x:v>74.5454545454422</x:v>
      </x:c>
      <x:c r="AC834" s="20" t="n">
        <x:f>IF(OR(N834="",AA834="",AA834=0),"",AB834/AA834)</x:f>
        <x:v>2.981818181817688</x:v>
      </x:c>
      <x:c r="AD834" t="str">
        <x:f>IF(AA834="","NO STANDARD",IF(AC834&lt;=Config_Status!$B$2,"EFFICIENT",IF(AC834&lt;=Config_Status!$B$3,"NORMAL",IF(AC834&lt;=Config_Status!$B$4,"WARNING","OVER CONSUMPTION"))))</x:f>
        <x:v>OVER CONSUMPTION</x:v>
      </x:c>
      <x:c r="AE834" t="str">
        <x:f>IFERROR(VLOOKUP(G834,Master_Unit!$A$2:$N$78,13,FALSE),"UNIT NOT FOUND")</x:f>
        <x:v>Matched</x:v>
      </x:c>
    </x:row>
    <x:row r="835">
      <x:c r="A835" s="12" t="str">
        <x:v>FU-20260612-00834</x:v>
      </x:c>
      <x:c r="B835" s="12" t="n">
        <x:v>964</x:v>
      </x:c>
      <x:c r="C835" s="14" t="n">
        <x:v>46185</x:v>
      </x:c>
      <x:c r="D835" s="12" t="str">
        <x:v>Jum'at</x:v>
      </x:c>
      <x:c r="E835" s="12" t="str">
        <x:v>08:22:00</x:v>
      </x:c>
      <x:c r="F835" s="12" t="str">
        <x:v>All Shift Day</x:v>
      </x:c>
      <x:c r="G835" s="12" t="str">
        <x:v>STRL44G134</x:v>
      </x:c>
      <x:c r="H835" s="12" t="str">
        <x:v>Dump Truck</x:v>
      </x:c>
      <x:c r="I835" s="12" t="str">
        <x:v>DUMP TRUCK RENAULT KRANGE440-P6X4 A/T</x:v>
      </x:c>
      <x:c r="J835" s="16" t="n">
        <x:v>94</x:v>
      </x:c>
      <x:c r="K835" s="16" t="n">
        <x:v>5715</x:v>
      </x:c>
      <x:c r="L835" s="16" t="n">
        <x:v>5723</x:v>
      </x:c>
      <x:c r="M835" s="16" t="n">
        <x:v>8</x:v>
      </x:c>
      <x:c r="N835" s="16" t="n">
        <x:v>11.75</x:v>
      </x:c>
      <x:c r="O835" s="12" t="str">
        <x:v>FTRL44G004</x:v>
      </x:c>
      <x:c r="P835" s="12" t="str">
        <x:v>STRL44G134</x:v>
      </x:c>
      <x:c r="Q835" s="12" t="str"/>
      <x:c r="R835" s="12" t="str"/>
      <x:c r="S835" s="12" t="str"/>
      <x:c r="T835" s="12" t="str">
        <x:v>ABM</x:v>
      </x:c>
      <x:c r="U835" s="12" t="str"/>
      <x:c r="V835" s="12" t="str"/>
      <x:c r="W835" s="12" t="str"/>
      <x:c r="X835" s="12" t="str">
        <x:v>STRL44</x:v>
      </x:c>
      <x:c r="Y835" s="12" t="str">
        <x:v>BADRI &amp; KAMRAN</x:v>
      </x:c>
      <x:c r="Z835" s="12" t="str">
        <x:v>SUPPORT</x:v>
      </x:c>
      <x:c r="AA835" s="32" t="n">
        <x:f>IFERROR(VLOOKUP(G835,Master_Unit!$A$2:$N$78,7,FALSE),"")</x:f>
        <x:v>20</x:v>
      </x:c>
      <x:c r="AB835" s="32" t="n">
        <x:f>IF(OR(N835="",AA835=""),"",N835-AA835)</x:f>
        <x:v>-8.25</x:v>
      </x:c>
      <x:c r="AC835" s="20" t="n">
        <x:f>IF(OR(N835="",AA835="",AA835=0),"",AB835/AA835)</x:f>
        <x:v>-0.4125</x:v>
      </x:c>
      <x:c r="AD835" t="str">
        <x:f>IF(AA835="","NO STANDARD",IF(AC835&lt;=Config_Status!$B$2,"EFFICIENT",IF(AC835&lt;=Config_Status!$B$3,"NORMAL",IF(AC835&lt;=Config_Status!$B$4,"WARNING","OVER CONSUMPTION"))))</x:f>
        <x:v>EFFICIENT</x:v>
      </x:c>
      <x:c r="AE835" t="str">
        <x:f>IFERROR(VLOOKUP(G835,Master_Unit!$A$2:$N$78,13,FALSE),"UNIT NOT FOUND")</x:f>
        <x:v>Matched</x:v>
      </x:c>
    </x:row>
    <x:row r="836">
      <x:c r="A836" s="12" t="str">
        <x:v>FU-20260612-00835</x:v>
      </x:c>
      <x:c r="B836" s="12" t="n">
        <x:v>965</x:v>
      </x:c>
      <x:c r="C836" s="14" t="n">
        <x:v>46185</x:v>
      </x:c>
      <x:c r="D836" s="12" t="str">
        <x:v>Jum'at</x:v>
      </x:c>
      <x:c r="E836" s="12" t="str">
        <x:v>08:25:00</x:v>
      </x:c>
      <x:c r="F836" s="12" t="str">
        <x:v>All Shift Day</x:v>
      </x:c>
      <x:c r="G836" s="12" t="str">
        <x:v>MGSD20G007</x:v>
      </x:c>
      <x:c r="H836" s="12" t="str">
        <x:v>Other</x:v>
      </x:c>
      <x:c r="I836" s="12" t="str">
        <x:v>MOTOR GRADER SDLG GD9220F</x:v>
      </x:c>
      <x:c r="J836" s="16" t="n">
        <x:v>118</x:v>
      </x:c>
      <x:c r="K836" s="16" t="n">
        <x:v>3748.9</x:v>
      </x:c>
      <x:c r="L836" s="16" t="n">
        <x:v>3755.4</x:v>
      </x:c>
      <x:c r="M836" s="16" t="n">
        <x:v>6.5</x:v>
      </x:c>
      <x:c r="N836" s="16" t="n">
        <x:v>18.153846153846153</x:v>
      </x:c>
      <x:c r="O836" s="12" t="str">
        <x:v>FTRL44G004</x:v>
      </x:c>
      <x:c r="P836" s="12" t="str">
        <x:v>MGSD20G007</x:v>
      </x:c>
      <x:c r="Q836" s="12" t="str"/>
      <x:c r="R836" s="12" t="str"/>
      <x:c r="S836" s="12" t="str"/>
      <x:c r="T836" s="12" t="str">
        <x:v>ABM</x:v>
      </x:c>
      <x:c r="U836" s="12" t="str"/>
      <x:c r="V836" s="12" t="str"/>
      <x:c r="W836" s="12" t="str"/>
      <x:c r="X836" s="12" t="str">
        <x:v>MGSD20</x:v>
      </x:c>
      <x:c r="Y836" s="12" t="str">
        <x:v>BADRI &amp; KAMRAN</x:v>
      </x:c>
      <x:c r="Z836" s="12" t="str">
        <x:v>SUPPORT</x:v>
      </x:c>
      <x:c r="AA836" s="32" t="n">
        <x:f>IFERROR(VLOOKUP(G836,Master_Unit!$A$2:$N$78,7,FALSE),"")</x:f>
        <x:v>20</x:v>
      </x:c>
      <x:c r="AB836" s="32" t="n">
        <x:f>IF(OR(N836="",AA836=""),"",N836-AA836)</x:f>
        <x:v>-1.8461538461538467</x:v>
      </x:c>
      <x:c r="AC836" s="20" t="n">
        <x:f>IF(OR(N836="",AA836="",AA836=0),"",AB836/AA836)</x:f>
        <x:v>-0.09230769230769234</x:v>
      </x:c>
      <x:c r="AD836" t="str">
        <x:f>IF(AA836="","NO STANDARD",IF(AC836&lt;=Config_Status!$B$2,"EFFICIENT",IF(AC836&lt;=Config_Status!$B$3,"NORMAL",IF(AC836&lt;=Config_Status!$B$4,"WARNING","OVER CONSUMPTION"))))</x:f>
        <x:v>NORMAL</x:v>
      </x:c>
      <x:c r="AE836" t="str">
        <x:f>IFERROR(VLOOKUP(G836,Master_Unit!$A$2:$N$78,13,FALSE),"UNIT NOT FOUND")</x:f>
        <x:v>Matched</x:v>
      </x:c>
    </x:row>
    <x:row r="837">
      <x:c r="A837" s="12" t="str">
        <x:v>FU-20260612-00836</x:v>
      </x:c>
      <x:c r="B837" s="12" t="n">
        <x:v>966</x:v>
      </x:c>
      <x:c r="C837" s="14" t="n">
        <x:v>46185</x:v>
      </x:c>
      <x:c r="D837" s="12" t="str">
        <x:v>Jum'at</x:v>
      </x:c>
      <x:c r="E837" s="12" t="str">
        <x:v>08:31:00</x:v>
      </x:c>
      <x:c r="F837" s="12" t="str">
        <x:v>All Shift Day</x:v>
      </x:c>
      <x:c r="G837" s="12" t="str">
        <x:v>STRL44G147</x:v>
      </x:c>
      <x:c r="H837" s="12" t="str">
        <x:v>Dump Truck</x:v>
      </x:c>
      <x:c r="I837" s="12" t="str">
        <x:v>DUMP TRUCK RENAULT KRANGE440-P6X4 A/T</x:v>
      </x:c>
      <x:c r="J837" s="16" t="n">
        <x:v>154</x:v>
      </x:c>
      <x:c r="K837" s="16" t="n">
        <x:v>5055</x:v>
      </x:c>
      <x:c r="L837" s="16" t="n">
        <x:v>5060</x:v>
      </x:c>
      <x:c r="M837" s="16" t="n">
        <x:v>5</x:v>
      </x:c>
      <x:c r="N837" s="16" t="n">
        <x:v>30.8</x:v>
      </x:c>
      <x:c r="O837" s="12" t="str">
        <x:v>FTRL44G004</x:v>
      </x:c>
      <x:c r="P837" s="12" t="str">
        <x:v>STRL44G147</x:v>
      </x:c>
      <x:c r="Q837" s="12" t="str"/>
      <x:c r="R837" s="12" t="str"/>
      <x:c r="S837" s="12" t="str"/>
      <x:c r="T837" s="12" t="str">
        <x:v>ABM</x:v>
      </x:c>
      <x:c r="U837" s="12" t="str"/>
      <x:c r="V837" s="12" t="str"/>
      <x:c r="W837" s="12" t="str"/>
      <x:c r="X837" s="12" t="str">
        <x:v>STRL44</x:v>
      </x:c>
      <x:c r="Y837" s="12" t="str">
        <x:v>BADRI &amp; KAMRAN</x:v>
      </x:c>
      <x:c r="Z837" s="12" t="str">
        <x:v>PIT</x:v>
      </x:c>
      <x:c r="AA837" s="32" t="n">
        <x:f>IFERROR(VLOOKUP(G837,Master_Unit!$A$2:$N$78,7,FALSE),"")</x:f>
        <x:v>20</x:v>
      </x:c>
      <x:c r="AB837" s="32" t="n">
        <x:f>IF(OR(N837="",AA837=""),"",N837-AA837)</x:f>
        <x:v>10.8</x:v>
      </x:c>
      <x:c r="AC837" s="20" t="n">
        <x:f>IF(OR(N837="",AA837="",AA837=0),"",AB837/AA837)</x:f>
        <x:v>0.54</x:v>
      </x:c>
      <x:c r="AD837" t="str">
        <x:f>IF(AA837="","NO STANDARD",IF(AC837&lt;=Config_Status!$B$2,"EFFICIENT",IF(AC837&lt;=Config_Status!$B$3,"NORMAL",IF(AC837&lt;=Config_Status!$B$4,"WARNING","OVER CONSUMPTION"))))</x:f>
        <x:v>OVER CONSUMPTION</x:v>
      </x:c>
      <x:c r="AE837" t="str">
        <x:f>IFERROR(VLOOKUP(G837,Master_Unit!$A$2:$N$78,13,FALSE),"UNIT NOT FOUND")</x:f>
        <x:v>Matched</x:v>
      </x:c>
    </x:row>
    <x:row r="838">
      <x:c r="A838" s="12" t="str">
        <x:v>FU-20260612-00837</x:v>
      </x:c>
      <x:c r="B838" s="12" t="n">
        <x:v>967</x:v>
      </x:c>
      <x:c r="C838" s="14" t="n">
        <x:v>46185</x:v>
      </x:c>
      <x:c r="D838" s="12" t="str">
        <x:v>Jum'at</x:v>
      </x:c>
      <x:c r="E838" s="12" t="str">
        <x:v>08:41:00</x:v>
      </x:c>
      <x:c r="F838" s="12" t="str">
        <x:v>All Shift Day</x:v>
      </x:c>
      <x:c r="G838" s="12" t="str">
        <x:v>LVTH24R035</x:v>
      </x:c>
      <x:c r="H838" s="12" t="str">
        <x:v>Light Vehicle</x:v>
      </x:c>
      <x:c r="I838" s="12" t="str">
        <x:v>LIGHT VEHICLE TOYOTA HILUX</x:v>
      </x:c>
      <x:c r="J838" s="16" t="n">
        <x:v>20</x:v>
      </x:c>
      <x:c r="K838" s="16" t="n">
        <x:v>70103</x:v>
      </x:c>
      <x:c r="L838" s="16" t="n">
        <x:v>70216</x:v>
      </x:c>
      <x:c r="M838" s="16" t="n">
        <x:v>113</x:v>
      </x:c>
      <x:c r="N838" s="16" t="n">
        <x:v>0.17699115044247787</x:v>
      </x:c>
      <x:c r="O838" s="12" t="str">
        <x:v>FTRL44G004</x:v>
      </x:c>
      <x:c r="P838" s="12" t="str">
        <x:v>LVTH24R035</x:v>
      </x:c>
      <x:c r="Q838" s="12" t="str"/>
      <x:c r="R838" s="12" t="str"/>
      <x:c r="S838" s="12" t="str"/>
      <x:c r="T838" s="12" t="str">
        <x:v>ABM</x:v>
      </x:c>
      <x:c r="U838" s="12" t="str"/>
      <x:c r="V838" s="12" t="str"/>
      <x:c r="W838" s="12" t="str"/>
      <x:c r="X838" s="12" t="str">
        <x:v>LVTH24</x:v>
      </x:c>
      <x:c r="Y838" s="12" t="str">
        <x:v>BADRI &amp; KAMRAN</x:v>
      </x:c>
      <x:c r="Z838" s="12" t="str">
        <x:v>PIT</x:v>
      </x:c>
      <x:c r="AA838" s="32" t="n">
        <x:f>IFERROR(VLOOKUP(G838,Master_Unit!$A$2:$N$78,7,FALSE),"")</x:f>
        <x:v>0.2</x:v>
      </x:c>
      <x:c r="AB838" s="32" t="n">
        <x:f>IF(OR(N838="",AA838=""),"",N838-AA838)</x:f>
        <x:v>-0.023008849557522137</x:v>
      </x:c>
      <x:c r="AC838" s="20" t="n">
        <x:f>IF(OR(N838="",AA838="",AA838=0),"",AB838/AA838)</x:f>
        <x:v>-0.11504424778761069</x:v>
      </x:c>
      <x:c r="AD838" t="str">
        <x:f>IF(AA838="","NO STANDARD",IF(AC838&lt;=Config_Status!$B$2,"EFFICIENT",IF(AC838&lt;=Config_Status!$B$3,"NORMAL",IF(AC838&lt;=Config_Status!$B$4,"WARNING","OVER CONSUMPTION"))))</x:f>
        <x:v>EFFICIENT</x:v>
      </x:c>
      <x:c r="AE838" t="str">
        <x:f>IFERROR(VLOOKUP(G838,Master_Unit!$A$2:$N$78,13,FALSE),"UNIT NOT FOUND")</x:f>
        <x:v>Matched</x:v>
      </x:c>
    </x:row>
    <x:row r="839">
      <x:c r="A839" s="12" t="str">
        <x:v>FU-20260612-00838</x:v>
      </x:c>
      <x:c r="B839" s="12" t="n">
        <x:v>968</x:v>
      </x:c>
      <x:c r="C839" s="14" t="n">
        <x:v>46185</x:v>
      </x:c>
      <x:c r="D839" s="12" t="str">
        <x:v>Jum'at</x:v>
      </x:c>
      <x:c r="E839" s="12" t="str">
        <x:v>08:57:00</x:v>
      </x:c>
      <x:c r="F839" s="12" t="str">
        <x:v>All Shift Day</x:v>
      </x:c>
      <x:c r="G839" s="12" t="str">
        <x:v>STRL44G141</x:v>
      </x:c>
      <x:c r="H839" s="12" t="str">
        <x:v>Dump Truck</x:v>
      </x:c>
      <x:c r="I839" s="12" t="str">
        <x:v>DUMP TRUCK RENAULT KRANGE440-P6X4 A/T</x:v>
      </x:c>
      <x:c r="J839" s="16" t="n">
        <x:v>84</x:v>
      </x:c>
      <x:c r="K839" s="16" t="n">
        <x:v>3205</x:v>
      </x:c>
      <x:c r="L839" s="16" t="n">
        <x:v>3219</x:v>
      </x:c>
      <x:c r="M839" s="16" t="n">
        <x:v>14</x:v>
      </x:c>
      <x:c r="N839" s="16" t="n">
        <x:v>6</x:v>
      </x:c>
      <x:c r="O839" s="12" t="str">
        <x:v>FTRL44G004</x:v>
      </x:c>
      <x:c r="P839" s="12" t="str">
        <x:v>STRL44G141</x:v>
      </x:c>
      <x:c r="Q839" s="12" t="str"/>
      <x:c r="R839" s="12" t="str"/>
      <x:c r="S839" s="12" t="str"/>
      <x:c r="T839" s="12" t="str">
        <x:v>ABM</x:v>
      </x:c>
      <x:c r="U839" s="12" t="str"/>
      <x:c r="V839" s="12" t="str"/>
      <x:c r="W839" s="12" t="str"/>
      <x:c r="X839" s="12" t="str">
        <x:v>STRL44</x:v>
      </x:c>
      <x:c r="Y839" s="12" t="str">
        <x:v>BADRI &amp; KAMRAN</x:v>
      </x:c>
      <x:c r="Z839" s="12" t="str">
        <x:v>PIT</x:v>
      </x:c>
      <x:c r="AA839" s="32" t="n">
        <x:f>IFERROR(VLOOKUP(G839,Master_Unit!$A$2:$N$78,7,FALSE),"")</x:f>
        <x:v>20</x:v>
      </x:c>
      <x:c r="AB839" s="32" t="n">
        <x:f>IF(OR(N839="",AA839=""),"",N839-AA839)</x:f>
        <x:v>-14</x:v>
      </x:c>
      <x:c r="AC839" s="20" t="n">
        <x:f>IF(OR(N839="",AA839="",AA839=0),"",AB839/AA839)</x:f>
        <x:v>-0.7</x:v>
      </x:c>
      <x:c r="AD839" t="str">
        <x:f>IF(AA839="","NO STANDARD",IF(AC839&lt;=Config_Status!$B$2,"EFFICIENT",IF(AC839&lt;=Config_Status!$B$3,"NORMAL",IF(AC839&lt;=Config_Status!$B$4,"WARNING","OVER CONSUMPTION"))))</x:f>
        <x:v>EFFICIENT</x:v>
      </x:c>
      <x:c r="AE839" t="str">
        <x:f>IFERROR(VLOOKUP(G839,Master_Unit!$A$2:$N$78,13,FALSE),"UNIT NOT FOUND")</x:f>
        <x:v>Matched</x:v>
      </x:c>
    </x:row>
    <x:row r="840">
      <x:c r="A840" s="12" t="str">
        <x:v>FU-20260612-00839</x:v>
      </x:c>
      <x:c r="B840" s="12" t="n">
        <x:v>969</x:v>
      </x:c>
      <x:c r="C840" s="14" t="n">
        <x:v>46185</x:v>
      </x:c>
      <x:c r="D840" s="12" t="str">
        <x:v>Jum'at</x:v>
      </x:c>
      <x:c r="E840" s="12" t="str">
        <x:v>09:00:00</x:v>
      </x:c>
      <x:c r="F840" s="12" t="str">
        <x:v>All Shift Day</x:v>
      </x:c>
      <x:c r="G840" s="12" t="str">
        <x:v>LVTH24R053</x:v>
      </x:c>
      <x:c r="H840" s="12" t="str">
        <x:v>Light Vehicle</x:v>
      </x:c>
      <x:c r="I840" s="12" t="str">
        <x:v>LIGHT VEHICLE TOYOTA HILUX</x:v>
      </x:c>
      <x:c r="J840" s="16" t="n">
        <x:v>27</x:v>
      </x:c>
      <x:c r="K840" s="16" t="n">
        <x:v>24856</x:v>
      </x:c>
      <x:c r="L840" s="16" t="n">
        <x:v>25041</x:v>
      </x:c>
      <x:c r="M840" s="16" t="n">
        <x:v>185</x:v>
      </x:c>
      <x:c r="N840" s="16" t="n">
        <x:v>0.14594594594594595</x:v>
      </x:c>
      <x:c r="O840" s="12" t="str">
        <x:v>FTRL44G004</x:v>
      </x:c>
      <x:c r="P840" s="12" t="str">
        <x:v>LVTH24R053</x:v>
      </x:c>
      <x:c r="Q840" s="12" t="str"/>
      <x:c r="R840" s="12" t="str"/>
      <x:c r="S840" s="12" t="str"/>
      <x:c r="T840" s="12" t="str">
        <x:v>ABM</x:v>
      </x:c>
      <x:c r="U840" s="12" t="str"/>
      <x:c r="V840" s="12" t="str"/>
      <x:c r="W840" s="12" t="str"/>
      <x:c r="X840" s="12" t="str">
        <x:v>LVTH24</x:v>
      </x:c>
      <x:c r="Y840" s="12" t="str">
        <x:v>BADRI &amp; KAMRAN</x:v>
      </x:c>
      <x:c r="Z840" s="12" t="str">
        <x:v>PIT</x:v>
      </x:c>
      <x:c r="AA840" s="32" t="n">
        <x:f>IFERROR(VLOOKUP(G840,Master_Unit!$A$2:$N$78,7,FALSE),"")</x:f>
        <x:v>0.2</x:v>
      </x:c>
      <x:c r="AB840" s="32" t="n">
        <x:f>IF(OR(N840="",AA840=""),"",N840-AA840)</x:f>
        <x:v>-0.05405405405405406</x:v>
      </x:c>
      <x:c r="AC840" s="20" t="n">
        <x:f>IF(OR(N840="",AA840="",AA840=0),"",AB840/AA840)</x:f>
        <x:v>-0.2702702702702703</x:v>
      </x:c>
      <x:c r="AD840" t="str">
        <x:f>IF(AA840="","NO STANDARD",IF(AC840&lt;=Config_Status!$B$2,"EFFICIENT",IF(AC840&lt;=Config_Status!$B$3,"NORMAL",IF(AC840&lt;=Config_Status!$B$4,"WARNING","OVER CONSUMPTION"))))</x:f>
        <x:v>EFFICIENT</x:v>
      </x:c>
      <x:c r="AE840" t="str">
        <x:f>IFERROR(VLOOKUP(G840,Master_Unit!$A$2:$N$78,13,FALSE),"UNIT NOT FOUND")</x:f>
        <x:v>Matched</x:v>
      </x:c>
    </x:row>
    <x:row r="841">
      <x:c r="A841" s="12" t="str">
        <x:v>FU-20260612-00840</x:v>
      </x:c>
      <x:c r="B841" s="12" t="n">
        <x:v>970</x:v>
      </x:c>
      <x:c r="C841" s="14" t="n">
        <x:v>46185</x:v>
      </x:c>
      <x:c r="D841" s="12" t="str">
        <x:v>Jum'at</x:v>
      </x:c>
      <x:c r="E841" s="12" t="str">
        <x:v>09:02:00</x:v>
      </x:c>
      <x:c r="F841" s="12" t="str">
        <x:v>All Shift Day</x:v>
      </x:c>
      <x:c r="G841" s="12" t="str">
        <x:v>STRL44G138</x:v>
      </x:c>
      <x:c r="H841" s="12" t="str">
        <x:v>Dump Truck</x:v>
      </x:c>
      <x:c r="I841" s="12" t="str">
        <x:v>DUMP TRUCK RENAULT KRANGE440-P6X4 A/T</x:v>
      </x:c>
      <x:c r="J841" s="16" t="n">
        <x:v>104</x:v>
      </x:c>
      <x:c r="K841" s="16" t="n">
        <x:v>5339</x:v>
      </x:c>
      <x:c r="L841" s="16" t="n">
        <x:v>5348</x:v>
      </x:c>
      <x:c r="M841" s="16" t="n">
        <x:v>9</x:v>
      </x:c>
      <x:c r="N841" s="16" t="n">
        <x:v>11.555555555555555</x:v>
      </x:c>
      <x:c r="O841" s="12" t="str">
        <x:v>FTRL44G004</x:v>
      </x:c>
      <x:c r="P841" s="12" t="str">
        <x:v>STRL44G138</x:v>
      </x:c>
      <x:c r="Q841" s="12" t="str"/>
      <x:c r="R841" s="12" t="str"/>
      <x:c r="S841" s="12" t="str"/>
      <x:c r="T841" s="12" t="str">
        <x:v>ABM</x:v>
      </x:c>
      <x:c r="U841" s="12" t="str"/>
      <x:c r="V841" s="12" t="str"/>
      <x:c r="W841" s="12" t="str"/>
      <x:c r="X841" s="12" t="str">
        <x:v>STRL44</x:v>
      </x:c>
      <x:c r="Y841" s="12" t="str">
        <x:v>BADRI &amp; KAMRAN</x:v>
      </x:c>
      <x:c r="Z841" s="12" t="str">
        <x:v>PIT</x:v>
      </x:c>
      <x:c r="AA841" s="32" t="n">
        <x:f>IFERROR(VLOOKUP(G841,Master_Unit!$A$2:$N$78,7,FALSE),"")</x:f>
        <x:v>20</x:v>
      </x:c>
      <x:c r="AB841" s="32" t="n">
        <x:f>IF(OR(N841="",AA841=""),"",N841-AA841)</x:f>
        <x:v>-8.444444444444445</x:v>
      </x:c>
      <x:c r="AC841" s="20" t="n">
        <x:f>IF(OR(N841="",AA841="",AA841=0),"",AB841/AA841)</x:f>
        <x:v>-0.4222222222222222</x:v>
      </x:c>
      <x:c r="AD841" t="str">
        <x:f>IF(AA841="","NO STANDARD",IF(AC841&lt;=Config_Status!$B$2,"EFFICIENT",IF(AC841&lt;=Config_Status!$B$3,"NORMAL",IF(AC841&lt;=Config_Status!$B$4,"WARNING","OVER CONSUMPTION"))))</x:f>
        <x:v>EFFICIENT</x:v>
      </x:c>
      <x:c r="AE841" t="str">
        <x:f>IFERROR(VLOOKUP(G841,Master_Unit!$A$2:$N$78,13,FALSE),"UNIT NOT FOUND")</x:f>
        <x:v>Matched</x:v>
      </x:c>
    </x:row>
    <x:row r="842">
      <x:c r="A842" s="12" t="str">
        <x:v>FU-20260612-00841</x:v>
      </x:c>
      <x:c r="B842" s="12" t="n">
        <x:v>971</x:v>
      </x:c>
      <x:c r="C842" s="14" t="n">
        <x:v>46185</x:v>
      </x:c>
      <x:c r="D842" s="12" t="str">
        <x:v>Jum'at</x:v>
      </x:c>
      <x:c r="E842" s="12" t="str">
        <x:v>09:13:00</x:v>
      </x:c>
      <x:c r="F842" s="12" t="str">
        <x:v>All Shift Day</x:v>
      </x:c>
      <x:c r="G842" s="12" t="str">
        <x:v>STRL44G140</x:v>
      </x:c>
      <x:c r="H842" s="12" t="str">
        <x:v>Dump Truck</x:v>
      </x:c>
      <x:c r="I842" s="12" t="str">
        <x:v>DUMP TRUCK RENAULT KRANGE440-P6X4 A/T</x:v>
      </x:c>
      <x:c r="J842" s="16" t="n">
        <x:v>210</x:v>
      </x:c>
      <x:c r="K842" s="16" t="n">
        <x:v>5145</x:v>
      </x:c>
      <x:c r="L842" s="16" t="n">
        <x:v>5154</x:v>
      </x:c>
      <x:c r="M842" s="16" t="n">
        <x:v>9</x:v>
      </x:c>
      <x:c r="N842" s="16" t="n">
        <x:v>23.333333333333332</x:v>
      </x:c>
      <x:c r="O842" s="12" t="str">
        <x:v>FTRL44G004</x:v>
      </x:c>
      <x:c r="P842" s="12" t="str">
        <x:v>STRL44G140</x:v>
      </x:c>
      <x:c r="Q842" s="12" t="str"/>
      <x:c r="R842" s="12" t="str"/>
      <x:c r="S842" s="12" t="str"/>
      <x:c r="T842" s="12" t="str">
        <x:v>ABM</x:v>
      </x:c>
      <x:c r="U842" s="12" t="str"/>
      <x:c r="V842" s="12" t="str"/>
      <x:c r="W842" s="12" t="str"/>
      <x:c r="X842" s="12" t="str">
        <x:v>STRL44</x:v>
      </x:c>
      <x:c r="Y842" s="12" t="str">
        <x:v>BADRI &amp; KAMRAN</x:v>
      </x:c>
      <x:c r="Z842" s="12" t="str">
        <x:v>SUPPORT</x:v>
      </x:c>
      <x:c r="AA842" s="32" t="n">
        <x:f>IFERROR(VLOOKUP(G842,Master_Unit!$A$2:$N$78,7,FALSE),"")</x:f>
        <x:v>20</x:v>
      </x:c>
      <x:c r="AB842" s="32" t="n">
        <x:f>IF(OR(N842="",AA842=""),"",N842-AA842)</x:f>
        <x:v>3.333333333333332</x:v>
      </x:c>
      <x:c r="AC842" s="20" t="n">
        <x:f>IF(OR(N842="",AA842="",AA842=0),"",AB842/AA842)</x:f>
        <x:v>0.1666666666666666</x:v>
      </x:c>
      <x:c r="AD842" t="str">
        <x:f>IF(AA842="","NO STANDARD",IF(AC842&lt;=Config_Status!$B$2,"EFFICIENT",IF(AC842&lt;=Config_Status!$B$3,"NORMAL",IF(AC842&lt;=Config_Status!$B$4,"WARNING","OVER CONSUMPTION"))))</x:f>
        <x:v>WARNING</x:v>
      </x:c>
      <x:c r="AE842" t="str">
        <x:f>IFERROR(VLOOKUP(G842,Master_Unit!$A$2:$N$78,13,FALSE),"UNIT NOT FOUND")</x:f>
        <x:v>Matched</x:v>
      </x:c>
    </x:row>
    <x:row r="843">
      <x:c r="A843" s="12" t="str">
        <x:v>FU-20260612-00842</x:v>
      </x:c>
      <x:c r="B843" s="12" t="n">
        <x:v>972</x:v>
      </x:c>
      <x:c r="C843" s="14" t="n">
        <x:v>46185</x:v>
      </x:c>
      <x:c r="D843" s="12" t="str">
        <x:v>Jum'at</x:v>
      </x:c>
      <x:c r="E843" s="12" t="str">
        <x:v>09:14:00</x:v>
      </x:c>
      <x:c r="F843" s="12" t="str">
        <x:v>All Shift Day</x:v>
      </x:c>
      <x:c r="G843" s="12" t="str">
        <x:v>EXVV21G041</x:v>
      </x:c>
      <x:c r="H843" s="12" t="str">
        <x:v>Excavator</x:v>
      </x:c>
      <x:c r="I843" s="12" t="str">
        <x:v>EXCAVATOR VOLVO EC210D</x:v>
      </x:c>
      <x:c r="J843" s="16" t="n">
        <x:v>194</x:v>
      </x:c>
      <x:c r="K843" s="16" t="n">
        <x:v>4564.9</x:v>
      </x:c>
      <x:c r="L843" s="16" t="n">
        <x:v>4574.3</x:v>
      </x:c>
      <x:c r="M843" s="16" t="n">
        <x:v>9.400000000000546</x:v>
      </x:c>
      <x:c r="N843" s="16" t="n">
        <x:v>20.638297872339226</x:v>
      </x:c>
      <x:c r="O843" s="12" t="str">
        <x:v>FTRL44G004</x:v>
      </x:c>
      <x:c r="P843" s="12" t="str">
        <x:v>EXVV21G041</x:v>
      </x:c>
      <x:c r="Q843" s="12" t="str"/>
      <x:c r="R843" s="12" t="str"/>
      <x:c r="S843" s="12" t="str"/>
      <x:c r="T843" s="12" t="str">
        <x:v>ABM</x:v>
      </x:c>
      <x:c r="U843" s="12" t="str"/>
      <x:c r="V843" s="12" t="str"/>
      <x:c r="W843" s="12" t="str"/>
      <x:c r="X843" s="12" t="str">
        <x:v>EXVV21</x:v>
      </x:c>
      <x:c r="Y843" s="12" t="str">
        <x:v>BADRI &amp; KAMRAN</x:v>
      </x:c>
      <x:c r="Z843" s="12" t="str">
        <x:v>SUPPORT</x:v>
      </x:c>
      <x:c r="AA843" s="32" t="n">
        <x:f>IFERROR(VLOOKUP(G843,Master_Unit!$A$2:$N$78,7,FALSE),"")</x:f>
        <x:v>20</x:v>
      </x:c>
      <x:c r="AB843" s="32" t="n">
        <x:f>IF(OR(N843="",AA843=""),"",N843-AA843)</x:f>
        <x:v>0.6382978723392263</x:v>
      </x:c>
      <x:c r="AC843" s="20" t="n">
        <x:f>IF(OR(N843="",AA843="",AA843=0),"",AB843/AA843)</x:f>
        <x:v>0.031914893616961315</x:v>
      </x:c>
      <x:c r="AD843" t="str">
        <x:f>IF(AA843="","NO STANDARD",IF(AC843&lt;=Config_Status!$B$2,"EFFICIENT",IF(AC843&lt;=Config_Status!$B$3,"NORMAL",IF(AC843&lt;=Config_Status!$B$4,"WARNING","OVER CONSUMPTION"))))</x:f>
        <x:v>NORMAL</x:v>
      </x:c>
      <x:c r="AE843" t="str">
        <x:f>IFERROR(VLOOKUP(G843,Master_Unit!$A$2:$N$78,13,FALSE),"UNIT NOT FOUND")</x:f>
        <x:v>Matched</x:v>
      </x:c>
    </x:row>
    <x:row r="844">
      <x:c r="A844" s="12" t="str">
        <x:v>FU-20260612-00843</x:v>
      </x:c>
      <x:c r="B844" s="12" t="n">
        <x:v>973</x:v>
      </x:c>
      <x:c r="C844" s="14" t="n">
        <x:v>46185</x:v>
      </x:c>
      <x:c r="D844" s="12" t="str">
        <x:v>Jum'at</x:v>
      </x:c>
      <x:c r="E844" s="12" t="str">
        <x:v>09:30:00</x:v>
      </x:c>
      <x:c r="F844" s="12" t="str">
        <x:v>All Shift Day</x:v>
      </x:c>
      <x:c r="G844" s="12" t="str">
        <x:v>FTRL44G004</x:v>
      </x:c>
      <x:c r="H844" s="12" t="str">
        <x:v>Fuel Truck</x:v>
      </x:c>
      <x:c r="I844" s="12" t="str">
        <x:v>FUEL TRUCK RENAULT KRANGE440-P6X4 A/T</x:v>
      </x:c>
      <x:c r="J844" s="16" t="n">
        <x:v>111</x:v>
      </x:c>
      <x:c r="K844" s="16" t="n">
        <x:v>3872</x:v>
      </x:c>
      <x:c r="L844" s="16" t="n">
        <x:v>3901</x:v>
      </x:c>
      <x:c r="M844" s="16" t="n">
        <x:v>29</x:v>
      </x:c>
      <x:c r="N844" s="16" t="n">
        <x:v>3.8275862068965516</x:v>
      </x:c>
      <x:c r="O844" s="12" t="str">
        <x:v>FTRL44G004</x:v>
      </x:c>
      <x:c r="P844" s="12" t="str">
        <x:v>FTRL44G004</x:v>
      </x:c>
      <x:c r="Q844" s="12" t="str"/>
      <x:c r="R844" s="12" t="str"/>
      <x:c r="S844" s="12" t="str"/>
      <x:c r="T844" s="12" t="str">
        <x:v>ABM</x:v>
      </x:c>
      <x:c r="U844" s="12" t="str"/>
      <x:c r="V844" s="12" t="str"/>
      <x:c r="W844" s="12" t="str"/>
      <x:c r="X844" s="12" t="str">
        <x:v>FTRL44</x:v>
      </x:c>
      <x:c r="Y844" s="12" t="str">
        <x:v>BADRI &amp; KAMRAN</x:v>
      </x:c>
      <x:c r="Z844" s="12" t="str">
        <x:v>PIT</x:v>
      </x:c>
      <x:c r="AA844" s="32" t="n">
        <x:f>IFERROR(VLOOKUP(G844,Master_Unit!$A$2:$N$78,7,FALSE),"")</x:f>
        <x:v>13</x:v>
      </x:c>
      <x:c r="AB844" s="32" t="n">
        <x:f>IF(OR(N844="",AA844=""),"",N844-AA844)</x:f>
        <x:v>-9.172413793103448</x:v>
      </x:c>
      <x:c r="AC844" s="20" t="n">
        <x:f>IF(OR(N844="",AA844="",AA844=0),"",AB844/AA844)</x:f>
        <x:v>-0.7055702917771883</x:v>
      </x:c>
      <x:c r="AD844" t="str">
        <x:f>IF(AA844="","NO STANDARD",IF(AC844&lt;=Config_Status!$B$2,"EFFICIENT",IF(AC844&lt;=Config_Status!$B$3,"NORMAL",IF(AC844&lt;=Config_Status!$B$4,"WARNING","OVER CONSUMPTION"))))</x:f>
        <x:v>EFFICIENT</x:v>
      </x:c>
      <x:c r="AE844" t="str">
        <x:f>IFERROR(VLOOKUP(G844,Master_Unit!$A$2:$N$78,13,FALSE),"UNIT NOT FOUND")</x:f>
        <x:v>Matched</x:v>
      </x:c>
    </x:row>
    <x:row r="845">
      <x:c r="A845" s="12" t="str">
        <x:v>FU-20260612-00844</x:v>
      </x:c>
      <x:c r="B845" s="12" t="n">
        <x:v>974</x:v>
      </x:c>
      <x:c r="C845" s="14" t="n">
        <x:v>46185</x:v>
      </x:c>
      <x:c r="D845" s="12" t="str">
        <x:v>Jum'at</x:v>
      </x:c>
      <x:c r="E845" s="12" t="str">
        <x:v>09:37:00</x:v>
      </x:c>
      <x:c r="F845" s="12" t="str">
        <x:v>All Shift Day</x:v>
      </x:c>
      <x:c r="G845" s="12" t="str">
        <x:v>STRL44G153</x:v>
      </x:c>
      <x:c r="H845" s="12" t="str">
        <x:v>Dump Truck</x:v>
      </x:c>
      <x:c r="I845" s="12" t="str">
        <x:v>DUMP TRUCK RENAULT KRANGE440-P6X4 A/T</x:v>
      </x:c>
      <x:c r="J845" s="16" t="n">
        <x:v>141</x:v>
      </x:c>
      <x:c r="K845" s="16" t="n">
        <x:v>4034</x:v>
      </x:c>
      <x:c r="L845" s="16" t="n">
        <x:v>4039</x:v>
      </x:c>
      <x:c r="M845" s="16" t="n">
        <x:v>5</x:v>
      </x:c>
      <x:c r="N845" s="16" t="n">
        <x:v>28.2</x:v>
      </x:c>
      <x:c r="O845" s="12" t="str">
        <x:v>FTRL44G004</x:v>
      </x:c>
      <x:c r="P845" s="12" t="str">
        <x:v>STRL44G153</x:v>
      </x:c>
      <x:c r="Q845" s="12" t="str"/>
      <x:c r="R845" s="12" t="str"/>
      <x:c r="S845" s="12" t="str"/>
      <x:c r="T845" s="12" t="str">
        <x:v>ABM</x:v>
      </x:c>
      <x:c r="U845" s="12" t="str"/>
      <x:c r="V845" s="12" t="str"/>
      <x:c r="W845" s="12" t="str"/>
      <x:c r="X845" s="12" t="str">
        <x:v>STRL44</x:v>
      </x:c>
      <x:c r="Y845" s="12" t="str">
        <x:v>BADRI &amp; KAMRAN</x:v>
      </x:c>
      <x:c r="Z845" s="12" t="str">
        <x:v>PIT</x:v>
      </x:c>
      <x:c r="AA845" s="32" t="n">
        <x:f>IFERROR(VLOOKUP(G845,Master_Unit!$A$2:$N$78,7,FALSE),"")</x:f>
        <x:v>20</x:v>
      </x:c>
      <x:c r="AB845" s="32" t="n">
        <x:f>IF(OR(N845="",AA845=""),"",N845-AA845)</x:f>
        <x:v>8.2</x:v>
      </x:c>
      <x:c r="AC845" s="20" t="n">
        <x:f>IF(OR(N845="",AA845="",AA845=0),"",AB845/AA845)</x:f>
        <x:v>0.41</x:v>
      </x:c>
      <x:c r="AD845" t="str">
        <x:f>IF(AA845="","NO STANDARD",IF(AC845&lt;=Config_Status!$B$2,"EFFICIENT",IF(AC845&lt;=Config_Status!$B$3,"NORMAL",IF(AC845&lt;=Config_Status!$B$4,"WARNING","OVER CONSUMPTION"))))</x:f>
        <x:v>OVER CONSUMPTION</x:v>
      </x:c>
      <x:c r="AE845" t="str">
        <x:f>IFERROR(VLOOKUP(G845,Master_Unit!$A$2:$N$78,13,FALSE),"UNIT NOT FOUND")</x:f>
        <x:v>Matched</x:v>
      </x:c>
    </x:row>
    <x:row r="846">
      <x:c r="A846" s="12" t="str">
        <x:v>FU-20260612-00845</x:v>
      </x:c>
      <x:c r="B846" s="12" t="n">
        <x:v>975</x:v>
      </x:c>
      <x:c r="C846" s="14" t="n">
        <x:v>46185</x:v>
      </x:c>
      <x:c r="D846" s="12" t="str">
        <x:v>Jum'at</x:v>
      </x:c>
      <x:c r="E846" s="12" t="str">
        <x:v>11:09:00</x:v>
      </x:c>
      <x:c r="F846" s="12" t="str">
        <x:v>All Shift Day</x:v>
      </x:c>
      <x:c r="G846" s="12" t="str">
        <x:v>EXVV21G040</x:v>
      </x:c>
      <x:c r="H846" s="12" t="str">
        <x:v>Excavator</x:v>
      </x:c>
      <x:c r="I846" s="12" t="str">
        <x:v>EXCAVATOR VOLVO EC210D</x:v>
      </x:c>
      <x:c r="J846" s="16" t="n">
        <x:v>105</x:v>
      </x:c>
      <x:c r="K846" s="16" t="n">
        <x:v>6612.7</x:v>
      </x:c>
      <x:c r="L846" s="16" t="n">
        <x:v>6619.9</x:v>
      </x:c>
      <x:c r="M846" s="16" t="n">
        <x:v>7.199999999999818</x:v>
      </x:c>
      <x:c r="N846" s="16" t="n">
        <x:v>14.583333333333702</x:v>
      </x:c>
      <x:c r="O846" s="12" t="str">
        <x:v>FTRL44G004</x:v>
      </x:c>
      <x:c r="P846" s="12" t="str">
        <x:v>EXVV21G040</x:v>
      </x:c>
      <x:c r="Q846" s="12" t="str"/>
      <x:c r="R846" s="12" t="str"/>
      <x:c r="S846" s="12" t="str"/>
      <x:c r="T846" s="12" t="str">
        <x:v>ABM</x:v>
      </x:c>
      <x:c r="U846" s="12" t="str"/>
      <x:c r="V846" s="12" t="str"/>
      <x:c r="W846" s="12" t="str"/>
      <x:c r="X846" s="12" t="str">
        <x:v>EXVV21</x:v>
      </x:c>
      <x:c r="Y846" s="12" t="str">
        <x:v>BADRI &amp; KAMRAN</x:v>
      </x:c>
      <x:c r="Z846" s="12" t="str">
        <x:v>PIT</x:v>
      </x:c>
      <x:c r="AA846" s="32" t="n">
        <x:f>IFERROR(VLOOKUP(G846,Master_Unit!$A$2:$N$78,7,FALSE),"")</x:f>
        <x:v>20</x:v>
      </x:c>
      <x:c r="AB846" s="32" t="n">
        <x:f>IF(OR(N846="",AA846=""),"",N846-AA846)</x:f>
        <x:v>-5.416666666666298</x:v>
      </x:c>
      <x:c r="AC846" s="20" t="n">
        <x:f>IF(OR(N846="",AA846="",AA846=0),"",AB846/AA846)</x:f>
        <x:v>-0.27083333333331494</x:v>
      </x:c>
      <x:c r="AD846" t="str">
        <x:f>IF(AA846="","NO STANDARD",IF(AC846&lt;=Config_Status!$B$2,"EFFICIENT",IF(AC846&lt;=Config_Status!$B$3,"NORMAL",IF(AC846&lt;=Config_Status!$B$4,"WARNING","OVER CONSUMPTION"))))</x:f>
        <x:v>EFFICIENT</x:v>
      </x:c>
      <x:c r="AE846" t="str">
        <x:f>IFERROR(VLOOKUP(G846,Master_Unit!$A$2:$N$78,13,FALSE),"UNIT NOT FOUND")</x:f>
        <x:v>Matched</x:v>
      </x:c>
    </x:row>
    <x:row r="847">
      <x:c r="A847" s="12" t="str">
        <x:v>FU-20260612-00846</x:v>
      </x:c>
      <x:c r="B847" s="12" t="n">
        <x:v>976</x:v>
      </x:c>
      <x:c r="C847" s="14" t="n">
        <x:v>46185</x:v>
      </x:c>
      <x:c r="D847" s="12" t="str">
        <x:v>Jum'at</x:v>
      </x:c>
      <x:c r="E847" s="12" t="str">
        <x:v>09:18:00</x:v>
      </x:c>
      <x:c r="F847" s="12" t="str">
        <x:v>All Shift Day</x:v>
      </x:c>
      <x:c r="G847" s="12" t="str">
        <x:v>TLYM50G017</x:v>
      </x:c>
      <x:c r="H847" s="12" t="str">
        <x:v>Other</x:v>
      </x:c>
      <x:c r="I847" s="12" t="str">
        <x:v>TOWERLAMP YAMAGEN YDG5001SE-D-TLD4</x:v>
      </x:c>
      <x:c r="J847" s="16" t="n">
        <x:v>10</x:v>
      </x:c>
      <x:c r="K847" s="16" t="n">
        <x:v>3395.46</x:v>
      </x:c>
      <x:c r="L847" s="16" t="n">
        <x:v>3404.25</x:v>
      </x:c>
      <x:c r="M847" s="16" t="n">
        <x:v>8.789999999999964</x:v>
      </x:c>
      <x:c r="N847" s="16" t="n">
        <x:v>1.1376564277588215</x:v>
      </x:c>
      <x:c r="O847" s="12" t="str">
        <x:v>FTRL44G005</x:v>
      </x:c>
      <x:c r="P847" s="12" t="str">
        <x:v>TLYM50G017</x:v>
      </x:c>
      <x:c r="Q847" s="12" t="str"/>
      <x:c r="R847" s="12" t="str"/>
      <x:c r="S847" s="12" t="str"/>
      <x:c r="T847" s="12" t="str">
        <x:v>ABM</x:v>
      </x:c>
      <x:c r="U847" s="12" t="str"/>
      <x:c r="V847" s="12" t="str"/>
      <x:c r="W847" s="12" t="str"/>
      <x:c r="X847" s="12" t="str">
        <x:v>TLYM50</x:v>
      </x:c>
      <x:c r="Y847" s="12" t="str">
        <x:v>RAFIF &amp; YOGI</x:v>
      </x:c>
      <x:c r="Z847" s="12" t="str">
        <x:v>PIT</x:v>
      </x:c>
      <x:c r="AA847" s="32" t="n">
        <x:f>IFERROR(VLOOKUP(G847,Master_Unit!$A$2:$N$78,7,FALSE),"")</x:f>
        <x:v>2</x:v>
      </x:c>
      <x:c r="AB847" s="32" t="n">
        <x:f>IF(OR(N847="",AA847=""),"",N847-AA847)</x:f>
        <x:v>-0.8623435722411785</x:v>
      </x:c>
      <x:c r="AC847" s="20" t="n">
        <x:f>IF(OR(N847="",AA847="",AA847=0),"",AB847/AA847)</x:f>
        <x:v>-0.43117178612058926</x:v>
      </x:c>
      <x:c r="AD847" t="str">
        <x:f>IF(AA847="","NO STANDARD",IF(AC847&lt;=Config_Status!$B$2,"EFFICIENT",IF(AC847&lt;=Config_Status!$B$3,"NORMAL",IF(AC847&lt;=Config_Status!$B$4,"WARNING","OVER CONSUMPTION"))))</x:f>
        <x:v>EFFICIENT</x:v>
      </x:c>
      <x:c r="AE847" t="str">
        <x:f>IFERROR(VLOOKUP(G847,Master_Unit!$A$2:$N$78,13,FALSE),"UNIT NOT FOUND")</x:f>
        <x:v>Matched</x:v>
      </x:c>
    </x:row>
    <x:row r="848">
      <x:c r="A848" s="12" t="str">
        <x:v>FU-20260612-00847</x:v>
      </x:c>
      <x:c r="B848" s="12" t="n">
        <x:v>977</x:v>
      </x:c>
      <x:c r="C848" s="14" t="n">
        <x:v>46185</x:v>
      </x:c>
      <x:c r="D848" s="12" t="str">
        <x:v>Jum'at</x:v>
      </x:c>
      <x:c r="E848" s="12" t="str">
        <x:v>09:39:00</x:v>
      </x:c>
      <x:c r="F848" s="12" t="str">
        <x:v>All Shift Day</x:v>
      </x:c>
      <x:c r="G848" s="12" t="str">
        <x:v>FTRL44G005</x:v>
      </x:c>
      <x:c r="H848" s="12" t="str">
        <x:v>Fuel Truck</x:v>
      </x:c>
      <x:c r="I848" s="12" t="str">
        <x:v>FUEL TRUCK RENAULT KRANGE440-P6X4 A/T</x:v>
      </x:c>
      <x:c r="J848" s="16" t="n">
        <x:v>81</x:v>
      </x:c>
      <x:c r="K848" s="16" t="n">
        <x:v>3661</x:v>
      </x:c>
      <x:c r="L848" s="16" t="n">
        <x:v>3680</x:v>
      </x:c>
      <x:c r="M848" s="16" t="n">
        <x:v>19</x:v>
      </x:c>
      <x:c r="N848" s="16" t="n">
        <x:v>4.2631578947368425</x:v>
      </x:c>
      <x:c r="O848" s="12" t="str">
        <x:v>FTRL44G005</x:v>
      </x:c>
      <x:c r="P848" s="12" t="str">
        <x:v>FTRL44G005</x:v>
      </x:c>
      <x:c r="Q848" s="12" t="str"/>
      <x:c r="R848" s="12" t="str"/>
      <x:c r="S848" s="12" t="str"/>
      <x:c r="T848" s="12" t="str">
        <x:v>ABM</x:v>
      </x:c>
      <x:c r="U848" s="12" t="str"/>
      <x:c r="V848" s="12" t="str"/>
      <x:c r="W848" s="12" t="str"/>
      <x:c r="X848" s="12" t="str">
        <x:v>FTRL44</x:v>
      </x:c>
      <x:c r="Y848" s="12" t="str">
        <x:v>RAFIF &amp; YOGI</x:v>
      </x:c>
      <x:c r="Z848" s="12" t="str">
        <x:v>PIT</x:v>
      </x:c>
      <x:c r="AA848" s="32" t="n">
        <x:f>IFERROR(VLOOKUP(G848,Master_Unit!$A$2:$N$78,7,FALSE),"")</x:f>
        <x:v>13</x:v>
      </x:c>
      <x:c r="AB848" s="32" t="n">
        <x:f>IF(OR(N848="",AA848=""),"",N848-AA848)</x:f>
        <x:v>-8.736842105263158</x:v>
      </x:c>
      <x:c r="AC848" s="20" t="n">
        <x:f>IF(OR(N848="",AA848="",AA848=0),"",AB848/AA848)</x:f>
        <x:v>-0.6720647773279352</x:v>
      </x:c>
      <x:c r="AD848" t="str">
        <x:f>IF(AA848="","NO STANDARD",IF(AC848&lt;=Config_Status!$B$2,"EFFICIENT",IF(AC848&lt;=Config_Status!$B$3,"NORMAL",IF(AC848&lt;=Config_Status!$B$4,"WARNING","OVER CONSUMPTION"))))</x:f>
        <x:v>EFFICIENT</x:v>
      </x:c>
      <x:c r="AE848" t="str">
        <x:f>IFERROR(VLOOKUP(G848,Master_Unit!$A$2:$N$78,13,FALSE),"UNIT NOT FOUND")</x:f>
        <x:v>Matched</x:v>
      </x:c>
    </x:row>
    <x:row r="849">
      <x:c r="A849" s="12" t="str">
        <x:v>FU-20260612-00848</x:v>
      </x:c>
      <x:c r="B849" s="12" t="n">
        <x:v>978</x:v>
      </x:c>
      <x:c r="C849" s="14" t="n">
        <x:v>46185</x:v>
      </x:c>
      <x:c r="D849" s="12" t="str">
        <x:v>Jum'at</x:v>
      </x:c>
      <x:c r="E849" s="12" t="str">
        <x:v>10:02:00</x:v>
      </x:c>
      <x:c r="F849" s="12" t="str">
        <x:v>All Shift Day</x:v>
      </x:c>
      <x:c r="G849" s="12" t="str">
        <x:v>STRL44G156</x:v>
      </x:c>
      <x:c r="H849" s="12" t="str">
        <x:v>Dump Truck</x:v>
      </x:c>
      <x:c r="I849" s="12" t="str">
        <x:v>DUMP TRUCK RENAULT KRANGE440-P6X4 A/T</x:v>
      </x:c>
      <x:c r="J849" s="16" t="n">
        <x:v>158</x:v>
      </x:c>
      <x:c r="K849" s="16" t="n">
        <x:v>3815</x:v>
      </x:c>
      <x:c r="L849" s="16" t="n">
        <x:v>3820</x:v>
      </x:c>
      <x:c r="M849" s="16" t="n">
        <x:v>5</x:v>
      </x:c>
      <x:c r="N849" s="16" t="n">
        <x:v>31.6</x:v>
      </x:c>
      <x:c r="O849" s="12" t="str">
        <x:v>FTRL44G005</x:v>
      </x:c>
      <x:c r="P849" s="12" t="str">
        <x:v>STRL44G156</x:v>
      </x:c>
      <x:c r="Q849" s="12" t="str"/>
      <x:c r="R849" s="12" t="str"/>
      <x:c r="S849" s="12" t="str"/>
      <x:c r="T849" s="12" t="str">
        <x:v>ABM</x:v>
      </x:c>
      <x:c r="U849" s="12" t="str"/>
      <x:c r="V849" s="12" t="str"/>
      <x:c r="W849" s="12" t="str"/>
      <x:c r="X849" s="12" t="str">
        <x:v>STRL44</x:v>
      </x:c>
      <x:c r="Y849" s="12" t="str">
        <x:v>RAFIF &amp; YOGI</x:v>
      </x:c>
      <x:c r="Z849" s="12" t="str">
        <x:v>EFO</x:v>
      </x:c>
      <x:c r="AA849" s="32" t="n">
        <x:f>IFERROR(VLOOKUP(G849,Master_Unit!$A$2:$N$78,7,FALSE),"")</x:f>
        <x:v>20</x:v>
      </x:c>
      <x:c r="AB849" s="32" t="n">
        <x:f>IF(OR(N849="",AA849=""),"",N849-AA849)</x:f>
        <x:v>11.600000000000001</x:v>
      </x:c>
      <x:c r="AC849" s="20" t="n">
        <x:f>IF(OR(N849="",AA849="",AA849=0),"",AB849/AA849)</x:f>
        <x:v>0.5800000000000001</x:v>
      </x:c>
      <x:c r="AD849" t="str">
        <x:f>IF(AA849="","NO STANDARD",IF(AC849&lt;=Config_Status!$B$2,"EFFICIENT",IF(AC849&lt;=Config_Status!$B$3,"NORMAL",IF(AC849&lt;=Config_Status!$B$4,"WARNING","OVER CONSUMPTION"))))</x:f>
        <x:v>OVER CONSUMPTION</x:v>
      </x:c>
      <x:c r="AE849" t="str">
        <x:f>IFERROR(VLOOKUP(G849,Master_Unit!$A$2:$N$78,13,FALSE),"UNIT NOT FOUND")</x:f>
        <x:v>Matched</x:v>
      </x:c>
    </x:row>
    <x:row r="850">
      <x:c r="A850" s="12" t="str">
        <x:v>FU-20260612-00849</x:v>
      </x:c>
      <x:c r="B850" s="12" t="n">
        <x:v>979</x:v>
      </x:c>
      <x:c r="C850" s="14" t="n">
        <x:v>46185</x:v>
      </x:c>
      <x:c r="D850" s="12" t="str">
        <x:v>Jum'at</x:v>
      </x:c>
      <x:c r="E850" s="12" t="str">
        <x:v>10:10:00</x:v>
      </x:c>
      <x:c r="F850" s="12" t="str">
        <x:v>All Shift Day</x:v>
      </x:c>
      <x:c r="G850" s="12" t="str">
        <x:v>STRL44G157</x:v>
      </x:c>
      <x:c r="H850" s="12" t="str">
        <x:v>Dump Truck</x:v>
      </x:c>
      <x:c r="I850" s="12" t="str">
        <x:v>DUMP TRUCK RENAULT KRANGE440-P6X4 A/T</x:v>
      </x:c>
      <x:c r="J850" s="16" t="n">
        <x:v>154</x:v>
      </x:c>
      <x:c r="K850" s="16" t="n">
        <x:v>4107</x:v>
      </x:c>
      <x:c r="L850" s="16" t="n">
        <x:v>4112</x:v>
      </x:c>
      <x:c r="M850" s="16" t="n">
        <x:v>5</x:v>
      </x:c>
      <x:c r="N850" s="16" t="n">
        <x:v>30.8</x:v>
      </x:c>
      <x:c r="O850" s="12" t="str">
        <x:v>FTRL44G005</x:v>
      </x:c>
      <x:c r="P850" s="12" t="str">
        <x:v>STRL44G157</x:v>
      </x:c>
      <x:c r="Q850" s="12" t="str"/>
      <x:c r="R850" s="12" t="str"/>
      <x:c r="S850" s="12" t="str"/>
      <x:c r="T850" s="12" t="str">
        <x:v>ABM</x:v>
      </x:c>
      <x:c r="U850" s="12" t="str"/>
      <x:c r="V850" s="12" t="str"/>
      <x:c r="W850" s="12" t="str"/>
      <x:c r="X850" s="12" t="str">
        <x:v>STRL44</x:v>
      </x:c>
      <x:c r="Y850" s="12" t="str">
        <x:v>RAFIF &amp; YOGI</x:v>
      </x:c>
      <x:c r="Z850" s="12" t="str">
        <x:v>EFO</x:v>
      </x:c>
      <x:c r="AA850" s="32" t="n">
        <x:f>IFERROR(VLOOKUP(G850,Master_Unit!$A$2:$N$78,7,FALSE),"")</x:f>
        <x:v>20</x:v>
      </x:c>
      <x:c r="AB850" s="32" t="n">
        <x:f>IF(OR(N850="",AA850=""),"",N850-AA850)</x:f>
        <x:v>10.8</x:v>
      </x:c>
      <x:c r="AC850" s="20" t="n">
        <x:f>IF(OR(N850="",AA850="",AA850=0),"",AB850/AA850)</x:f>
        <x:v>0.54</x:v>
      </x:c>
      <x:c r="AD850" t="str">
        <x:f>IF(AA850="","NO STANDARD",IF(AC850&lt;=Config_Status!$B$2,"EFFICIENT",IF(AC850&lt;=Config_Status!$B$3,"NORMAL",IF(AC850&lt;=Config_Status!$B$4,"WARNING","OVER CONSUMPTION"))))</x:f>
        <x:v>OVER CONSUMPTION</x:v>
      </x:c>
      <x:c r="AE850" t="str">
        <x:f>IFERROR(VLOOKUP(G850,Master_Unit!$A$2:$N$78,13,FALSE),"UNIT NOT FOUND")</x:f>
        <x:v>Matched</x:v>
      </x:c>
    </x:row>
    <x:row r="851">
      <x:c r="A851" s="12" t="str">
        <x:v>FU-20260612-00850</x:v>
      </x:c>
      <x:c r="B851" s="12" t="n">
        <x:v>980</x:v>
      </x:c>
      <x:c r="C851" s="14" t="n">
        <x:v>46185</x:v>
      </x:c>
      <x:c r="D851" s="12" t="str">
        <x:v>Jum'at</x:v>
      </x:c>
      <x:c r="E851" s="12" t="str">
        <x:v>10:13:00</x:v>
      </x:c>
      <x:c r="F851" s="12" t="str">
        <x:v>All Shift Day</x:v>
      </x:c>
      <x:c r="G851" s="12" t="str">
        <x:v>STRL44G149</x:v>
      </x:c>
      <x:c r="H851" s="12" t="str">
        <x:v>Dump Truck</x:v>
      </x:c>
      <x:c r="I851" s="12" t="str">
        <x:v>DUMP TRUCK RENAULT KRANGE440-P6X4 A/T</x:v>
      </x:c>
      <x:c r="J851" s="16" t="n">
        <x:v>149</x:v>
      </x:c>
      <x:c r="K851" s="16" t="n">
        <x:v>4338</x:v>
      </x:c>
      <x:c r="L851" s="16" t="n">
        <x:v>4343</x:v>
      </x:c>
      <x:c r="M851" s="16" t="n">
        <x:v>5</x:v>
      </x:c>
      <x:c r="N851" s="16" t="n">
        <x:v>29.8</x:v>
      </x:c>
      <x:c r="O851" s="12" t="str">
        <x:v>FTRL44G005</x:v>
      </x:c>
      <x:c r="P851" s="12" t="str">
        <x:v>STRL44G149</x:v>
      </x:c>
      <x:c r="Q851" s="12" t="str"/>
      <x:c r="R851" s="12" t="str"/>
      <x:c r="S851" s="12" t="str"/>
      <x:c r="T851" s="12" t="str">
        <x:v>ABM</x:v>
      </x:c>
      <x:c r="U851" s="12" t="str"/>
      <x:c r="V851" s="12" t="str"/>
      <x:c r="W851" s="12" t="str"/>
      <x:c r="X851" s="12" t="str">
        <x:v>STRL44</x:v>
      </x:c>
      <x:c r="Y851" s="12" t="str">
        <x:v>RAFIF &amp; YOGI</x:v>
      </x:c>
      <x:c r="Z851" s="12" t="str">
        <x:v>COAL HAULING</x:v>
      </x:c>
      <x:c r="AA851" s="32" t="n">
        <x:f>IFERROR(VLOOKUP(G851,Master_Unit!$A$2:$N$78,7,FALSE),"")</x:f>
        <x:v>20</x:v>
      </x:c>
      <x:c r="AB851" s="32" t="n">
        <x:f>IF(OR(N851="",AA851=""),"",N851-AA851)</x:f>
        <x:v>9.8</x:v>
      </x:c>
      <x:c r="AC851" s="20" t="n">
        <x:f>IF(OR(N851="",AA851="",AA851=0),"",AB851/AA851)</x:f>
        <x:v>0.49000000000000005</x:v>
      </x:c>
      <x:c r="AD851" t="str">
        <x:f>IF(AA851="","NO STANDARD",IF(AC851&lt;=Config_Status!$B$2,"EFFICIENT",IF(AC851&lt;=Config_Status!$B$3,"NORMAL",IF(AC851&lt;=Config_Status!$B$4,"WARNING","OVER CONSUMPTION"))))</x:f>
        <x:v>OVER CONSUMPTION</x:v>
      </x:c>
      <x:c r="AE851" t="str">
        <x:f>IFERROR(VLOOKUP(G851,Master_Unit!$A$2:$N$78,13,FALSE),"UNIT NOT FOUND")</x:f>
        <x:v>Matched</x:v>
      </x:c>
    </x:row>
    <x:row r="852">
      <x:c r="A852" s="12" t="str">
        <x:v>FU-20260612-00851</x:v>
      </x:c>
      <x:c r="B852" s="12" t="n">
        <x:v>981</x:v>
      </x:c>
      <x:c r="C852" s="14" t="n">
        <x:v>46185</x:v>
      </x:c>
      <x:c r="D852" s="12" t="str">
        <x:v>Jum'at</x:v>
      </x:c>
      <x:c r="E852" s="12" t="str">
        <x:v>10:18:00</x:v>
      </x:c>
      <x:c r="F852" s="12" t="str">
        <x:v>All Shift Day</x:v>
      </x:c>
      <x:c r="G852" s="12" t="str">
        <x:v>STRL44G143</x:v>
      </x:c>
      <x:c r="H852" s="12" t="str">
        <x:v>Dump Truck</x:v>
      </x:c>
      <x:c r="I852" s="12" t="str">
        <x:v>DUMP TRUCK RENAULT KRANGE440-P6X4 A/T</x:v>
      </x:c>
      <x:c r="J852" s="16" t="n">
        <x:v>128</x:v>
      </x:c>
      <x:c r="K852" s="16" t="n">
        <x:v>5277</x:v>
      </x:c>
      <x:c r="L852" s="16" t="n">
        <x:v>5282</x:v>
      </x:c>
      <x:c r="M852" s="16" t="n">
        <x:v>5</x:v>
      </x:c>
      <x:c r="N852" s="16" t="n">
        <x:v>25.6</x:v>
      </x:c>
      <x:c r="O852" s="12" t="str">
        <x:v>FTRL44G005</x:v>
      </x:c>
      <x:c r="P852" s="12" t="str">
        <x:v>STRL44G143</x:v>
      </x:c>
      <x:c r="Q852" s="12" t="str"/>
      <x:c r="R852" s="12" t="str"/>
      <x:c r="S852" s="12" t="str"/>
      <x:c r="T852" s="12" t="str">
        <x:v>ABM</x:v>
      </x:c>
      <x:c r="U852" s="12" t="str"/>
      <x:c r="V852" s="12" t="str"/>
      <x:c r="W852" s="12" t="str"/>
      <x:c r="X852" s="12" t="str">
        <x:v>STRL44</x:v>
      </x:c>
      <x:c r="Y852" s="12" t="str">
        <x:v>RAFIF &amp; YOGI</x:v>
      </x:c>
      <x:c r="Z852" s="12" t="str">
        <x:v>COAL HAULING</x:v>
      </x:c>
      <x:c r="AA852" s="32" t="n">
        <x:f>IFERROR(VLOOKUP(G852,Master_Unit!$A$2:$N$78,7,FALSE),"")</x:f>
        <x:v>20</x:v>
      </x:c>
      <x:c r="AB852" s="32" t="n">
        <x:f>IF(OR(N852="",AA852=""),"",N852-AA852)</x:f>
        <x:v>5.600000000000001</x:v>
      </x:c>
      <x:c r="AC852" s="20" t="n">
        <x:f>IF(OR(N852="",AA852="",AA852=0),"",AB852/AA852)</x:f>
        <x:v>0.2800000000000001</x:v>
      </x:c>
      <x:c r="AD852" t="str">
        <x:f>IF(AA852="","NO STANDARD",IF(AC852&lt;=Config_Status!$B$2,"EFFICIENT",IF(AC852&lt;=Config_Status!$B$3,"NORMAL",IF(AC852&lt;=Config_Status!$B$4,"WARNING","OVER CONSUMPTION"))))</x:f>
        <x:v>OVER CONSUMPTION</x:v>
      </x:c>
      <x:c r="AE852" t="str">
        <x:f>IFERROR(VLOOKUP(G852,Master_Unit!$A$2:$N$78,13,FALSE),"UNIT NOT FOUND")</x:f>
        <x:v>Matched</x:v>
      </x:c>
    </x:row>
    <x:row r="853">
      <x:c r="A853" s="12" t="str">
        <x:v>FU-20260612-00852</x:v>
      </x:c>
      <x:c r="B853" s="12" t="n">
        <x:v>982</x:v>
      </x:c>
      <x:c r="C853" s="14" t="n">
        <x:v>46185</x:v>
      </x:c>
      <x:c r="D853" s="12" t="str">
        <x:v>Jum'at</x:v>
      </x:c>
      <x:c r="E853" s="12" t="str">
        <x:v>10:20:00</x:v>
      </x:c>
      <x:c r="F853" s="12" t="str">
        <x:v>All Shift Day</x:v>
      </x:c>
      <x:c r="G853" s="12" t="str">
        <x:v>STRL44G151</x:v>
      </x:c>
      <x:c r="H853" s="12" t="str">
        <x:v>Dump Truck</x:v>
      </x:c>
      <x:c r="I853" s="12" t="str">
        <x:v>DUMP TRUCK RENAULT KRANGE440-P6X4 A/T</x:v>
      </x:c>
      <x:c r="J853" s="16" t="n">
        <x:v>145</x:v>
      </x:c>
      <x:c r="K853" s="16" t="n">
        <x:v>4438</x:v>
      </x:c>
      <x:c r="L853" s="16" t="n">
        <x:v>4443</x:v>
      </x:c>
      <x:c r="M853" s="16" t="n">
        <x:v>5</x:v>
      </x:c>
      <x:c r="N853" s="16" t="n">
        <x:v>29</x:v>
      </x:c>
      <x:c r="O853" s="12" t="str">
        <x:v>FTRL44G005</x:v>
      </x:c>
      <x:c r="P853" s="12" t="str">
        <x:v>STRL44G151</x:v>
      </x:c>
      <x:c r="Q853" s="12" t="str"/>
      <x:c r="R853" s="12" t="str"/>
      <x:c r="S853" s="12" t="str"/>
      <x:c r="T853" s="12" t="str">
        <x:v>ABM</x:v>
      </x:c>
      <x:c r="U853" s="12" t="str"/>
      <x:c r="V853" s="12" t="str"/>
      <x:c r="W853" s="12" t="str"/>
      <x:c r="X853" s="12" t="str">
        <x:v>STRL44</x:v>
      </x:c>
      <x:c r="Y853" s="12" t="str">
        <x:v>RAFIF &amp; YOGI</x:v>
      </x:c>
      <x:c r="Z853" s="12" t="str">
        <x:v>COAL HAULING</x:v>
      </x:c>
      <x:c r="AA853" s="32" t="n">
        <x:f>IFERROR(VLOOKUP(G853,Master_Unit!$A$2:$N$78,7,FALSE),"")</x:f>
        <x:v>20</x:v>
      </x:c>
      <x:c r="AB853" s="32" t="n">
        <x:f>IF(OR(N853="",AA853=""),"",N853-AA853)</x:f>
        <x:v>9</x:v>
      </x:c>
      <x:c r="AC853" s="20" t="n">
        <x:f>IF(OR(N853="",AA853="",AA853=0),"",AB853/AA853)</x:f>
        <x:v>0.45</x:v>
      </x:c>
      <x:c r="AD853" t="str">
        <x:f>IF(AA853="","NO STANDARD",IF(AC853&lt;=Config_Status!$B$2,"EFFICIENT",IF(AC853&lt;=Config_Status!$B$3,"NORMAL",IF(AC853&lt;=Config_Status!$B$4,"WARNING","OVER CONSUMPTION"))))</x:f>
        <x:v>OVER CONSUMPTION</x:v>
      </x:c>
      <x:c r="AE853" t="str">
        <x:f>IFERROR(VLOOKUP(G853,Master_Unit!$A$2:$N$78,13,FALSE),"UNIT NOT FOUND")</x:f>
        <x:v>Matched</x:v>
      </x:c>
    </x:row>
    <x:row r="854">
      <x:c r="A854" s="12" t="str">
        <x:v>FU-20260612-00853</x:v>
      </x:c>
      <x:c r="B854" s="12" t="n">
        <x:v>983</x:v>
      </x:c>
      <x:c r="C854" s="14" t="n">
        <x:v>46185</x:v>
      </x:c>
      <x:c r="D854" s="12" t="str">
        <x:v>Jum'at</x:v>
      </x:c>
      <x:c r="E854" s="12" t="str">
        <x:v>10:24:00</x:v>
      </x:c>
      <x:c r="F854" s="12" t="str">
        <x:v>All Shift Day</x:v>
      </x:c>
      <x:c r="G854" s="12" t="str">
        <x:v>STRL44G154</x:v>
      </x:c>
      <x:c r="H854" s="12" t="str">
        <x:v>Dump Truck</x:v>
      </x:c>
      <x:c r="I854" s="12" t="str">
        <x:v>DUMP TRUCK RENAULT KRANGE440-P6X4 A/T</x:v>
      </x:c>
      <x:c r="J854" s="16" t="n">
        <x:v>194</x:v>
      </x:c>
      <x:c r="K854" s="16" t="n">
        <x:v>4133</x:v>
      </x:c>
      <x:c r="L854" s="16" t="n">
        <x:v>4139</x:v>
      </x:c>
      <x:c r="M854" s="16" t="n">
        <x:v>6</x:v>
      </x:c>
      <x:c r="N854" s="16" t="n">
        <x:v>32.333333333333336</x:v>
      </x:c>
      <x:c r="O854" s="12" t="str">
        <x:v>FTRL44G005</x:v>
      </x:c>
      <x:c r="P854" s="12" t="str">
        <x:v>STRL44G154</x:v>
      </x:c>
      <x:c r="Q854" s="12" t="str"/>
      <x:c r="R854" s="12" t="str"/>
      <x:c r="S854" s="12" t="str"/>
      <x:c r="T854" s="12" t="str">
        <x:v>ABM</x:v>
      </x:c>
      <x:c r="U854" s="12" t="str"/>
      <x:c r="V854" s="12" t="str"/>
      <x:c r="W854" s="12" t="str"/>
      <x:c r="X854" s="12" t="str">
        <x:v>STRL44</x:v>
      </x:c>
      <x:c r="Y854" s="12" t="str">
        <x:v>RAFIF &amp; YOGI</x:v>
      </x:c>
      <x:c r="Z854" s="12" t="str">
        <x:v>COAL HAULING</x:v>
      </x:c>
      <x:c r="AA854" s="32" t="n">
        <x:f>IFERROR(VLOOKUP(G854,Master_Unit!$A$2:$N$78,7,FALSE),"")</x:f>
        <x:v>20</x:v>
      </x:c>
      <x:c r="AB854" s="32" t="n">
        <x:f>IF(OR(N854="",AA854=""),"",N854-AA854)</x:f>
        <x:v>12.333333333333336</x:v>
      </x:c>
      <x:c r="AC854" s="20" t="n">
        <x:f>IF(OR(N854="",AA854="",AA854=0),"",AB854/AA854)</x:f>
        <x:v>0.6166666666666668</x:v>
      </x:c>
      <x:c r="AD854" t="str">
        <x:f>IF(AA854="","NO STANDARD",IF(AC854&lt;=Config_Status!$B$2,"EFFICIENT",IF(AC854&lt;=Config_Status!$B$3,"NORMAL",IF(AC854&lt;=Config_Status!$B$4,"WARNING","OVER CONSUMPTION"))))</x:f>
        <x:v>OVER CONSUMPTION</x:v>
      </x:c>
      <x:c r="AE854" t="str">
        <x:f>IFERROR(VLOOKUP(G854,Master_Unit!$A$2:$N$78,13,FALSE),"UNIT NOT FOUND")</x:f>
        <x:v>Matched</x:v>
      </x:c>
    </x:row>
    <x:row r="855">
      <x:c r="A855" s="12" t="str">
        <x:v>FU-20260612-00854</x:v>
      </x:c>
      <x:c r="B855" s="12" t="n">
        <x:v>984</x:v>
      </x:c>
      <x:c r="C855" s="14" t="n">
        <x:v>46185</x:v>
      </x:c>
      <x:c r="D855" s="12" t="str">
        <x:v>Jum'at</x:v>
      </x:c>
      <x:c r="E855" s="12" t="str">
        <x:v>10:26:00</x:v>
      </x:c>
      <x:c r="F855" s="12" t="str">
        <x:v>All Shift Day</x:v>
      </x:c>
      <x:c r="G855" s="12" t="str">
        <x:v>STRL44G155</x:v>
      </x:c>
      <x:c r="H855" s="12" t="str">
        <x:v>Dump Truck</x:v>
      </x:c>
      <x:c r="I855" s="12" t="str">
        <x:v>DUMP TRUCK RENAULT KRANGE440-P6X4 A/T</x:v>
      </x:c>
      <x:c r="J855" s="16" t="n">
        <x:v>194</x:v>
      </x:c>
      <x:c r="K855" s="16" t="n">
        <x:v>4004</x:v>
      </x:c>
      <x:c r="L855" s="16" t="n">
        <x:v>4011</x:v>
      </x:c>
      <x:c r="M855" s="16" t="n">
        <x:v>7</x:v>
      </x:c>
      <x:c r="N855" s="16" t="n">
        <x:v>27.714285714285715</x:v>
      </x:c>
      <x:c r="O855" s="12" t="str">
        <x:v>FTRL44G005</x:v>
      </x:c>
      <x:c r="P855" s="12" t="str">
        <x:v>STRL44G155</x:v>
      </x:c>
      <x:c r="Q855" s="12" t="str"/>
      <x:c r="R855" s="12" t="str"/>
      <x:c r="S855" s="12" t="str"/>
      <x:c r="T855" s="12" t="str">
        <x:v>ABM</x:v>
      </x:c>
      <x:c r="U855" s="12" t="str"/>
      <x:c r="V855" s="12" t="str"/>
      <x:c r="W855" s="12" t="str"/>
      <x:c r="X855" s="12" t="str">
        <x:v>STRL44</x:v>
      </x:c>
      <x:c r="Y855" s="12" t="str">
        <x:v>RAFIF &amp; YOGI</x:v>
      </x:c>
      <x:c r="Z855" s="12" t="str">
        <x:v>COAL HAULING</x:v>
      </x:c>
      <x:c r="AA855" s="32" t="n">
        <x:f>IFERROR(VLOOKUP(G855,Master_Unit!$A$2:$N$78,7,FALSE),"")</x:f>
        <x:v>20</x:v>
      </x:c>
      <x:c r="AB855" s="32" t="n">
        <x:f>IF(OR(N855="",AA855=""),"",N855-AA855)</x:f>
        <x:v>7.714285714285715</x:v>
      </x:c>
      <x:c r="AC855" s="20" t="n">
        <x:f>IF(OR(N855="",AA855="",AA855=0),"",AB855/AA855)</x:f>
        <x:v>0.3857142857142858</x:v>
      </x:c>
      <x:c r="AD855" t="str">
        <x:f>IF(AA855="","NO STANDARD",IF(AC855&lt;=Config_Status!$B$2,"EFFICIENT",IF(AC855&lt;=Config_Status!$B$3,"NORMAL",IF(AC855&lt;=Config_Status!$B$4,"WARNING","OVER CONSUMPTION"))))</x:f>
        <x:v>OVER CONSUMPTION</x:v>
      </x:c>
      <x:c r="AE855" t="str">
        <x:f>IFERROR(VLOOKUP(G855,Master_Unit!$A$2:$N$78,13,FALSE),"UNIT NOT FOUND")</x:f>
        <x:v>Matched</x:v>
      </x:c>
    </x:row>
    <x:row r="856">
      <x:c r="A856" s="12" t="str">
        <x:v>FU-20260612-00855</x:v>
      </x:c>
      <x:c r="B856" s="12" t="n">
        <x:v>985</x:v>
      </x:c>
      <x:c r="C856" s="14" t="n">
        <x:v>46185</x:v>
      </x:c>
      <x:c r="D856" s="12" t="str">
        <x:v>Jum'at</x:v>
      </x:c>
      <x:c r="E856" s="12" t="str">
        <x:v>10:29:00</x:v>
      </x:c>
      <x:c r="F856" s="12" t="str">
        <x:v>All Shift Day</x:v>
      </x:c>
      <x:c r="G856" s="12" t="str">
        <x:v>STRL44G144</x:v>
      </x:c>
      <x:c r="H856" s="12" t="str">
        <x:v>Dump Truck</x:v>
      </x:c>
      <x:c r="I856" s="12" t="str">
        <x:v>DUMP TRUCK RENAULT KRANGE440-P6X4 A/T</x:v>
      </x:c>
      <x:c r="J856" s="16" t="n">
        <x:v>146</x:v>
      </x:c>
      <x:c r="K856" s="16" t="n">
        <x:v>1573</x:v>
      </x:c>
      <x:c r="L856" s="16" t="n">
        <x:v>1578</x:v>
      </x:c>
      <x:c r="M856" s="16" t="n">
        <x:v>5</x:v>
      </x:c>
      <x:c r="N856" s="16" t="n">
        <x:v>29.2</x:v>
      </x:c>
      <x:c r="O856" s="12" t="str">
        <x:v>FTRL44G005</x:v>
      </x:c>
      <x:c r="P856" s="12" t="str">
        <x:v>STRL44G144</x:v>
      </x:c>
      <x:c r="Q856" s="12" t="str"/>
      <x:c r="R856" s="12" t="str"/>
      <x:c r="S856" s="12" t="str"/>
      <x:c r="T856" s="12" t="str">
        <x:v>ABM</x:v>
      </x:c>
      <x:c r="U856" s="12" t="str"/>
      <x:c r="V856" s="12" t="str"/>
      <x:c r="W856" s="12" t="str"/>
      <x:c r="X856" s="12" t="str">
        <x:v>STRL44</x:v>
      </x:c>
      <x:c r="Y856" s="12" t="str">
        <x:v>RAFIF &amp; YOGI</x:v>
      </x:c>
      <x:c r="Z856" s="12" t="str">
        <x:v>COAL HAULING</x:v>
      </x:c>
      <x:c r="AA856" s="32" t="n">
        <x:f>IFERROR(VLOOKUP(G856,Master_Unit!$A$2:$N$78,7,FALSE),"")</x:f>
        <x:v>20</x:v>
      </x:c>
      <x:c r="AB856" s="32" t="n">
        <x:f>IF(OR(N856="",AA856=""),"",N856-AA856)</x:f>
        <x:v>9.2</x:v>
      </x:c>
      <x:c r="AC856" s="20" t="n">
        <x:f>IF(OR(N856="",AA856="",AA856=0),"",AB856/AA856)</x:f>
        <x:v>0.45999999999999996</x:v>
      </x:c>
      <x:c r="AD856" t="str">
        <x:f>IF(AA856="","NO STANDARD",IF(AC856&lt;=Config_Status!$B$2,"EFFICIENT",IF(AC856&lt;=Config_Status!$B$3,"NORMAL",IF(AC856&lt;=Config_Status!$B$4,"WARNING","OVER CONSUMPTION"))))</x:f>
        <x:v>OVER CONSUMPTION</x:v>
      </x:c>
      <x:c r="AE856" t="str">
        <x:f>IFERROR(VLOOKUP(G856,Master_Unit!$A$2:$N$78,13,FALSE),"UNIT NOT FOUND")</x:f>
        <x:v>Matched</x:v>
      </x:c>
    </x:row>
    <x:row r="857">
      <x:c r="A857" s="12" t="str">
        <x:v>FU-20260612-00856</x:v>
      </x:c>
      <x:c r="B857" s="12" t="n">
        <x:v>986</x:v>
      </x:c>
      <x:c r="C857" s="14" t="n">
        <x:v>46185</x:v>
      </x:c>
      <x:c r="D857" s="12" t="str">
        <x:v>Jum'at</x:v>
      </x:c>
      <x:c r="E857" s="12" t="str">
        <x:v>10:35:00</x:v>
      </x:c>
      <x:c r="F857" s="12" t="str">
        <x:v>All Shift Day</x:v>
      </x:c>
      <x:c r="G857" s="12" t="str">
        <x:v>STRL44G145</x:v>
      </x:c>
      <x:c r="H857" s="12" t="str">
        <x:v>Dump Truck</x:v>
      </x:c>
      <x:c r="I857" s="12" t="str">
        <x:v>DUMP TRUCK RENAULT KRANGE440-P6X4 A/T</x:v>
      </x:c>
      <x:c r="J857" s="16" t="n">
        <x:v>194</x:v>
      </x:c>
      <x:c r="K857" s="16" t="n">
        <x:v>4988</x:v>
      </x:c>
      <x:c r="L857" s="16" t="n">
        <x:v>4993</x:v>
      </x:c>
      <x:c r="M857" s="16" t="n">
        <x:v>5</x:v>
      </x:c>
      <x:c r="N857" s="16" t="n">
        <x:v>38.8</x:v>
      </x:c>
      <x:c r="O857" s="12" t="str">
        <x:v>FTRL44G005</x:v>
      </x:c>
      <x:c r="P857" s="12" t="str">
        <x:v>STRL44G145</x:v>
      </x:c>
      <x:c r="Q857" s="12" t="str"/>
      <x:c r="R857" s="12" t="str"/>
      <x:c r="S857" s="12" t="str"/>
      <x:c r="T857" s="12" t="str">
        <x:v>ABM</x:v>
      </x:c>
      <x:c r="U857" s="12" t="str"/>
      <x:c r="V857" s="12" t="str"/>
      <x:c r="W857" s="12" t="str"/>
      <x:c r="X857" s="12" t="str">
        <x:v>STRL44</x:v>
      </x:c>
      <x:c r="Y857" s="12" t="str">
        <x:v>RAFIF &amp; YOGI</x:v>
      </x:c>
      <x:c r="Z857" s="12" t="str">
        <x:v>COAL HAULING</x:v>
      </x:c>
      <x:c r="AA857" s="32" t="n">
        <x:f>IFERROR(VLOOKUP(G857,Master_Unit!$A$2:$N$78,7,FALSE),"")</x:f>
        <x:v>20</x:v>
      </x:c>
      <x:c r="AB857" s="32" t="n">
        <x:f>IF(OR(N857="",AA857=""),"",N857-AA857)</x:f>
        <x:v>18.799999999999997</x:v>
      </x:c>
      <x:c r="AC857" s="20" t="n">
        <x:f>IF(OR(N857="",AA857="",AA857=0),"",AB857/AA857)</x:f>
        <x:v>0.9399999999999998</x:v>
      </x:c>
      <x:c r="AD857" t="str">
        <x:f>IF(AA857="","NO STANDARD",IF(AC857&lt;=Config_Status!$B$2,"EFFICIENT",IF(AC857&lt;=Config_Status!$B$3,"NORMAL",IF(AC857&lt;=Config_Status!$B$4,"WARNING","OVER CONSUMPTION"))))</x:f>
        <x:v>OVER CONSUMPTION</x:v>
      </x:c>
      <x:c r="AE857" t="str">
        <x:f>IFERROR(VLOOKUP(G857,Master_Unit!$A$2:$N$78,13,FALSE),"UNIT NOT FOUND")</x:f>
        <x:v>Matched</x:v>
      </x:c>
    </x:row>
    <x:row r="858">
      <x:c r="A858" s="12" t="str">
        <x:v>FU-20260612-00857</x:v>
      </x:c>
      <x:c r="B858" s="12" t="n">
        <x:v>987</x:v>
      </x:c>
      <x:c r="C858" s="14" t="n">
        <x:v>46185</x:v>
      </x:c>
      <x:c r="D858" s="12" t="str">
        <x:v>Jum'at</x:v>
      </x:c>
      <x:c r="E858" s="12" t="str">
        <x:v>10:37:00</x:v>
      </x:c>
      <x:c r="F858" s="12" t="str">
        <x:v>All Shift Day</x:v>
      </x:c>
      <x:c r="G858" s="12" t="str">
        <x:v>STRL44G146</x:v>
      </x:c>
      <x:c r="H858" s="12" t="str">
        <x:v>Dump Truck</x:v>
      </x:c>
      <x:c r="I858" s="12" t="str">
        <x:v>DUMP TRUCK RENAULT KRANGE440-P6X4 A/T</x:v>
      </x:c>
      <x:c r="J858" s="16" t="n">
        <x:v>155</x:v>
      </x:c>
      <x:c r="K858" s="16" t="n">
        <x:v>4978</x:v>
      </x:c>
      <x:c r="L858" s="16" t="n">
        <x:v>4984</x:v>
      </x:c>
      <x:c r="M858" s="16" t="n">
        <x:v>6</x:v>
      </x:c>
      <x:c r="N858" s="16" t="n">
        <x:v>25.833333333333332</x:v>
      </x:c>
      <x:c r="O858" s="12" t="str">
        <x:v>FTRL44G005</x:v>
      </x:c>
      <x:c r="P858" s="12" t="str">
        <x:v>STRL44G146</x:v>
      </x:c>
      <x:c r="Q858" s="12" t="str"/>
      <x:c r="R858" s="12" t="str"/>
      <x:c r="S858" s="12" t="str"/>
      <x:c r="T858" s="12" t="str">
        <x:v>ABM</x:v>
      </x:c>
      <x:c r="U858" s="12" t="str"/>
      <x:c r="V858" s="12" t="str"/>
      <x:c r="W858" s="12" t="str"/>
      <x:c r="X858" s="12" t="str">
        <x:v>STRL44</x:v>
      </x:c>
      <x:c r="Y858" s="12" t="str">
        <x:v>RAFIF &amp; YOGI</x:v>
      </x:c>
      <x:c r="Z858" s="12" t="str">
        <x:v>COAL HAULING</x:v>
      </x:c>
      <x:c r="AA858" s="32" t="n">
        <x:f>IFERROR(VLOOKUP(G858,Master_Unit!$A$2:$N$78,7,FALSE),"")</x:f>
        <x:v>20</x:v>
      </x:c>
      <x:c r="AB858" s="32" t="n">
        <x:f>IF(OR(N858="",AA858=""),"",N858-AA858)</x:f>
        <x:v>5.833333333333332</x:v>
      </x:c>
      <x:c r="AC858" s="20" t="n">
        <x:f>IF(OR(N858="",AA858="",AA858=0),"",AB858/AA858)</x:f>
        <x:v>0.29166666666666663</x:v>
      </x:c>
      <x:c r="AD858" t="str">
        <x:f>IF(AA858="","NO STANDARD",IF(AC858&lt;=Config_Status!$B$2,"EFFICIENT",IF(AC858&lt;=Config_Status!$B$3,"NORMAL",IF(AC858&lt;=Config_Status!$B$4,"WARNING","OVER CONSUMPTION"))))</x:f>
        <x:v>OVER CONSUMPTION</x:v>
      </x:c>
      <x:c r="AE858" t="str">
        <x:f>IFERROR(VLOOKUP(G858,Master_Unit!$A$2:$N$78,13,FALSE),"UNIT NOT FOUND")</x:f>
        <x:v>Matched</x:v>
      </x:c>
    </x:row>
    <x:row r="859">
      <x:c r="A859" s="12" t="str">
        <x:v>FU-20260612-00858</x:v>
      </x:c>
      <x:c r="B859" s="12" t="n">
        <x:v>988</x:v>
      </x:c>
      <x:c r="C859" s="14" t="n">
        <x:v>46185</x:v>
      </x:c>
      <x:c r="D859" s="12" t="str">
        <x:v>Jum'at</x:v>
      </x:c>
      <x:c r="E859" s="12" t="str">
        <x:v>11:01:00</x:v>
      </x:c>
      <x:c r="F859" s="12" t="str">
        <x:v>All Shift Day</x:v>
      </x:c>
      <x:c r="G859" s="12" t="str">
        <x:v>TLYM50G020</x:v>
      </x:c>
      <x:c r="H859" s="12" t="str">
        <x:v>Other</x:v>
      </x:c>
      <x:c r="I859" s="12" t="str">
        <x:v>TOWERLAMP YAMAGEN YDG5001SE-D-TLD4</x:v>
      </x:c>
      <x:c r="J859" s="16" t="n">
        <x:v>15</x:v>
      </x:c>
      <x:c r="K859" s="16" t="n">
        <x:v>4539.99</x:v>
      </x:c>
      <x:c r="L859" s="16" t="n">
        <x:v>4561.14</x:v>
      </x:c>
      <x:c r="M859" s="16" t="n">
        <x:v>21.150000000000546</x:v>
      </x:c>
      <x:c r="N859" s="16" t="n">
        <x:v>0.7092198581560101</x:v>
      </x:c>
      <x:c r="O859" s="12" t="str">
        <x:v>FTRL44G005</x:v>
      </x:c>
      <x:c r="P859" s="12" t="str">
        <x:v>TLYM50G020</x:v>
      </x:c>
      <x:c r="Q859" s="12" t="str"/>
      <x:c r="R859" s="12" t="str"/>
      <x:c r="S859" s="12" t="str"/>
      <x:c r="T859" s="12" t="str">
        <x:v>ABM</x:v>
      </x:c>
      <x:c r="U859" s="12" t="str"/>
      <x:c r="V859" s="12" t="str"/>
      <x:c r="W859" s="12" t="str"/>
      <x:c r="X859" s="12" t="str">
        <x:v>TLYM50</x:v>
      </x:c>
      <x:c r="Y859" s="12" t="str">
        <x:v>RAFIF &amp; YOGI</x:v>
      </x:c>
      <x:c r="Z859" s="12" t="str">
        <x:v>COAL HAULING</x:v>
      </x:c>
      <x:c r="AA859" s="32" t="n">
        <x:f>IFERROR(VLOOKUP(G859,Master_Unit!$A$2:$N$78,7,FALSE),"")</x:f>
        <x:v>2</x:v>
      </x:c>
      <x:c r="AB859" s="32" t="n">
        <x:f>IF(OR(N859="",AA859=""),"",N859-AA859)</x:f>
        <x:v>-1.29078014184399</x:v>
      </x:c>
      <x:c r="AC859" s="20" t="n">
        <x:f>IF(OR(N859="",AA859="",AA859=0),"",AB859/AA859)</x:f>
        <x:v>-0.645390070921995</x:v>
      </x:c>
      <x:c r="AD859" t="str">
        <x:f>IF(AA859="","NO STANDARD",IF(AC859&lt;=Config_Status!$B$2,"EFFICIENT",IF(AC859&lt;=Config_Status!$B$3,"NORMAL",IF(AC859&lt;=Config_Status!$B$4,"WARNING","OVER CONSUMPTION"))))</x:f>
        <x:v>EFFICIENT</x:v>
      </x:c>
      <x:c r="AE859" t="str">
        <x:f>IFERROR(VLOOKUP(G859,Master_Unit!$A$2:$N$78,13,FALSE),"UNIT NOT FOUND")</x:f>
        <x:v>Matched</x:v>
      </x:c>
    </x:row>
    <x:row r="860">
      <x:c r="A860" s="12" t="str">
        <x:v>FU-20260612-00859</x:v>
      </x:c>
      <x:c r="B860" s="12" t="n">
        <x:v>989</x:v>
      </x:c>
      <x:c r="C860" s="14" t="n">
        <x:v>46185</x:v>
      </x:c>
      <x:c r="D860" s="12" t="str">
        <x:v>Jum'at</x:v>
      </x:c>
      <x:c r="E860" s="12" t="str">
        <x:v>11:06:00</x:v>
      </x:c>
      <x:c r="F860" s="12" t="str">
        <x:v>All Shift Day</x:v>
      </x:c>
      <x:c r="G860" s="12" t="str">
        <x:v>TLYM50G019</x:v>
      </x:c>
      <x:c r="H860" s="12" t="str">
        <x:v>Other</x:v>
      </x:c>
      <x:c r="I860" s="12" t="str">
        <x:v>TOWERLAMP YAMAGEN YDG5001SE-D-TLD4</x:v>
      </x:c>
      <x:c r="J860" s="16" t="n">
        <x:v>14</x:v>
      </x:c>
      <x:c r="K860" s="16" t="n">
        <x:v>4681.15</x:v>
      </x:c>
      <x:c r="L860" s="16" t="n">
        <x:v>4702.61</x:v>
      </x:c>
      <x:c r="M860" s="16" t="n">
        <x:v>21.460000000000036</x:v>
      </x:c>
      <x:c r="N860" s="16" t="n">
        <x:v>0.6523765144454788</x:v>
      </x:c>
      <x:c r="O860" s="12" t="str">
        <x:v>FTRL44G005</x:v>
      </x:c>
      <x:c r="P860" s="12" t="str">
        <x:v>TLYM50G019</x:v>
      </x:c>
      <x:c r="Q860" s="12" t="str"/>
      <x:c r="R860" s="12" t="str"/>
      <x:c r="S860" s="12" t="str"/>
      <x:c r="T860" s="12" t="str">
        <x:v>ABM</x:v>
      </x:c>
      <x:c r="U860" s="12" t="str"/>
      <x:c r="V860" s="12" t="str"/>
      <x:c r="W860" s="12" t="str"/>
      <x:c r="X860" s="12" t="str">
        <x:v>TLYM50</x:v>
      </x:c>
      <x:c r="Y860" s="12" t="str">
        <x:v>RAFIF &amp; YOGI</x:v>
      </x:c>
      <x:c r="Z860" s="12" t="str">
        <x:v>COAL HAULING</x:v>
      </x:c>
      <x:c r="AA860" s="32" t="n">
        <x:f>IFERROR(VLOOKUP(G860,Master_Unit!$A$2:$N$78,7,FALSE),"")</x:f>
        <x:v>2</x:v>
      </x:c>
      <x:c r="AB860" s="32" t="n">
        <x:f>IF(OR(N860="",AA860=""),"",N860-AA860)</x:f>
        <x:v>-1.347623485554521</x:v>
      </x:c>
      <x:c r="AC860" s="20" t="n">
        <x:f>IF(OR(N860="",AA860="",AA860=0),"",AB860/AA860)</x:f>
        <x:v>-0.6738117427772605</x:v>
      </x:c>
      <x:c r="AD860" t="str">
        <x:f>IF(AA860="","NO STANDARD",IF(AC860&lt;=Config_Status!$B$2,"EFFICIENT",IF(AC860&lt;=Config_Status!$B$3,"NORMAL",IF(AC860&lt;=Config_Status!$B$4,"WARNING","OVER CONSUMPTION"))))</x:f>
        <x:v>EFFICIENT</x:v>
      </x:c>
      <x:c r="AE860" t="str">
        <x:f>IFERROR(VLOOKUP(G860,Master_Unit!$A$2:$N$78,13,FALSE),"UNIT NOT FOUND")</x:f>
        <x:v>Matched</x:v>
      </x:c>
    </x:row>
    <x:row r="861">
      <x:c r="A861" s="12" t="str">
        <x:v>FU-20260612-00860</x:v>
      </x:c>
      <x:c r="B861" s="12" t="n">
        <x:v>990</x:v>
      </x:c>
      <x:c r="C861" s="14" t="n">
        <x:v>46185</x:v>
      </x:c>
      <x:c r="D861" s="12" t="str">
        <x:v>Jum'at</x:v>
      </x:c>
      <x:c r="E861" s="12" t="str">
        <x:v>11:15:00</x:v>
      </x:c>
      <x:c r="F861" s="12" t="str">
        <x:v>All Shift Day</x:v>
      </x:c>
      <x:c r="G861" s="12" t="str">
        <x:v>TLYM50G023</x:v>
      </x:c>
      <x:c r="H861" s="12" t="str">
        <x:v>Other</x:v>
      </x:c>
      <x:c r="I861" s="12" t="str">
        <x:v>TOWERLAMP YAMAGEN YDG5001SE-D-TLD4</x:v>
      </x:c>
      <x:c r="J861" s="16" t="n">
        <x:v>13</x:v>
      </x:c>
      <x:c r="K861" s="16" t="n">
        <x:v>4488.650000000001</x:v>
      </x:c>
      <x:c r="L861" s="16" t="n">
        <x:v>4508.290000000001</x:v>
      </x:c>
      <x:c r="M861" s="16" t="n">
        <x:v>19.640000000000327</x:v>
      </x:c>
      <x:c r="N861" s="16" t="n">
        <x:v>0.6619144602851214</x:v>
      </x:c>
      <x:c r="O861" s="12" t="str">
        <x:v>FTRL44G005</x:v>
      </x:c>
      <x:c r="P861" s="12" t="str">
        <x:v>TLYM50G023</x:v>
      </x:c>
      <x:c r="Q861" s="12" t="str"/>
      <x:c r="R861" s="12" t="str"/>
      <x:c r="S861" s="12" t="str"/>
      <x:c r="T861" s="12" t="str">
        <x:v>ABM</x:v>
      </x:c>
      <x:c r="U861" s="12" t="str"/>
      <x:c r="V861" s="12" t="str"/>
      <x:c r="W861" s="12" t="str"/>
      <x:c r="X861" s="12" t="str">
        <x:v>TLYM50</x:v>
      </x:c>
      <x:c r="Y861" s="12" t="str">
        <x:v>RAFIF &amp; YOGI</x:v>
      </x:c>
      <x:c r="Z861" s="12" t="str">
        <x:v>COAL HAULING</x:v>
      </x:c>
      <x:c r="AA861" s="32" t="n">
        <x:f>IFERROR(VLOOKUP(G861,Master_Unit!$A$2:$N$78,7,FALSE),"")</x:f>
        <x:v>2</x:v>
      </x:c>
      <x:c r="AB861" s="32" t="n">
        <x:f>IF(OR(N861="",AA861=""),"",N861-AA861)</x:f>
        <x:v>-1.3380855397148785</x:v>
      </x:c>
      <x:c r="AC861" s="20" t="n">
        <x:f>IF(OR(N861="",AA861="",AA861=0),"",AB861/AA861)</x:f>
        <x:v>-0.6690427698574393</x:v>
      </x:c>
      <x:c r="AD861" t="str">
        <x:f>IF(AA861="","NO STANDARD",IF(AC861&lt;=Config_Status!$B$2,"EFFICIENT",IF(AC861&lt;=Config_Status!$B$3,"NORMAL",IF(AC861&lt;=Config_Status!$B$4,"WARNING","OVER CONSUMPTION"))))</x:f>
        <x:v>EFFICIENT</x:v>
      </x:c>
      <x:c r="AE861" t="str">
        <x:f>IFERROR(VLOOKUP(G861,Master_Unit!$A$2:$N$78,13,FALSE),"UNIT NOT FOUND")</x:f>
        <x:v>Matched</x:v>
      </x:c>
    </x:row>
    <x:row r="862">
      <x:c r="A862" s="12" t="str">
        <x:v>FU-20260612-00861</x:v>
      </x:c>
      <x:c r="B862" s="12" t="n">
        <x:v>991</x:v>
      </x:c>
      <x:c r="C862" s="14" t="n">
        <x:v>46185</x:v>
      </x:c>
      <x:c r="D862" s="12" t="str">
        <x:v>Jum'at</x:v>
      </x:c>
      <x:c r="E862" s="12" t="str">
        <x:v>20:13:00</x:v>
      </x:c>
      <x:c r="F862" s="12" t="str">
        <x:v>All Shift Night</x:v>
      </x:c>
      <x:c r="G862" s="12" t="str">
        <x:v>EXVV21G043</x:v>
      </x:c>
      <x:c r="H862" s="12" t="str">
        <x:v>Excavator</x:v>
      </x:c>
      <x:c r="I862" s="12" t="str">
        <x:v>EXCAVATOR VOLVO EC210D</x:v>
      </x:c>
      <x:c r="J862" s="16" t="n">
        <x:v>132</x:v>
      </x:c>
      <x:c r="K862" s="16" t="n">
        <x:v>5357.1</x:v>
      </x:c>
      <x:c r="L862" s="16" t="n">
        <x:v>5364.8</x:v>
      </x:c>
      <x:c r="M862" s="16" t="n">
        <x:v>7.699999999999818</x:v>
      </x:c>
      <x:c r="N862" s="16" t="n">
        <x:v>17.142857142857547</x:v>
      </x:c>
      <x:c r="O862" s="12" t="str">
        <x:v>FTRL44G005</x:v>
      </x:c>
      <x:c r="P862" s="12" t="str">
        <x:v>EXVV21G043</x:v>
      </x:c>
      <x:c r="Q862" s="12" t="str"/>
      <x:c r="R862" s="12" t="str"/>
      <x:c r="S862" s="12" t="str"/>
      <x:c r="T862" s="12" t="str">
        <x:v>ABM</x:v>
      </x:c>
      <x:c r="U862" s="12" t="str"/>
      <x:c r="V862" s="12" t="str"/>
      <x:c r="W862" s="12" t="str"/>
      <x:c r="X862" s="12" t="str">
        <x:v>EXVV21</x:v>
      </x:c>
      <x:c r="Y862" s="12" t="str">
        <x:v>ANDI &amp; ANGGI</x:v>
      </x:c>
      <x:c r="Z862" s="12" t="str">
        <x:v>COAL HAULING</x:v>
      </x:c>
      <x:c r="AA862" s="32" t="n">
        <x:f>IFERROR(VLOOKUP(G862,Master_Unit!$A$2:$N$78,7,FALSE),"")</x:f>
        <x:v>20</x:v>
      </x:c>
      <x:c r="AB862" s="32" t="n">
        <x:f>IF(OR(N862="",AA862=""),"",N862-AA862)</x:f>
        <x:v>-2.8571428571424526</x:v>
      </x:c>
      <x:c r="AC862" s="20" t="n">
        <x:f>IF(OR(N862="",AA862="",AA862=0),"",AB862/AA862)</x:f>
        <x:v>-0.14285714285712264</x:v>
      </x:c>
      <x:c r="AD862" t="str">
        <x:f>IF(AA862="","NO STANDARD",IF(AC862&lt;=Config_Status!$B$2,"EFFICIENT",IF(AC862&lt;=Config_Status!$B$3,"NORMAL",IF(AC862&lt;=Config_Status!$B$4,"WARNING","OVER CONSUMPTION"))))</x:f>
        <x:v>EFFICIENT</x:v>
      </x:c>
      <x:c r="AE862" t="str">
        <x:f>IFERROR(VLOOKUP(G862,Master_Unit!$A$2:$N$78,13,FALSE),"UNIT NOT FOUND")</x:f>
        <x:v>Matched</x:v>
      </x:c>
    </x:row>
    <x:row r="863">
      <x:c r="A863" s="12" t="str">
        <x:v>FU-20260612-00862</x:v>
      </x:c>
      <x:c r="B863" s="12" t="n">
        <x:v>992</x:v>
      </x:c>
      <x:c r="C863" s="14" t="n">
        <x:v>46185</x:v>
      </x:c>
      <x:c r="D863" s="12" t="str">
        <x:v>Jum'at</x:v>
      </x:c>
      <x:c r="E863" s="12" t="str">
        <x:v>20:19:00</x:v>
      </x:c>
      <x:c r="F863" s="12" t="str">
        <x:v>All Shift Night</x:v>
      </x:c>
      <x:c r="G863" s="12" t="str">
        <x:v>LVTH24R026</x:v>
      </x:c>
      <x:c r="H863" s="12" t="str">
        <x:v>Light Vehicle</x:v>
      </x:c>
      <x:c r="I863" s="12" t="str">
        <x:v>LIGHT VEHICLE TOYOTA HILUX</x:v>
      </x:c>
      <x:c r="J863" s="16" t="n">
        <x:v>21</x:v>
      </x:c>
      <x:c r="K863" s="16" t="n">
        <x:v>59578</x:v>
      </x:c>
      <x:c r="L863" s="16" t="n">
        <x:v>59691</x:v>
      </x:c>
      <x:c r="M863" s="16" t="n">
        <x:v>113</x:v>
      </x:c>
      <x:c r="N863" s="16" t="n">
        <x:v>0.18584070796460178</x:v>
      </x:c>
      <x:c r="O863" s="12" t="str">
        <x:v>FTRL44G005</x:v>
      </x:c>
      <x:c r="P863" s="12" t="str">
        <x:v>LVTH24R026</x:v>
      </x:c>
      <x:c r="Q863" s="12" t="str"/>
      <x:c r="R863" s="12" t="str"/>
      <x:c r="S863" s="12" t="str"/>
      <x:c r="T863" s="12" t="str">
        <x:v>ABM</x:v>
      </x:c>
      <x:c r="U863" s="12" t="str"/>
      <x:c r="V863" s="12" t="str"/>
      <x:c r="W863" s="12" t="str"/>
      <x:c r="X863" s="12" t="str">
        <x:v>LVTH24</x:v>
      </x:c>
      <x:c r="Y863" s="12" t="str">
        <x:v>ANDI &amp; ANGGI</x:v>
      </x:c>
      <x:c r="Z863" s="12" t="str">
        <x:v>ETO</x:v>
      </x:c>
      <x:c r="AA863" s="32" t="n">
        <x:f>IFERROR(VLOOKUP(G863,Master_Unit!$A$2:$N$78,7,FALSE),"")</x:f>
        <x:v>0.2</x:v>
      </x:c>
      <x:c r="AB863" s="32" t="n">
        <x:f>IF(OR(N863="",AA863=""),"",N863-AA863)</x:f>
        <x:v>-0.01415929203539823</x:v>
      </x:c>
      <x:c r="AC863" s="20" t="n">
        <x:f>IF(OR(N863="",AA863="",AA863=0),"",AB863/AA863)</x:f>
        <x:v>-0.07079646017699115</x:v>
      </x:c>
      <x:c r="AD863" t="str">
        <x:f>IF(AA863="","NO STANDARD",IF(AC863&lt;=Config_Status!$B$2,"EFFICIENT",IF(AC863&lt;=Config_Status!$B$3,"NORMAL",IF(AC863&lt;=Config_Status!$B$4,"WARNING","OVER CONSUMPTION"))))</x:f>
        <x:v>NORMAL</x:v>
      </x:c>
      <x:c r="AE863" t="str">
        <x:f>IFERROR(VLOOKUP(G863,Master_Unit!$A$2:$N$78,13,FALSE),"UNIT NOT FOUND")</x:f>
        <x:v>Matched</x:v>
      </x:c>
    </x:row>
    <x:row r="864">
      <x:c r="A864" s="12" t="str">
        <x:v>FU-20260612-00863</x:v>
      </x:c>
      <x:c r="B864" s="12" t="n">
        <x:v>993</x:v>
      </x:c>
      <x:c r="C864" s="14" t="n">
        <x:v>46185</x:v>
      </x:c>
      <x:c r="D864" s="12" t="str">
        <x:v>Jum'at</x:v>
      </x:c>
      <x:c r="E864" s="12" t="str">
        <x:v>20:20:00</x:v>
      </x:c>
      <x:c r="F864" s="12" t="str">
        <x:v>All Shift Night</x:v>
      </x:c>
      <x:c r="G864" s="12" t="str">
        <x:v>BDKM85G039</x:v>
      </x:c>
      <x:c r="H864" s="12" t="str">
        <x:v>Dozer</x:v>
      </x:c>
      <x:c r="I864" s="12" t="str">
        <x:v>BULDOZER KOMATSU D85ESS-2</x:v>
      </x:c>
      <x:c r="J864" s="16" t="n">
        <x:v>130</x:v>
      </x:c>
      <x:c r="K864" s="16" t="n">
        <x:v>7123.4</x:v>
      </x:c>
      <x:c r="L864" s="16" t="n">
        <x:v>7128.7</x:v>
      </x:c>
      <x:c r="M864" s="16" t="n">
        <x:v>5.300000000000182</x:v>
      </x:c>
      <x:c r="N864" s="16" t="n">
        <x:v>24.52830188679161</x:v>
      </x:c>
      <x:c r="O864" s="12" t="str">
        <x:v>FTRL44G005</x:v>
      </x:c>
      <x:c r="P864" s="12" t="str">
        <x:v>BDKM85G039</x:v>
      </x:c>
      <x:c r="Q864" s="12" t="str"/>
      <x:c r="R864" s="12" t="str"/>
      <x:c r="S864" s="12" t="str"/>
      <x:c r="T864" s="12" t="str">
        <x:v>ABM</x:v>
      </x:c>
      <x:c r="U864" s="12" t="str"/>
      <x:c r="V864" s="12" t="str"/>
      <x:c r="W864" s="12" t="str"/>
      <x:c r="X864" s="12" t="str">
        <x:v>BDKM85</x:v>
      </x:c>
      <x:c r="Y864" s="12" t="str">
        <x:v>ANDI &amp; ANGGI</x:v>
      </x:c>
      <x:c r="Z864" s="12" t="str">
        <x:v>ETO</x:v>
      </x:c>
      <x:c r="AA864" s="32" t="n">
        <x:f>IFERROR(VLOOKUP(G864,Master_Unit!$A$2:$N$78,7,FALSE),"")</x:f>
        <x:v>30</x:v>
      </x:c>
      <x:c r="AB864" s="32" t="n">
        <x:f>IF(OR(N864="",AA864=""),"",N864-AA864)</x:f>
        <x:v>-5.47169811320839</x:v>
      </x:c>
      <x:c r="AC864" s="20" t="n">
        <x:f>IF(OR(N864="",AA864="",AA864=0),"",AB864/AA864)</x:f>
        <x:v>-0.18238993710694634</x:v>
      </x:c>
      <x:c r="AD864" t="str">
        <x:f>IF(AA864="","NO STANDARD",IF(AC864&lt;=Config_Status!$B$2,"EFFICIENT",IF(AC864&lt;=Config_Status!$B$3,"NORMAL",IF(AC864&lt;=Config_Status!$B$4,"WARNING","OVER CONSUMPTION"))))</x:f>
        <x:v>EFFICIENT</x:v>
      </x:c>
      <x:c r="AE864" t="str">
        <x:f>IFERROR(VLOOKUP(G864,Master_Unit!$A$2:$N$78,13,FALSE),"UNIT NOT FOUND")</x:f>
        <x:v>Matched</x:v>
      </x:c>
    </x:row>
    <x:row r="865">
      <x:c r="A865" s="12" t="str">
        <x:v>FU-20260612-00864</x:v>
      </x:c>
      <x:c r="B865" s="12" t="n">
        <x:v>994</x:v>
      </x:c>
      <x:c r="C865" s="14" t="n">
        <x:v>46185</x:v>
      </x:c>
      <x:c r="D865" s="12" t="str">
        <x:v>Jum'at</x:v>
      </x:c>
      <x:c r="E865" s="12" t="str">
        <x:v>20:30:00</x:v>
      </x:c>
      <x:c r="F865" s="12" t="str">
        <x:v>All Shift Night</x:v>
      </x:c>
      <x:c r="G865" s="12" t="str">
        <x:v>EXVV21G032</x:v>
      </x:c>
      <x:c r="H865" s="12" t="str">
        <x:v>Excavator</x:v>
      </x:c>
      <x:c r="I865" s="12" t="str">
        <x:v>EXCAVATOR VOLVO EC210D</x:v>
      </x:c>
      <x:c r="J865" s="16" t="n">
        <x:v>145</x:v>
      </x:c>
      <x:c r="K865" s="16" t="n">
        <x:v>7550.7</x:v>
      </x:c>
      <x:c r="L865" s="16" t="n">
        <x:v>7556.6</x:v>
      </x:c>
      <x:c r="M865" s="16" t="n">
        <x:v>5.900000000000546</x:v>
      </x:c>
      <x:c r="N865" s="16" t="n">
        <x:v>24.576271186438404</x:v>
      </x:c>
      <x:c r="O865" s="12" t="str">
        <x:v>FTRL44G005</x:v>
      </x:c>
      <x:c r="P865" s="12" t="str">
        <x:v>EXVV21G032</x:v>
      </x:c>
      <x:c r="Q865" s="12" t="str"/>
      <x:c r="R865" s="12" t="str"/>
      <x:c r="S865" s="12" t="str"/>
      <x:c r="T865" s="12" t="str">
        <x:v>ABM</x:v>
      </x:c>
      <x:c r="U865" s="12" t="str"/>
      <x:c r="V865" s="12" t="str"/>
      <x:c r="W865" s="12" t="str"/>
      <x:c r="X865" s="12" t="str">
        <x:v>EXVV21</x:v>
      </x:c>
      <x:c r="Y865" s="12" t="str">
        <x:v>ANDI &amp; ANGGI</x:v>
      </x:c>
      <x:c r="Z865" s="12" t="str">
        <x:v>PIT</x:v>
      </x:c>
      <x:c r="AA865" s="32" t="n">
        <x:f>IFERROR(VLOOKUP(G865,Master_Unit!$A$2:$N$78,7,FALSE),"")</x:f>
        <x:v>20</x:v>
      </x:c>
      <x:c r="AB865" s="32" t="n">
        <x:f>IF(OR(N865="",AA865=""),"",N865-AA865)</x:f>
        <x:v>4.5762711864384045</x:v>
      </x:c>
      <x:c r="AC865" s="20" t="n">
        <x:f>IF(OR(N865="",AA865="",AA865=0),"",AB865/AA865)</x:f>
        <x:v>0.2288135593219202</x:v>
      </x:c>
      <x:c r="AD865" t="str">
        <x:f>IF(AA865="","NO STANDARD",IF(AC865&lt;=Config_Status!$B$2,"EFFICIENT",IF(AC865&lt;=Config_Status!$B$3,"NORMAL",IF(AC865&lt;=Config_Status!$B$4,"WARNING","OVER CONSUMPTION"))))</x:f>
        <x:v>OVER CONSUMPTION</x:v>
      </x:c>
      <x:c r="AE865" t="str">
        <x:f>IFERROR(VLOOKUP(G865,Master_Unit!$A$2:$N$78,13,FALSE),"UNIT NOT FOUND")</x:f>
        <x:v>Matched</x:v>
      </x:c>
    </x:row>
    <x:row r="866">
      <x:c r="A866" s="12" t="str">
        <x:v>FU-20260612-00865</x:v>
      </x:c>
      <x:c r="B866" s="12" t="n">
        <x:v>995</x:v>
      </x:c>
      <x:c r="C866" s="14" t="n">
        <x:v>46185</x:v>
      </x:c>
      <x:c r="D866" s="12" t="str">
        <x:v>Jum'at</x:v>
      </x:c>
      <x:c r="E866" s="12" t="str">
        <x:v>20:34:00</x:v>
      </x:c>
      <x:c r="F866" s="12" t="str">
        <x:v>All Shift Night</x:v>
      </x:c>
      <x:c r="G866" s="12" t="str">
        <x:v>EXVV21G039</x:v>
      </x:c>
      <x:c r="H866" s="12" t="str">
        <x:v>Excavator</x:v>
      </x:c>
      <x:c r="I866" s="12" t="str">
        <x:v>EXCAVATOR VOLVO EC210D</x:v>
      </x:c>
      <x:c r="J866" s="16" t="n">
        <x:v>145</x:v>
      </x:c>
      <x:c r="K866" s="16" t="n">
        <x:v>6318.9</x:v>
      </x:c>
      <x:c r="L866" s="16" t="n">
        <x:v>6326.6</x:v>
      </x:c>
      <x:c r="M866" s="16" t="n">
        <x:v>7.700000000000728</x:v>
      </x:c>
      <x:c r="N866" s="16" t="n">
        <x:v>18.83116883116705</x:v>
      </x:c>
      <x:c r="O866" s="12" t="str">
        <x:v>FTRL44G005</x:v>
      </x:c>
      <x:c r="P866" s="12" t="str">
        <x:v>EXVV21G039</x:v>
      </x:c>
      <x:c r="Q866" s="12" t="str"/>
      <x:c r="R866" s="12" t="str"/>
      <x:c r="S866" s="12" t="str"/>
      <x:c r="T866" s="12" t="str">
        <x:v>ABM</x:v>
      </x:c>
      <x:c r="U866" s="12" t="str"/>
      <x:c r="V866" s="12" t="str"/>
      <x:c r="W866" s="12" t="str"/>
      <x:c r="X866" s="12" t="str">
        <x:v>EXVV21</x:v>
      </x:c>
      <x:c r="Y866" s="12" t="str">
        <x:v>ANDI &amp; ANGGI</x:v>
      </x:c>
      <x:c r="Z866" s="12" t="str">
        <x:v>SUPPORT</x:v>
      </x:c>
      <x:c r="AA866" s="32" t="n">
        <x:f>IFERROR(VLOOKUP(G866,Master_Unit!$A$2:$N$78,7,FALSE),"")</x:f>
        <x:v>20</x:v>
      </x:c>
      <x:c r="AB866" s="32" t="n">
        <x:f>IF(OR(N866="",AA866=""),"",N866-AA866)</x:f>
        <x:v>-1.1688311688329485</x:v>
      </x:c>
      <x:c r="AC866" s="20" t="n">
        <x:f>IF(OR(N866="",AA866="",AA866=0),"",AB866/AA866)</x:f>
        <x:v>-0.058441558441647425</x:v>
      </x:c>
      <x:c r="AD866" t="str">
        <x:f>IF(AA866="","NO STANDARD",IF(AC866&lt;=Config_Status!$B$2,"EFFICIENT",IF(AC866&lt;=Config_Status!$B$3,"NORMAL",IF(AC866&lt;=Config_Status!$B$4,"WARNING","OVER CONSUMPTION"))))</x:f>
        <x:v>NORMAL</x:v>
      </x:c>
      <x:c r="AE866" t="str">
        <x:f>IFERROR(VLOOKUP(G866,Master_Unit!$A$2:$N$78,13,FALSE),"UNIT NOT FOUND")</x:f>
        <x:v>Matched</x:v>
      </x:c>
    </x:row>
    <x:row r="867">
      <x:c r="A867" s="12" t="str">
        <x:v>FU-20260612-00866</x:v>
      </x:c>
      <x:c r="B867" s="12" t="n">
        <x:v>996</x:v>
      </x:c>
      <x:c r="C867" s="14" t="n">
        <x:v>46185</x:v>
      </x:c>
      <x:c r="D867" s="12" t="str">
        <x:v>Jum'at</x:v>
      </x:c>
      <x:c r="E867" s="12" t="str">
        <x:v>20:38:00</x:v>
      </x:c>
      <x:c r="F867" s="12" t="str">
        <x:v>All Shift Night</x:v>
      </x:c>
      <x:c r="G867" s="12" t="str">
        <x:v>EXVV21G037</x:v>
      </x:c>
      <x:c r="H867" s="12" t="str">
        <x:v>Excavator</x:v>
      </x:c>
      <x:c r="I867" s="12" t="str">
        <x:v>EXCAVATOR VOLVO EC210D</x:v>
      </x:c>
      <x:c r="J867" s="16" t="n">
        <x:v>133</x:v>
      </x:c>
      <x:c r="K867" s="16" t="n">
        <x:v>6901.5</x:v>
      </x:c>
      <x:c r="L867" s="16" t="n">
        <x:v>6909.4</x:v>
      </x:c>
      <x:c r="M867" s="16" t="n">
        <x:v>7.899999999999636</x:v>
      </x:c>
      <x:c r="N867" s="16" t="n">
        <x:v>16.83544303797546</x:v>
      </x:c>
      <x:c r="O867" s="12" t="str">
        <x:v>FTRL44G005</x:v>
      </x:c>
      <x:c r="P867" s="12" t="str">
        <x:v>EXVV21G037</x:v>
      </x:c>
      <x:c r="Q867" s="12" t="str"/>
      <x:c r="R867" s="12" t="str"/>
      <x:c r="S867" s="12" t="str"/>
      <x:c r="T867" s="12" t="str">
        <x:v>ABM</x:v>
      </x:c>
      <x:c r="U867" s="12" t="str"/>
      <x:c r="V867" s="12" t="str"/>
      <x:c r="W867" s="12" t="str"/>
      <x:c r="X867" s="12" t="str">
        <x:v>EXVV21</x:v>
      </x:c>
      <x:c r="Y867" s="12" t="str">
        <x:v>ANDI &amp; ANGGI</x:v>
      </x:c>
      <x:c r="Z867" s="12" t="str">
        <x:v>SUPPORT</x:v>
      </x:c>
      <x:c r="AA867" s="32" t="n">
        <x:f>IFERROR(VLOOKUP(G867,Master_Unit!$A$2:$N$78,7,FALSE),"")</x:f>
        <x:v>20</x:v>
      </x:c>
      <x:c r="AB867" s="32" t="n">
        <x:f>IF(OR(N867="",AA867=""),"",N867-AA867)</x:f>
        <x:v>-3.164556962024541</x:v>
      </x:c>
      <x:c r="AC867" s="20" t="n">
        <x:f>IF(OR(N867="",AA867="",AA867=0),"",AB867/AA867)</x:f>
        <x:v>-0.15822784810122706</x:v>
      </x:c>
      <x:c r="AD867" t="str">
        <x:f>IF(AA867="","NO STANDARD",IF(AC867&lt;=Config_Status!$B$2,"EFFICIENT",IF(AC867&lt;=Config_Status!$B$3,"NORMAL",IF(AC867&lt;=Config_Status!$B$4,"WARNING","OVER CONSUMPTION"))))</x:f>
        <x:v>EFFICIENT</x:v>
      </x:c>
      <x:c r="AE867" t="str">
        <x:f>IFERROR(VLOOKUP(G867,Master_Unit!$A$2:$N$78,13,FALSE),"UNIT NOT FOUND")</x:f>
        <x:v>Matched</x:v>
      </x:c>
    </x:row>
    <x:row r="868">
      <x:c r="A868" s="12" t="str">
        <x:v>FU-20260612-00867</x:v>
      </x:c>
      <x:c r="B868" s="12" t="n">
        <x:v>997</x:v>
      </x:c>
      <x:c r="C868" s="14" t="n">
        <x:v>46185</x:v>
      </x:c>
      <x:c r="D868" s="12" t="str">
        <x:v>Jum'at</x:v>
      </x:c>
      <x:c r="E868" s="12" t="str">
        <x:v>20:44:00</x:v>
      </x:c>
      <x:c r="F868" s="12" t="str">
        <x:v>All Shift Night</x:v>
      </x:c>
      <x:c r="G868" s="12" t="str">
        <x:v>EXVV21G035</x:v>
      </x:c>
      <x:c r="H868" s="12" t="str">
        <x:v>Excavator</x:v>
      </x:c>
      <x:c r="I868" s="12" t="str">
        <x:v>EXCAVATOR VOLVO EC210D</x:v>
      </x:c>
      <x:c r="J868" s="16" t="n">
        <x:v>155</x:v>
      </x:c>
      <x:c r="K868" s="16" t="n">
        <x:v>8427.4</x:v>
      </x:c>
      <x:c r="L868" s="16" t="n">
        <x:v>8438.5</x:v>
      </x:c>
      <x:c r="M868" s="16" t="n">
        <x:v>11.100000000000364</x:v>
      </x:c>
      <x:c r="N868" s="16" t="n">
        <x:v>13.963963963963506</x:v>
      </x:c>
      <x:c r="O868" s="12" t="str">
        <x:v>FTRL44G005</x:v>
      </x:c>
      <x:c r="P868" s="12" t="str">
        <x:v>EXVV21G035</x:v>
      </x:c>
      <x:c r="Q868" s="12" t="str"/>
      <x:c r="R868" s="12" t="str"/>
      <x:c r="S868" s="12" t="str"/>
      <x:c r="T868" s="12" t="str">
        <x:v>ABM</x:v>
      </x:c>
      <x:c r="U868" s="12" t="str"/>
      <x:c r="V868" s="12" t="str"/>
      <x:c r="W868" s="12" t="str"/>
      <x:c r="X868" s="12" t="str">
        <x:v>EXVV21</x:v>
      </x:c>
      <x:c r="Y868" s="12" t="str">
        <x:v>ANDI &amp; ANGGI</x:v>
      </x:c>
      <x:c r="Z868" s="12" t="str">
        <x:v>EFO</x:v>
      </x:c>
      <x:c r="AA868" s="32" t="n">
        <x:f>IFERROR(VLOOKUP(G868,Master_Unit!$A$2:$N$78,7,FALSE),"")</x:f>
        <x:v>20</x:v>
      </x:c>
      <x:c r="AB868" s="32" t="n">
        <x:f>IF(OR(N868="",AA868=""),"",N868-AA868)</x:f>
        <x:v>-6.036036036036494</x:v>
      </x:c>
      <x:c r="AC868" s="20" t="n">
        <x:f>IF(OR(N868="",AA868="",AA868=0),"",AB868/AA868)</x:f>
        <x:v>-0.3018018018018247</x:v>
      </x:c>
      <x:c r="AD868" t="str">
        <x:f>IF(AA868="","NO STANDARD",IF(AC868&lt;=Config_Status!$B$2,"EFFICIENT",IF(AC868&lt;=Config_Status!$B$3,"NORMAL",IF(AC868&lt;=Config_Status!$B$4,"WARNING","OVER CONSUMPTION"))))</x:f>
        <x:v>EFFICIENT</x:v>
      </x:c>
      <x:c r="AE868" t="str">
        <x:f>IFERROR(VLOOKUP(G868,Master_Unit!$A$2:$N$78,13,FALSE),"UNIT NOT FOUND")</x:f>
        <x:v>Matched</x:v>
      </x:c>
    </x:row>
    <x:row r="869">
      <x:c r="A869" s="12" t="str">
        <x:v>FU-20260612-00868</x:v>
      </x:c>
      <x:c r="B869" s="12" t="n">
        <x:v>998</x:v>
      </x:c>
      <x:c r="C869" s="14" t="n">
        <x:v>46185</x:v>
      </x:c>
      <x:c r="D869" s="12" t="str">
        <x:v>Jum'at</x:v>
      </x:c>
      <x:c r="E869" s="12" t="str">
        <x:v>20:49:00</x:v>
      </x:c>
      <x:c r="F869" s="12" t="str">
        <x:v>All Shift Night</x:v>
      </x:c>
      <x:c r="G869" s="12" t="str">
        <x:v>MGSD20G007</x:v>
      </x:c>
      <x:c r="H869" s="12" t="str">
        <x:v>Other</x:v>
      </x:c>
      <x:c r="I869" s="12" t="str">
        <x:v>MOTOR GRADER SDLG GD9220F</x:v>
      </x:c>
      <x:c r="J869" s="16" t="n">
        <x:v>110</x:v>
      </x:c>
      <x:c r="K869" s="16" t="n">
        <x:v>3755.4</x:v>
      </x:c>
      <x:c r="L869" s="16" t="n">
        <x:v>3761.5</x:v>
      </x:c>
      <x:c r="M869" s="16" t="n">
        <x:v>6.099999999999909</x:v>
      </x:c>
      <x:c r="N869" s="16" t="n">
        <x:v>18.03278688524617</x:v>
      </x:c>
      <x:c r="O869" s="12" t="str">
        <x:v>FTRL44G005</x:v>
      </x:c>
      <x:c r="P869" s="12" t="str">
        <x:v>MGSD20G007</x:v>
      </x:c>
      <x:c r="Q869" s="12" t="str"/>
      <x:c r="R869" s="12" t="str"/>
      <x:c r="S869" s="12" t="str"/>
      <x:c r="T869" s="12" t="str">
        <x:v>ABM</x:v>
      </x:c>
      <x:c r="U869" s="12" t="str"/>
      <x:c r="V869" s="12" t="str"/>
      <x:c r="W869" s="12" t="str"/>
      <x:c r="X869" s="12" t="str">
        <x:v>MGSD20</x:v>
      </x:c>
      <x:c r="Y869" s="12" t="str">
        <x:v>ANDI &amp; ANGGI</x:v>
      </x:c>
      <x:c r="Z869" s="12" t="str">
        <x:v>EFO</x:v>
      </x:c>
      <x:c r="AA869" s="32" t="n">
        <x:f>IFERROR(VLOOKUP(G869,Master_Unit!$A$2:$N$78,7,FALSE),"")</x:f>
        <x:v>20</x:v>
      </x:c>
      <x:c r="AB869" s="32" t="n">
        <x:f>IF(OR(N869="",AA869=""),"",N869-AA869)</x:f>
        <x:v>-1.9672131147538288</x:v>
      </x:c>
      <x:c r="AC869" s="20" t="n">
        <x:f>IF(OR(N869="",AA869="",AA869=0),"",AB869/AA869)</x:f>
        <x:v>-0.09836065573769144</x:v>
      </x:c>
      <x:c r="AD869" t="str">
        <x:f>IF(AA869="","NO STANDARD",IF(AC869&lt;=Config_Status!$B$2,"EFFICIENT",IF(AC869&lt;=Config_Status!$B$3,"NORMAL",IF(AC869&lt;=Config_Status!$B$4,"WARNING","OVER CONSUMPTION"))))</x:f>
        <x:v>NORMAL</x:v>
      </x:c>
      <x:c r="AE869" t="str">
        <x:f>IFERROR(VLOOKUP(G869,Master_Unit!$A$2:$N$78,13,FALSE),"UNIT NOT FOUND")</x:f>
        <x:v>Matched</x:v>
      </x:c>
    </x:row>
    <x:row r="870">
      <x:c r="A870" s="12" t="str">
        <x:v>FU-20260612-00869</x:v>
      </x:c>
      <x:c r="B870" s="12" t="n">
        <x:v>999</x:v>
      </x:c>
      <x:c r="C870" s="14" t="n">
        <x:v>46185</x:v>
      </x:c>
      <x:c r="D870" s="12" t="str">
        <x:v>Jum'at</x:v>
      </x:c>
      <x:c r="E870" s="12" t="str">
        <x:v>20:51:00</x:v>
      </x:c>
      <x:c r="F870" s="12" t="str">
        <x:v>All Shift Night</x:v>
      </x:c>
      <x:c r="G870" s="12" t="str">
        <x:v>LVTH24R024</x:v>
      </x:c>
      <x:c r="H870" s="12" t="str">
        <x:v>Light Vehicle</x:v>
      </x:c>
      <x:c r="I870" s="12" t="str">
        <x:v>LIGHT VEHICLE TOYOTA HILUX</x:v>
      </x:c>
      <x:c r="J870" s="16" t="n">
        <x:v>20</x:v>
      </x:c>
      <x:c r="K870" s="16" t="n">
        <x:v>46612</x:v>
      </x:c>
      <x:c r="L870" s="16" t="n">
        <x:v>46700</x:v>
      </x:c>
      <x:c r="M870" s="16" t="n">
        <x:v>88</x:v>
      </x:c>
      <x:c r="N870" s="16" t="n">
        <x:v>0.22727272727272727</x:v>
      </x:c>
      <x:c r="O870" s="12" t="str">
        <x:v>FTRL44G005</x:v>
      </x:c>
      <x:c r="P870" s="12" t="str">
        <x:v>LVTH24R024</x:v>
      </x:c>
      <x:c r="Q870" s="12" t="str"/>
      <x:c r="R870" s="12" t="str"/>
      <x:c r="S870" s="12" t="str"/>
      <x:c r="T870" s="12" t="str">
        <x:v>ABM</x:v>
      </x:c>
      <x:c r="U870" s="12" t="str"/>
      <x:c r="V870" s="12" t="str"/>
      <x:c r="W870" s="12" t="str"/>
      <x:c r="X870" s="12" t="str">
        <x:v>LVTH24</x:v>
      </x:c>
      <x:c r="Y870" s="12" t="str">
        <x:v>ANDI &amp; ANGGI</x:v>
      </x:c>
      <x:c r="Z870" s="12" t="str">
        <x:v>COAL HAULING</x:v>
      </x:c>
      <x:c r="AA870" s="32" t="n">
        <x:f>IFERROR(VLOOKUP(G870,Master_Unit!$A$2:$N$78,7,FALSE),"")</x:f>
        <x:v>0.2</x:v>
      </x:c>
      <x:c r="AB870" s="32" t="n">
        <x:f>IF(OR(N870="",AA870=""),"",N870-AA870)</x:f>
        <x:v>0.027272727272727254</x:v>
      </x:c>
      <x:c r="AC870" s="20" t="n">
        <x:f>IF(OR(N870="",AA870="",AA870=0),"",AB870/AA870)</x:f>
        <x:v>0.13636363636363627</x:v>
      </x:c>
      <x:c r="AD870" t="str">
        <x:f>IF(AA870="","NO STANDARD",IF(AC870&lt;=Config_Status!$B$2,"EFFICIENT",IF(AC870&lt;=Config_Status!$B$3,"NORMAL",IF(AC870&lt;=Config_Status!$B$4,"WARNING","OVER CONSUMPTION"))))</x:f>
        <x:v>WARNING</x:v>
      </x:c>
      <x:c r="AE870" t="str">
        <x:f>IFERROR(VLOOKUP(G870,Master_Unit!$A$2:$N$78,13,FALSE),"UNIT NOT FOUND")</x:f>
        <x:v>Matched</x:v>
      </x:c>
    </x:row>
    <x:row r="871">
      <x:c r="A871" s="12" t="str">
        <x:v>FU-20260612-00870</x:v>
      </x:c>
      <x:c r="B871" s="12" t="n">
        <x:v>1000</x:v>
      </x:c>
      <x:c r="C871" s="14" t="n">
        <x:v>46185</x:v>
      </x:c>
      <x:c r="D871" s="12" t="str">
        <x:v>Jum'at</x:v>
      </x:c>
      <x:c r="E871" s="12" t="str">
        <x:v>20:54:00</x:v>
      </x:c>
      <x:c r="F871" s="12" t="str">
        <x:v>All Shift Night</x:v>
      </x:c>
      <x:c r="G871" s="12" t="str">
        <x:v>TLPT14G003</x:v>
      </x:c>
      <x:c r="H871" s="12" t="str">
        <x:v>Other</x:v>
      </x:c>
      <x:c r="I871" s="12" t="str">
        <x:v>TOWERLAMP PATRIA LS4-1400</x:v>
      </x:c>
      <x:c r="J871" s="16" t="n">
        <x:v>23</x:v>
      </x:c>
      <x:c r="K871" s="16" t="n">
        <x:v>13054.1</x:v>
      </x:c>
      <x:c r="L871" s="16" t="n">
        <x:v>13088.6</x:v>
      </x:c>
      <x:c r="M871" s="16" t="n">
        <x:v>34.5</x:v>
      </x:c>
      <x:c r="N871" s="16" t="n">
        <x:v>0.6666666666666666</x:v>
      </x:c>
      <x:c r="O871" s="12" t="str">
        <x:v>FTRL44G005</x:v>
      </x:c>
      <x:c r="P871" s="12" t="str">
        <x:v>TLPT14G003</x:v>
      </x:c>
      <x:c r="Q871" s="12" t="str"/>
      <x:c r="R871" s="12" t="str"/>
      <x:c r="S871" s="12" t="str"/>
      <x:c r="T871" s="12" t="str">
        <x:v>ABM</x:v>
      </x:c>
      <x:c r="U871" s="12" t="str"/>
      <x:c r="V871" s="12" t="str"/>
      <x:c r="W871" s="12" t="str"/>
      <x:c r="X871" s="12" t="str">
        <x:v>TLPT14</x:v>
      </x:c>
      <x:c r="Y871" s="12" t="str">
        <x:v>ANDI &amp; ANGGI</x:v>
      </x:c>
      <x:c r="Z871" s="12" t="str">
        <x:v>COAL HAULING</x:v>
      </x:c>
      <x:c r="AA871" s="32" t="str">
        <x:f>IFERROR(VLOOKUP(G871,Master_Unit!$A$2:$N$78,7,FALSE),"")</x:f>
      </x:c>
      <x:c r="AB871" s="32" t="str">
        <x:f>IF(OR(N871="",AA871=""),"",N871-AA871)</x:f>
      </x:c>
      <x:c r="AC871" s="20" t="str">
        <x:f>IF(OR(N871="",AA871="",AA871=0),"",AB871/AA871)</x:f>
      </x:c>
      <x:c r="AD871" t="str">
        <x:f>IF(AA871="","NO STANDARD",IF(AC871&lt;=Config_Status!$B$2,"EFFICIENT",IF(AC871&lt;=Config_Status!$B$3,"NORMAL",IF(AC871&lt;=Config_Status!$B$4,"WARNING","OVER CONSUMPTION"))))</x:f>
        <x:v>NO STANDARD</x:v>
      </x:c>
      <x:c r="AE871" t="str">
        <x:f>IFERROR(VLOOKUP(G871,Master_Unit!$A$2:$N$78,13,FALSE),"UNIT NOT FOUND")</x:f>
        <x:v>No Standard</x:v>
      </x:c>
    </x:row>
    <x:row r="872">
      <x:c r="A872" s="12" t="str">
        <x:v>FU-20260612-00871</x:v>
      </x:c>
      <x:c r="B872" s="12" t="n">
        <x:v>1001</x:v>
      </x:c>
      <x:c r="C872" s="14" t="n">
        <x:v>46185</x:v>
      </x:c>
      <x:c r="D872" s="12" t="str">
        <x:v>Jum'at</x:v>
      </x:c>
      <x:c r="E872" s="12" t="str">
        <x:v>21:04:00</x:v>
      </x:c>
      <x:c r="F872" s="12" t="str">
        <x:v>All Shift Night</x:v>
      </x:c>
      <x:c r="G872" s="12" t="str">
        <x:v>EXVV21G036</x:v>
      </x:c>
      <x:c r="H872" s="12" t="str">
        <x:v>Excavator</x:v>
      </x:c>
      <x:c r="I872" s="12" t="str">
        <x:v>EXCAVATOR VOLVO EC210D</x:v>
      </x:c>
      <x:c r="J872" s="16" t="n">
        <x:v>132</x:v>
      </x:c>
      <x:c r="K872" s="16" t="n">
        <x:v>7606.8</x:v>
      </x:c>
      <x:c r="L872" s="16" t="n">
        <x:v>7611.2</x:v>
      </x:c>
      <x:c r="M872" s="16" t="n">
        <x:v>4.399999999999636</x:v>
      </x:c>
      <x:c r="N872" s="16" t="n">
        <x:v>30.00000000000248</x:v>
      </x:c>
      <x:c r="O872" s="12" t="str">
        <x:v>FTRL44G005</x:v>
      </x:c>
      <x:c r="P872" s="12" t="str">
        <x:v>EXVV21G036</x:v>
      </x:c>
      <x:c r="Q872" s="12" t="str"/>
      <x:c r="R872" s="12" t="str"/>
      <x:c r="S872" s="12" t="str"/>
      <x:c r="T872" s="12" t="str">
        <x:v>ABM</x:v>
      </x:c>
      <x:c r="U872" s="12" t="str"/>
      <x:c r="V872" s="12" t="str"/>
      <x:c r="W872" s="12" t="str"/>
      <x:c r="X872" s="12" t="str">
        <x:v>EXVV21</x:v>
      </x:c>
      <x:c r="Y872" s="12" t="str">
        <x:v>ANDI &amp; ANGGI</x:v>
      </x:c>
      <x:c r="Z872" s="12" t="str">
        <x:v>COAL HAULING</x:v>
      </x:c>
      <x:c r="AA872" s="32" t="n">
        <x:f>IFERROR(VLOOKUP(G872,Master_Unit!$A$2:$N$78,7,FALSE),"")</x:f>
        <x:v>20</x:v>
      </x:c>
      <x:c r="AB872" s="32" t="n">
        <x:f>IF(OR(N872="",AA872=""),"",N872-AA872)</x:f>
        <x:v>10.00000000000248</x:v>
      </x:c>
      <x:c r="AC872" s="20" t="n">
        <x:f>IF(OR(N872="",AA872="",AA872=0),"",AB872/AA872)</x:f>
        <x:v>0.500000000000124</x:v>
      </x:c>
      <x:c r="AD872" t="str">
        <x:f>IF(AA872="","NO STANDARD",IF(AC872&lt;=Config_Status!$B$2,"EFFICIENT",IF(AC872&lt;=Config_Status!$B$3,"NORMAL",IF(AC872&lt;=Config_Status!$B$4,"WARNING","OVER CONSUMPTION"))))</x:f>
        <x:v>OVER CONSUMPTION</x:v>
      </x:c>
      <x:c r="AE872" t="str">
        <x:f>IFERROR(VLOOKUP(G872,Master_Unit!$A$2:$N$78,13,FALSE),"UNIT NOT FOUND")</x:f>
        <x:v>Matched</x:v>
      </x:c>
    </x:row>
    <x:row r="873">
      <x:c r="A873" s="12" t="str">
        <x:v>FU-20260612-00872</x:v>
      </x:c>
      <x:c r="B873" s="12" t="n">
        <x:v>1002</x:v>
      </x:c>
      <x:c r="C873" s="14" t="n">
        <x:v>46185</x:v>
      </x:c>
      <x:c r="D873" s="12" t="str">
        <x:v>Jum'at</x:v>
      </x:c>
      <x:c r="E873" s="12" t="str">
        <x:v>21:29:00</x:v>
      </x:c>
      <x:c r="F873" s="12" t="str">
        <x:v>All Shift Night</x:v>
      </x:c>
      <x:c r="G873" s="12" t="str">
        <x:v>BDKM85G040</x:v>
      </x:c>
      <x:c r="H873" s="12" t="str">
        <x:v>Dozer</x:v>
      </x:c>
      <x:c r="I873" s="12" t="str">
        <x:v>BULDOZER KOMATSU D85ESS-2</x:v>
      </x:c>
      <x:c r="J873" s="16" t="n">
        <x:v>158</x:v>
      </x:c>
      <x:c r="K873" s="16" t="n">
        <x:v>6263.4</x:v>
      </x:c>
      <x:c r="L873" s="16" t="n">
        <x:v>6277.1</x:v>
      </x:c>
      <x:c r="M873" s="16" t="n">
        <x:v>13.700000000000728</x:v>
      </x:c>
      <x:c r="N873" s="16" t="n">
        <x:v>11.532846715327855</x:v>
      </x:c>
      <x:c r="O873" s="12" t="str">
        <x:v>FTRL44G005</x:v>
      </x:c>
      <x:c r="P873" s="12" t="str">
        <x:v>BDKM85G040</x:v>
      </x:c>
      <x:c r="Q873" s="12" t="str"/>
      <x:c r="R873" s="12" t="str"/>
      <x:c r="S873" s="12" t="str"/>
      <x:c r="T873" s="12" t="str">
        <x:v>ABM</x:v>
      </x:c>
      <x:c r="U873" s="12" t="str"/>
      <x:c r="V873" s="12" t="str"/>
      <x:c r="W873" s="12" t="str"/>
      <x:c r="X873" s="12" t="str">
        <x:v>BDKM85</x:v>
      </x:c>
      <x:c r="Y873" s="12" t="str">
        <x:v>ANDI &amp; ANGGI</x:v>
      </x:c>
      <x:c r="Z873" s="12" t="str">
        <x:v>COAL HAULING</x:v>
      </x:c>
      <x:c r="AA873" s="32" t="n">
        <x:f>IFERROR(VLOOKUP(G873,Master_Unit!$A$2:$N$78,7,FALSE),"")</x:f>
        <x:v>30</x:v>
      </x:c>
      <x:c r="AB873" s="32" t="n">
        <x:f>IF(OR(N873="",AA873=""),"",N873-AA873)</x:f>
        <x:v>-18.467153284672143</x:v>
      </x:c>
      <x:c r="AC873" s="20" t="n">
        <x:f>IF(OR(N873="",AA873="",AA873=0),"",AB873/AA873)</x:f>
        <x:v>-0.6155717761557381</x:v>
      </x:c>
      <x:c r="AD873" t="str">
        <x:f>IF(AA873="","NO STANDARD",IF(AC873&lt;=Config_Status!$B$2,"EFFICIENT",IF(AC873&lt;=Config_Status!$B$3,"NORMAL",IF(AC873&lt;=Config_Status!$B$4,"WARNING","OVER CONSUMPTION"))))</x:f>
        <x:v>EFFICIENT</x:v>
      </x:c>
      <x:c r="AE873" t="str">
        <x:f>IFERROR(VLOOKUP(G873,Master_Unit!$A$2:$N$78,13,FALSE),"UNIT NOT FOUND")</x:f>
        <x:v>Matched</x:v>
      </x:c>
    </x:row>
    <x:row r="874">
      <x:c r="A874" s="12" t="str">
        <x:v>FU-20260612-00873</x:v>
      </x:c>
      <x:c r="B874" s="12" t="n">
        <x:v>1003</x:v>
      </x:c>
      <x:c r="C874" s="14" t="n">
        <x:v>46185</x:v>
      </x:c>
      <x:c r="D874" s="12" t="str">
        <x:v>Jum'at</x:v>
      </x:c>
      <x:c r="E874" s="12" t="str">
        <x:v>21:41:00</x:v>
      </x:c>
      <x:c r="F874" s="12" t="str">
        <x:v>All Shift Night</x:v>
      </x:c>
      <x:c r="G874" s="12" t="str">
        <x:v>GSHT25G001</x:v>
      </x:c>
      <x:c r="H874" s="12" t="str">
        <x:v>Genset</x:v>
      </x:c>
      <x:c r="I874" s="12" t="str">
        <x:v>GENSET HARTECH HT-250-V</x:v>
      </x:c>
      <x:c r="J874" s="16" t="n">
        <x:v>400</x:v>
      </x:c>
      <x:c r="K874" s="16" t="n">
        <x:v>1826.18</x:v>
      </x:c>
      <x:c r="L874" s="16" t="n">
        <x:v>1841.56</x:v>
      </x:c>
      <x:c r="M874" s="16" t="n">
        <x:v>15.379999999999882</x:v>
      </x:c>
      <x:c r="N874" s="16" t="n">
        <x:v>26.007802340702412</x:v>
      </x:c>
      <x:c r="O874" s="12" t="str">
        <x:v>FTRL44G005</x:v>
      </x:c>
      <x:c r="P874" s="12" t="str">
        <x:v>GSHT25G001</x:v>
      </x:c>
      <x:c r="Q874" s="12" t="str"/>
      <x:c r="R874" s="12" t="str"/>
      <x:c r="S874" s="12" t="str"/>
      <x:c r="T874" s="12" t="str">
        <x:v>ABM</x:v>
      </x:c>
      <x:c r="U874" s="12" t="str"/>
      <x:c r="V874" s="12" t="str"/>
      <x:c r="W874" s="12" t="str"/>
      <x:c r="X874" s="12" t="str">
        <x:v>GSHT25</x:v>
      </x:c>
      <x:c r="Y874" s="12" t="str">
        <x:v>ANDI &amp; ANGGI</x:v>
      </x:c>
      <x:c r="Z874" s="12" t="str">
        <x:v>COAL HAULING</x:v>
      </x:c>
      <x:c r="AA874" s="32" t="n">
        <x:f>IFERROR(VLOOKUP(G874,Master_Unit!$A$2:$N$78,7,FALSE),"")</x:f>
        <x:v>15</x:v>
      </x:c>
      <x:c r="AB874" s="32" t="n">
        <x:f>IF(OR(N874="",AA874=""),"",N874-AA874)</x:f>
        <x:v>11.007802340702412</x:v>
      </x:c>
      <x:c r="AC874" s="20" t="n">
        <x:f>IF(OR(N874="",AA874="",AA874=0),"",AB874/AA874)</x:f>
        <x:v>0.7338534893801608</x:v>
      </x:c>
      <x:c r="AD874" t="str">
        <x:f>IF(AA874="","NO STANDARD",IF(AC874&lt;=Config_Status!$B$2,"EFFICIENT",IF(AC874&lt;=Config_Status!$B$3,"NORMAL",IF(AC874&lt;=Config_Status!$B$4,"WARNING","OVER CONSUMPTION"))))</x:f>
        <x:v>OVER CONSUMPTION</x:v>
      </x:c>
      <x:c r="AE874" t="str">
        <x:f>IFERROR(VLOOKUP(G874,Master_Unit!$A$2:$N$78,13,FALSE),"UNIT NOT FOUND")</x:f>
        <x:v>Matched</x:v>
      </x:c>
    </x:row>
    <x:row r="875">
      <x:c r="A875" s="12" t="str">
        <x:v>FU-20260613-00874</x:v>
      </x:c>
      <x:c r="B875" s="12" t="n">
        <x:v>1004</x:v>
      </x:c>
      <x:c r="C875" s="14" t="n">
        <x:v>46186</x:v>
      </x:c>
      <x:c r="D875" s="12" t="str">
        <x:v>Sabtu</x:v>
      </x:c>
      <x:c r="E875" s="12" t="str">
        <x:v>06:22:00</x:v>
      </x:c>
      <x:c r="F875" s="12" t="str">
        <x:v>All Shift Day</x:v>
      </x:c>
      <x:c r="G875" s="12" t="str">
        <x:v>GSHT40G002</x:v>
      </x:c>
      <x:c r="H875" s="12" t="str">
        <x:v>Genset</x:v>
      </x:c>
      <x:c r="I875" s="12" t="str">
        <x:v>GENSET HARTECH HT-400-V</x:v>
      </x:c>
      <x:c r="J875" s="16" t="n">
        <x:v>400</x:v>
      </x:c>
      <x:c r="K875" s="16" t="n">
        <x:v>14675.28</x:v>
      </x:c>
      <x:c r="L875" s="16" t="n">
        <x:v>14699.23</x:v>
      </x:c>
      <x:c r="M875" s="16" t="n">
        <x:v>23.94999999999891</x:v>
      </x:c>
      <x:c r="N875" s="16" t="n">
        <x:v>16.701461377871325</x:v>
      </x:c>
      <x:c r="O875" s="12" t="str">
        <x:v>FTRL44G005</x:v>
      </x:c>
      <x:c r="P875" s="12" t="str">
        <x:v>GSHT40G002</x:v>
      </x:c>
      <x:c r="Q875" s="12" t="str"/>
      <x:c r="R875" s="12" t="str"/>
      <x:c r="S875" s="12" t="str"/>
      <x:c r="T875" s="12" t="str">
        <x:v>ABM</x:v>
      </x:c>
      <x:c r="U875" s="12" t="str"/>
      <x:c r="V875" s="12" t="str"/>
      <x:c r="W875" s="12" t="str"/>
      <x:c r="X875" s="12" t="str">
        <x:v>GSHT40</x:v>
      </x:c>
      <x:c r="Y875" s="12" t="str">
        <x:v>RAFIF &amp; YOGI</x:v>
      </x:c>
      <x:c r="Z875" s="12" t="str">
        <x:v>COAL HAULING</x:v>
      </x:c>
      <x:c r="AA875" s="32" t="n">
        <x:f>IFERROR(VLOOKUP(G875,Master_Unit!$A$2:$N$78,7,FALSE),"")</x:f>
        <x:v>25</x:v>
      </x:c>
      <x:c r="AB875" s="32" t="n">
        <x:f>IF(OR(N875="",AA875=""),"",N875-AA875)</x:f>
        <x:v>-8.298538622128675</x:v>
      </x:c>
      <x:c r="AC875" s="20" t="n">
        <x:f>IF(OR(N875="",AA875="",AA875=0),"",AB875/AA875)</x:f>
        <x:v>-0.331941544885147</x:v>
      </x:c>
      <x:c r="AD875" t="str">
        <x:f>IF(AA875="","NO STANDARD",IF(AC875&lt;=Config_Status!$B$2,"EFFICIENT",IF(AC875&lt;=Config_Status!$B$3,"NORMAL",IF(AC875&lt;=Config_Status!$B$4,"WARNING","OVER CONSUMPTION"))))</x:f>
        <x:v>EFFICIENT</x:v>
      </x:c>
      <x:c r="AE875" t="str">
        <x:f>IFERROR(VLOOKUP(G875,Master_Unit!$A$2:$N$78,13,FALSE),"UNIT NOT FOUND")</x:f>
        <x:v>Matched</x:v>
      </x:c>
    </x:row>
    <x:row r="876">
      <x:c r="A876" s="12" t="str">
        <x:v>FU-20260613-00875</x:v>
      </x:c>
      <x:c r="B876" s="12" t="n">
        <x:v>1005</x:v>
      </x:c>
      <x:c r="C876" s="14" t="n">
        <x:v>46186</x:v>
      </x:c>
      <x:c r="D876" s="12" t="str">
        <x:v>Sabtu</x:v>
      </x:c>
      <x:c r="E876" s="12" t="str">
        <x:v>16:03:00</x:v>
      </x:c>
      <x:c r="F876" s="12" t="str">
        <x:v>All Shift Day</x:v>
      </x:c>
      <x:c r="G876" s="12" t="str">
        <x:v>GSHT10G002</x:v>
      </x:c>
      <x:c r="H876" s="12" t="str">
        <x:v>Genset</x:v>
      </x:c>
      <x:c r="I876" s="12" t="str">
        <x:v>GENSET HARTECH HT-10</x:v>
      </x:c>
      <x:c r="J876" s="16" t="n">
        <x:v>14</x:v>
      </x:c>
      <x:c r="K876" s="16" t="n">
        <x:v>8541.17</x:v>
      </x:c>
      <x:c r="L876" s="16" t="n">
        <x:v>8555.8</x:v>
      </x:c>
      <x:c r="M876" s="16" t="n">
        <x:v>14.6299999999992</x:v>
      </x:c>
      <x:c r="N876" s="16" t="n">
        <x:v>0.9569377990431146</x:v>
      </x:c>
      <x:c r="O876" s="12" t="str">
        <x:v>FTRL44G005</x:v>
      </x:c>
      <x:c r="P876" s="12" t="str">
        <x:v>GSHT10G002</x:v>
      </x:c>
      <x:c r="Q876" s="12" t="str"/>
      <x:c r="R876" s="12" t="str"/>
      <x:c r="S876" s="12" t="str"/>
      <x:c r="T876" s="12" t="str">
        <x:v>ABM</x:v>
      </x:c>
      <x:c r="U876" s="12" t="str"/>
      <x:c r="V876" s="12" t="str"/>
      <x:c r="W876" s="12" t="str"/>
      <x:c r="X876" s="12" t="str">
        <x:v>GSHT10</x:v>
      </x:c>
      <x:c r="Y876" s="12" t="str">
        <x:v>RAFIF &amp; YOGI</x:v>
      </x:c>
      <x:c r="Z876" s="12" t="str">
        <x:v>COAL HAULING</x:v>
      </x:c>
      <x:c r="AA876" s="32" t="n">
        <x:f>IFERROR(VLOOKUP(G876,Master_Unit!$A$2:$N$78,7,FALSE),"")</x:f>
        <x:v>3</x:v>
      </x:c>
      <x:c r="AB876" s="32" t="n">
        <x:f>IF(OR(N876="",AA876=""),"",N876-AA876)</x:f>
        <x:v>-2.0430622009568853</x:v>
      </x:c>
      <x:c r="AC876" s="20" t="n">
        <x:f>IF(OR(N876="",AA876="",AA876=0),"",AB876/AA876)</x:f>
        <x:v>-0.6810207336522951</x:v>
      </x:c>
      <x:c r="AD876" t="str">
        <x:f>IF(AA876="","NO STANDARD",IF(AC876&lt;=Config_Status!$B$2,"EFFICIENT",IF(AC876&lt;=Config_Status!$B$3,"NORMAL",IF(AC876&lt;=Config_Status!$B$4,"WARNING","OVER CONSUMPTION"))))</x:f>
        <x:v>EFFICIENT</x:v>
      </x:c>
      <x:c r="AE876" t="str">
        <x:f>IFERROR(VLOOKUP(G876,Master_Unit!$A$2:$N$78,13,FALSE),"UNIT NOT FOUND")</x:f>
        <x:v>Matched</x:v>
      </x:c>
    </x:row>
    <x:row r="877">
      <x:c r="A877" s="12" t="str">
        <x:v>FU-20260613-00876</x:v>
      </x:c>
      <x:c r="B877" s="12" t="n">
        <x:v>1006</x:v>
      </x:c>
      <x:c r="C877" s="14" t="n">
        <x:v>46186</x:v>
      </x:c>
      <x:c r="D877" s="12" t="str">
        <x:v>Sabtu</x:v>
      </x:c>
      <x:c r="E877" s="12" t="str">
        <x:v>16:10:00</x:v>
      </x:c>
      <x:c r="F877" s="12" t="str">
        <x:v>All Shift Day</x:v>
      </x:c>
      <x:c r="G877" s="12" t="str">
        <x:v>GSHT10G001</x:v>
      </x:c>
      <x:c r="H877" s="12" t="str">
        <x:v>Genset</x:v>
      </x:c>
      <x:c r="I877" s="12" t="str">
        <x:v>GENSET HARTECH HT-10</x:v>
      </x:c>
      <x:c r="J877" s="16" t="n">
        <x:v>14</x:v>
      </x:c>
      <x:c r="K877" s="16" t="n">
        <x:v>5969.56</x:v>
      </x:c>
      <x:c r="L877" s="16" t="n">
        <x:v>5980.33</x:v>
      </x:c>
      <x:c r="M877" s="16" t="n">
        <x:v>10.769999999999527</x:v>
      </x:c>
      <x:c r="N877" s="16" t="n">
        <x:v>1.2999071494893792</x:v>
      </x:c>
      <x:c r="O877" s="12" t="str">
        <x:v>FTRL44G005</x:v>
      </x:c>
      <x:c r="P877" s="12" t="str">
        <x:v>GSHT10G001</x:v>
      </x:c>
      <x:c r="Q877" s="12" t="str"/>
      <x:c r="R877" s="12" t="str"/>
      <x:c r="S877" s="12" t="str"/>
      <x:c r="T877" s="12" t="str">
        <x:v>ABM</x:v>
      </x:c>
      <x:c r="U877" s="12" t="str"/>
      <x:c r="V877" s="12" t="str"/>
      <x:c r="W877" s="12" t="str"/>
      <x:c r="X877" s="12" t="str">
        <x:v>GSHT10</x:v>
      </x:c>
      <x:c r="Y877" s="12" t="str">
        <x:v>RAFIF &amp; YOGI</x:v>
      </x:c>
      <x:c r="Z877" s="12" t="str">
        <x:v>COAL HAULING</x:v>
      </x:c>
      <x:c r="AA877" s="32" t="n">
        <x:f>IFERROR(VLOOKUP(G877,Master_Unit!$A$2:$N$78,7,FALSE),"")</x:f>
        <x:v>3</x:v>
      </x:c>
      <x:c r="AB877" s="32" t="n">
        <x:f>IF(OR(N877="",AA877=""),"",N877-AA877)</x:f>
        <x:v>-1.7000928505106208</x:v>
      </x:c>
      <x:c r="AC877" s="20" t="n">
        <x:f>IF(OR(N877="",AA877="",AA877=0),"",AB877/AA877)</x:f>
        <x:v>-0.5666976168368736</x:v>
      </x:c>
      <x:c r="AD877" t="str">
        <x:f>IF(AA877="","NO STANDARD",IF(AC877&lt;=Config_Status!$B$2,"EFFICIENT",IF(AC877&lt;=Config_Status!$B$3,"NORMAL",IF(AC877&lt;=Config_Status!$B$4,"WARNING","OVER CONSUMPTION"))))</x:f>
        <x:v>EFFICIENT</x:v>
      </x:c>
      <x:c r="AE877" t="str">
        <x:f>IFERROR(VLOOKUP(G877,Master_Unit!$A$2:$N$78,13,FALSE),"UNIT NOT FOUND")</x:f>
        <x:v>Matched</x:v>
      </x:c>
    </x:row>
    <x:row r="878">
      <x:c r="A878" s="12" t="str">
        <x:v>FU-20260613-00877</x:v>
      </x:c>
      <x:c r="B878" s="12" t="n">
        <x:v>1007</x:v>
      </x:c>
      <x:c r="C878" s="14" t="n">
        <x:v>46186</x:v>
      </x:c>
      <x:c r="D878" s="12" t="str">
        <x:v>Sabtu</x:v>
      </x:c>
      <x:c r="E878" s="12" t="str">
        <x:v>16:16:00</x:v>
      </x:c>
      <x:c r="F878" s="12" t="str">
        <x:v>All Shift Day</x:v>
      </x:c>
      <x:c r="G878" s="12" t="str">
        <x:v>TLYM50G023</x:v>
      </x:c>
      <x:c r="H878" s="12" t="str">
        <x:v>Other</x:v>
      </x:c>
      <x:c r="I878" s="12" t="str">
        <x:v>TOWERLAMP YAMAGEN YDG5001SE-D-TLD4</x:v>
      </x:c>
      <x:c r="J878" s="16" t="n">
        <x:v>12</x:v>
      </x:c>
      <x:c r="K878" s="16" t="n">
        <x:v>4508.290000000001</x:v>
      </x:c>
      <x:c r="L878" s="16" t="n">
        <x:v>4509.29</x:v>
      </x:c>
      <x:c r="M878" s="16" t="n">
        <x:v>0.9999999999990905</x:v>
      </x:c>
      <x:c r="N878" s="16" t="n">
        <x:v>12.000000000010914</x:v>
      </x:c>
      <x:c r="O878" s="12" t="str">
        <x:v>FTRL44G005</x:v>
      </x:c>
      <x:c r="P878" s="12" t="str">
        <x:v>TLYM50G023</x:v>
      </x:c>
      <x:c r="Q878" s="12" t="str"/>
      <x:c r="R878" s="12" t="str"/>
      <x:c r="S878" s="12" t="str"/>
      <x:c r="T878" s="12" t="str">
        <x:v>ABM</x:v>
      </x:c>
      <x:c r="U878" s="12" t="str"/>
      <x:c r="V878" s="12" t="str"/>
      <x:c r="W878" s="12" t="str"/>
      <x:c r="X878" s="12" t="str">
        <x:v>TLYM50</x:v>
      </x:c>
      <x:c r="Y878" s="12" t="str">
        <x:v>RAFIF &amp; YOGI</x:v>
      </x:c>
      <x:c r="Z878" s="12" t="str">
        <x:v>COAL HAULING</x:v>
      </x:c>
      <x:c r="AA878" s="32" t="n">
        <x:f>IFERROR(VLOOKUP(G878,Master_Unit!$A$2:$N$78,7,FALSE),"")</x:f>
        <x:v>2</x:v>
      </x:c>
      <x:c r="AB878" s="32" t="n">
        <x:f>IF(OR(N878="",AA878=""),"",N878-AA878)</x:f>
        <x:v>10.000000000010914</x:v>
      </x:c>
      <x:c r="AC878" s="20" t="n">
        <x:f>IF(OR(N878="",AA878="",AA878=0),"",AB878/AA878)</x:f>
        <x:v>5.000000000005457</x:v>
      </x:c>
      <x:c r="AD878" t="str">
        <x:f>IF(AA878="","NO STANDARD",IF(AC878&lt;=Config_Status!$B$2,"EFFICIENT",IF(AC878&lt;=Config_Status!$B$3,"NORMAL",IF(AC878&lt;=Config_Status!$B$4,"WARNING","OVER CONSUMPTION"))))</x:f>
        <x:v>OVER CONSUMPTION</x:v>
      </x:c>
      <x:c r="AE878" t="str">
        <x:f>IFERROR(VLOOKUP(G878,Master_Unit!$A$2:$N$78,13,FALSE),"UNIT NOT FOUND")</x:f>
        <x:v>Matched</x:v>
      </x:c>
    </x:row>
    <x:row r="879">
      <x:c r="A879" s="12" t="str">
        <x:v>FU-20260613-00878</x:v>
      </x:c>
      <x:c r="B879" s="12" t="n">
        <x:v>1008</x:v>
      </x:c>
      <x:c r="C879" s="14" t="n">
        <x:v>46186</x:v>
      </x:c>
      <x:c r="D879" s="12" t="str">
        <x:v>Sabtu</x:v>
      </x:c>
      <x:c r="E879" s="12" t="str">
        <x:v>16:18:00</x:v>
      </x:c>
      <x:c r="F879" s="12" t="str">
        <x:v>All Shift Day</x:v>
      </x:c>
      <x:c r="G879" s="12" t="str">
        <x:v>TLYM50G019</x:v>
      </x:c>
      <x:c r="H879" s="12" t="str">
        <x:v>Other</x:v>
      </x:c>
      <x:c r="I879" s="12" t="str">
        <x:v>TOWERLAMP YAMAGEN YDG5001SE-D-TLD4</x:v>
      </x:c>
      <x:c r="J879" s="16" t="n">
        <x:v>12</x:v>
      </x:c>
      <x:c r="K879" s="16" t="n">
        <x:v>4702.61</x:v>
      </x:c>
      <x:c r="L879" s="16" t="n">
        <x:v>4713.009999999999</x:v>
      </x:c>
      <x:c r="M879" s="16" t="n">
        <x:v>10.399999999999636</x:v>
      </x:c>
      <x:c r="N879" s="16" t="n">
        <x:v>1.1538461538461942</x:v>
      </x:c>
      <x:c r="O879" s="12" t="str">
        <x:v>FTRL44G005</x:v>
      </x:c>
      <x:c r="P879" s="12" t="str">
        <x:v>TLYM50G019</x:v>
      </x:c>
      <x:c r="Q879" s="12" t="str"/>
      <x:c r="R879" s="12" t="str"/>
      <x:c r="S879" s="12" t="str"/>
      <x:c r="T879" s="12" t="str">
        <x:v>ABM</x:v>
      </x:c>
      <x:c r="U879" s="12" t="str"/>
      <x:c r="V879" s="12" t="str"/>
      <x:c r="W879" s="12" t="str"/>
      <x:c r="X879" s="12" t="str">
        <x:v>TLYM50</x:v>
      </x:c>
      <x:c r="Y879" s="12" t="str">
        <x:v>RAFIF &amp; YOGI</x:v>
      </x:c>
      <x:c r="Z879" s="12" t="str">
        <x:v>COAL HAULING</x:v>
      </x:c>
      <x:c r="AA879" s="32" t="n">
        <x:f>IFERROR(VLOOKUP(G879,Master_Unit!$A$2:$N$78,7,FALSE),"")</x:f>
        <x:v>2</x:v>
      </x:c>
      <x:c r="AB879" s="32" t="n">
        <x:f>IF(OR(N879="",AA879=""),"",N879-AA879)</x:f>
        <x:v>-0.8461538461538058</x:v>
      </x:c>
      <x:c r="AC879" s="20" t="n">
        <x:f>IF(OR(N879="",AA879="",AA879=0),"",AB879/AA879)</x:f>
        <x:v>-0.4230769230769029</x:v>
      </x:c>
      <x:c r="AD879" t="str">
        <x:f>IF(AA879="","NO STANDARD",IF(AC879&lt;=Config_Status!$B$2,"EFFICIENT",IF(AC879&lt;=Config_Status!$B$3,"NORMAL",IF(AC879&lt;=Config_Status!$B$4,"WARNING","OVER CONSUMPTION"))))</x:f>
        <x:v>EFFICIENT</x:v>
      </x:c>
      <x:c r="AE879" t="str">
        <x:f>IFERROR(VLOOKUP(G879,Master_Unit!$A$2:$N$78,13,FALSE),"UNIT NOT FOUND")</x:f>
        <x:v>Matched</x:v>
      </x:c>
    </x:row>
    <x:row r="880">
      <x:c r="A880" s="12" t="str">
        <x:v>FU-20260613-00879</x:v>
      </x:c>
      <x:c r="B880" s="12" t="n">
        <x:v>1009</x:v>
      </x:c>
      <x:c r="C880" s="14" t="n">
        <x:v>46186</x:v>
      </x:c>
      <x:c r="D880" s="12" t="str">
        <x:v>Sabtu</x:v>
      </x:c>
      <x:c r="E880" s="12" t="str">
        <x:v>16:21:00</x:v>
      </x:c>
      <x:c r="F880" s="12" t="str">
        <x:v>All Shift Day</x:v>
      </x:c>
      <x:c r="G880" s="12" t="str">
        <x:v>TLYM50G020</x:v>
      </x:c>
      <x:c r="H880" s="12" t="str">
        <x:v>Other</x:v>
      </x:c>
      <x:c r="I880" s="12" t="str">
        <x:v>TOWERLAMP YAMAGEN YDG5001SE-D-TLD4</x:v>
      </x:c>
      <x:c r="J880" s="16" t="n">
        <x:v>12</x:v>
      </x:c>
      <x:c r="K880" s="16" t="n">
        <x:v>4561.14</x:v>
      </x:c>
      <x:c r="L880" s="16" t="n">
        <x:v>4571.74</x:v>
      </x:c>
      <x:c r="M880" s="16" t="n">
        <x:v>10.599999999999454</x:v>
      </x:c>
      <x:c r="N880" s="16" t="n">
        <x:v>1.1320754716981716</x:v>
      </x:c>
      <x:c r="O880" s="12" t="str">
        <x:v>FTRL44G005</x:v>
      </x:c>
      <x:c r="P880" s="12" t="str">
        <x:v>TLYM50G020</x:v>
      </x:c>
      <x:c r="Q880" s="12" t="str"/>
      <x:c r="R880" s="12" t="str"/>
      <x:c r="S880" s="12" t="str"/>
      <x:c r="T880" s="12" t="str">
        <x:v>ABM</x:v>
      </x:c>
      <x:c r="U880" s="12" t="str"/>
      <x:c r="V880" s="12" t="str"/>
      <x:c r="W880" s="12" t="str"/>
      <x:c r="X880" s="12" t="str">
        <x:v>TLYM50</x:v>
      </x:c>
      <x:c r="Y880" s="12" t="str">
        <x:v>RAFIF &amp; YOGI</x:v>
      </x:c>
      <x:c r="Z880" s="12" t="str">
        <x:v>COAL HAULING</x:v>
      </x:c>
      <x:c r="AA880" s="32" t="n">
        <x:f>IFERROR(VLOOKUP(G880,Master_Unit!$A$2:$N$78,7,FALSE),"")</x:f>
        <x:v>2</x:v>
      </x:c>
      <x:c r="AB880" s="32" t="n">
        <x:f>IF(OR(N880="",AA880=""),"",N880-AA880)</x:f>
        <x:v>-0.8679245283018284</x:v>
      </x:c>
      <x:c r="AC880" s="20" t="n">
        <x:f>IF(OR(N880="",AA880="",AA880=0),"",AB880/AA880)</x:f>
        <x:v>-0.4339622641509142</x:v>
      </x:c>
      <x:c r="AD880" t="str">
        <x:f>IF(AA880="","NO STANDARD",IF(AC880&lt;=Config_Status!$B$2,"EFFICIENT",IF(AC880&lt;=Config_Status!$B$3,"NORMAL",IF(AC880&lt;=Config_Status!$B$4,"WARNING","OVER CONSUMPTION"))))</x:f>
        <x:v>EFFICIENT</x:v>
      </x:c>
      <x:c r="AE880" t="str">
        <x:f>IFERROR(VLOOKUP(G880,Master_Unit!$A$2:$N$78,13,FALSE),"UNIT NOT FOUND")</x:f>
        <x:v>Matched</x:v>
      </x:c>
    </x:row>
    <x:row r="881">
      <x:c r="A881" s="12" t="str">
        <x:v>FU-20260613-00880</x:v>
      </x:c>
      <x:c r="B881" s="12" t="n">
        <x:v>1010</x:v>
      </x:c>
      <x:c r="C881" s="14" t="n">
        <x:v>46186</x:v>
      </x:c>
      <x:c r="D881" s="12" t="str">
        <x:v>Sabtu</x:v>
      </x:c>
      <x:c r="E881" s="12" t="str">
        <x:v>20:48:00</x:v>
      </x:c>
      <x:c r="F881" s="12" t="str">
        <x:v>All Shift Night</x:v>
      </x:c>
      <x:c r="G881" s="12" t="str">
        <x:v>LVTH24R033</x:v>
      </x:c>
      <x:c r="H881" s="12" t="str">
        <x:v>Light Vehicle</x:v>
      </x:c>
      <x:c r="I881" s="12" t="str">
        <x:v>LIGHT VEHICLE TOYOTA HILUX</x:v>
      </x:c>
      <x:c r="J881" s="16" t="n">
        <x:v>30</x:v>
      </x:c>
      <x:c r="K881" s="16" t="n">
        <x:v>139175</x:v>
      </x:c>
      <x:c r="L881" s="16" t="n">
        <x:v>139575</x:v>
      </x:c>
      <x:c r="M881" s="16" t="n">
        <x:v>400</x:v>
      </x:c>
      <x:c r="N881" s="16" t="n">
        <x:v>0.075</x:v>
      </x:c>
      <x:c r="O881" s="12" t="str">
        <x:v>FTRL44G005</x:v>
      </x:c>
      <x:c r="P881" s="12" t="str">
        <x:v>LVTH24R033</x:v>
      </x:c>
      <x:c r="Q881" s="12" t="str"/>
      <x:c r="R881" s="12" t="str"/>
      <x:c r="S881" s="12" t="str"/>
      <x:c r="T881" s="12" t="str">
        <x:v>ABM</x:v>
      </x:c>
      <x:c r="U881" s="12" t="str"/>
      <x:c r="V881" s="12" t="str"/>
      <x:c r="W881" s="12" t="str"/>
      <x:c r="X881" s="12" t="str">
        <x:v>LVTH24</x:v>
      </x:c>
      <x:c r="Y881" s="12" t="str">
        <x:v>FANGKI &amp; ACUNG</x:v>
      </x:c>
      <x:c r="Z881" s="12" t="str">
        <x:v>COAL HAULING</x:v>
      </x:c>
      <x:c r="AA881" s="32" t="n">
        <x:f>IFERROR(VLOOKUP(G881,Master_Unit!$A$2:$N$78,7,FALSE),"")</x:f>
        <x:v>0.2</x:v>
      </x:c>
      <x:c r="AB881" s="32" t="n">
        <x:f>IF(OR(N881="",AA881=""),"",N881-AA881)</x:f>
        <x:v>-0.125</x:v>
      </x:c>
      <x:c r="AC881" s="20" t="n">
        <x:f>IF(OR(N881="",AA881="",AA881=0),"",AB881/AA881)</x:f>
        <x:v>-0.625</x:v>
      </x:c>
      <x:c r="AD881" t="str">
        <x:f>IF(AA881="","NO STANDARD",IF(AC881&lt;=Config_Status!$B$2,"EFFICIENT",IF(AC881&lt;=Config_Status!$B$3,"NORMAL",IF(AC881&lt;=Config_Status!$B$4,"WARNING","OVER CONSUMPTION"))))</x:f>
        <x:v>EFFICIENT</x:v>
      </x:c>
      <x:c r="AE881" t="str">
        <x:f>IFERROR(VLOOKUP(G881,Master_Unit!$A$2:$N$78,13,FALSE),"UNIT NOT FOUND")</x:f>
        <x:v>Matched</x:v>
      </x:c>
    </x:row>
    <x:row r="882">
      <x:c r="A882" s="12" t="str">
        <x:v>FU-20260613-00881</x:v>
      </x:c>
      <x:c r="B882" s="12" t="n">
        <x:v>1011</x:v>
      </x:c>
      <x:c r="C882" s="14" t="n">
        <x:v>46186</x:v>
      </x:c>
      <x:c r="D882" s="12" t="str">
        <x:v>Sabtu</x:v>
      </x:c>
      <x:c r="E882" s="12" t="str">
        <x:v>20:50:00</x:v>
      </x:c>
      <x:c r="F882" s="12" t="str">
        <x:v>All Shift Night</x:v>
      </x:c>
      <x:c r="G882" s="12" t="str">
        <x:v>LVTH24R035</x:v>
      </x:c>
      <x:c r="H882" s="12" t="str">
        <x:v>Light Vehicle</x:v>
      </x:c>
      <x:c r="I882" s="12" t="str">
        <x:v>LIGHT VEHICLE TOYOTA HILUX</x:v>
      </x:c>
      <x:c r="J882" s="16" t="n">
        <x:v>20</x:v>
      </x:c>
      <x:c r="K882" s="16" t="n">
        <x:v>70216</x:v>
      </x:c>
      <x:c r="L882" s="16" t="n">
        <x:v>70500</x:v>
      </x:c>
      <x:c r="M882" s="16" t="n">
        <x:v>284</x:v>
      </x:c>
      <x:c r="N882" s="16" t="n">
        <x:v>0.07042253521126761</x:v>
      </x:c>
      <x:c r="O882" s="12" t="str">
        <x:v>FTRL44G005</x:v>
      </x:c>
      <x:c r="P882" s="12" t="str">
        <x:v>LVTH24R035</x:v>
      </x:c>
      <x:c r="Q882" s="12" t="str"/>
      <x:c r="R882" s="12" t="str"/>
      <x:c r="S882" s="12" t="str"/>
      <x:c r="T882" s="12" t="str">
        <x:v>ABM</x:v>
      </x:c>
      <x:c r="U882" s="12" t="str"/>
      <x:c r="V882" s="12" t="str"/>
      <x:c r="W882" s="12" t="str"/>
      <x:c r="X882" s="12" t="str">
        <x:v>LVTH24</x:v>
      </x:c>
      <x:c r="Y882" s="12" t="str">
        <x:v>FANGKI &amp; ACUNG</x:v>
      </x:c>
      <x:c r="Z882" s="12" t="str">
        <x:v>COAL HAULING</x:v>
      </x:c>
      <x:c r="AA882" s="32" t="n">
        <x:f>IFERROR(VLOOKUP(G882,Master_Unit!$A$2:$N$78,7,FALSE),"")</x:f>
        <x:v>0.2</x:v>
      </x:c>
      <x:c r="AB882" s="32" t="n">
        <x:f>IF(OR(N882="",AA882=""),"",N882-AA882)</x:f>
        <x:v>-0.1295774647887324</x:v>
      </x:c>
      <x:c r="AC882" s="20" t="n">
        <x:f>IF(OR(N882="",AA882="",AA882=0),"",AB882/AA882)</x:f>
        <x:v>-0.6478873239436619</x:v>
      </x:c>
      <x:c r="AD882" t="str">
        <x:f>IF(AA882="","NO STANDARD",IF(AC882&lt;=Config_Status!$B$2,"EFFICIENT",IF(AC882&lt;=Config_Status!$B$3,"NORMAL",IF(AC882&lt;=Config_Status!$B$4,"WARNING","OVER CONSUMPTION"))))</x:f>
        <x:v>EFFICIENT</x:v>
      </x:c>
      <x:c r="AE882" t="str">
        <x:f>IFERROR(VLOOKUP(G882,Master_Unit!$A$2:$N$78,13,FALSE),"UNIT NOT FOUND")</x:f>
        <x:v>Matched</x:v>
      </x:c>
    </x:row>
    <x:row r="883">
      <x:c r="A883" s="12" t="str">
        <x:v>FU-20260614-00882</x:v>
      </x:c>
      <x:c r="B883" s="12" t="n">
        <x:v>1012</x:v>
      </x:c>
      <x:c r="C883" s="14" t="n">
        <x:v>46187</x:v>
      </x:c>
      <x:c r="D883" s="12" t="str">
        <x:v>Minggu</x:v>
      </x:c>
      <x:c r="E883" s="12" t="str">
        <x:v>12:49:00</x:v>
      </x:c>
      <x:c r="F883" s="12" t="str">
        <x:v>All Shift Day</x:v>
      </x:c>
      <x:c r="G883" s="12" t="str">
        <x:v>EXVV21G038</x:v>
      </x:c>
      <x:c r="H883" s="12" t="str">
        <x:v>Excavator</x:v>
      </x:c>
      <x:c r="I883" s="12" t="str">
        <x:v>EXCAVATOR VOLVO EC210D</x:v>
      </x:c>
      <x:c r="J883" s="16" t="n">
        <x:v>161</x:v>
      </x:c>
      <x:c r="K883" s="16" t="n">
        <x:v>4251.4</x:v>
      </x:c>
      <x:c r="L883" s="16" t="n">
        <x:v>4265.6</x:v>
      </x:c>
      <x:c r="M883" s="16" t="n">
        <x:v>14.200000000000728</x:v>
      </x:c>
      <x:c r="N883" s="16" t="n">
        <x:v>11.338028169013503</x:v>
      </x:c>
      <x:c r="O883" s="12" t="str">
        <x:v>FTRL44G004</x:v>
      </x:c>
      <x:c r="P883" s="12" t="str">
        <x:v>EXVV21G038</x:v>
      </x:c>
      <x:c r="Q883" s="12" t="str"/>
      <x:c r="R883" s="12" t="str"/>
      <x:c r="S883" s="12" t="str"/>
      <x:c r="T883" s="12" t="str">
        <x:v>ABM</x:v>
      </x:c>
      <x:c r="U883" s="12" t="str"/>
      <x:c r="V883" s="12" t="str"/>
      <x:c r="W883" s="12" t="str"/>
      <x:c r="X883" s="12" t="str">
        <x:v>EXVV21</x:v>
      </x:c>
      <x:c r="Y883" s="12" t="str">
        <x:v>RAFIF &amp; YOGI</x:v>
      </x:c>
      <x:c r="Z883" s="12" t="str">
        <x:v>COAL HAULING</x:v>
      </x:c>
      <x:c r="AA883" s="32" t="n">
        <x:f>IFERROR(VLOOKUP(G883,Master_Unit!$A$2:$N$78,7,FALSE),"")</x:f>
        <x:v>20</x:v>
      </x:c>
      <x:c r="AB883" s="32" t="n">
        <x:f>IF(OR(N883="",AA883=""),"",N883-AA883)</x:f>
        <x:v>-8.661971830986497</x:v>
      </x:c>
      <x:c r="AC883" s="20" t="n">
        <x:f>IF(OR(N883="",AA883="",AA883=0),"",AB883/AA883)</x:f>
        <x:v>-0.43309859154932484</x:v>
      </x:c>
      <x:c r="AD883" t="str">
        <x:f>IF(AA883="","NO STANDARD",IF(AC883&lt;=Config_Status!$B$2,"EFFICIENT",IF(AC883&lt;=Config_Status!$B$3,"NORMAL",IF(AC883&lt;=Config_Status!$B$4,"WARNING","OVER CONSUMPTION"))))</x:f>
        <x:v>EFFICIENT</x:v>
      </x:c>
      <x:c r="AE883" t="str">
        <x:f>IFERROR(VLOOKUP(G883,Master_Unit!$A$2:$N$78,13,FALSE),"UNIT NOT FOUND")</x:f>
        <x:v>Matched</x:v>
      </x:c>
    </x:row>
    <x:row r="884">
      <x:c r="A884" s="12" t="str">
        <x:v>FU-20260614-00883</x:v>
      </x:c>
      <x:c r="B884" s="12" t="n">
        <x:v>1013</x:v>
      </x:c>
      <x:c r="C884" s="14" t="n">
        <x:v>46187</x:v>
      </x:c>
      <x:c r="D884" s="12" t="str">
        <x:v>Minggu</x:v>
      </x:c>
      <x:c r="E884" s="12" t="str">
        <x:v>13:51:00</x:v>
      </x:c>
      <x:c r="F884" s="12" t="str">
        <x:v>All Shift Day</x:v>
      </x:c>
      <x:c r="G884" s="12" t="str">
        <x:v>STRL44G152</x:v>
      </x:c>
      <x:c r="H884" s="12" t="str">
        <x:v>Dump Truck</x:v>
      </x:c>
      <x:c r="I884" s="12" t="str">
        <x:v>DUMP TRUCK RENAULT KRANGE440-P6X4 A/T</x:v>
      </x:c>
      <x:c r="J884" s="16" t="n">
        <x:v>85</x:v>
      </x:c>
      <x:c r="K884" s="16" t="n">
        <x:v>3743</x:v>
      </x:c>
      <x:c r="L884" s="16" t="n">
        <x:v>3748</x:v>
      </x:c>
      <x:c r="M884" s="16" t="n">
        <x:v>5</x:v>
      </x:c>
      <x:c r="N884" s="16" t="n">
        <x:v>17</x:v>
      </x:c>
      <x:c r="O884" s="12" t="str">
        <x:v>FTRL44G004</x:v>
      </x:c>
      <x:c r="P884" s="12" t="str">
        <x:v>STRL44G152</x:v>
      </x:c>
      <x:c r="Q884" s="12" t="str"/>
      <x:c r="R884" s="12" t="str"/>
      <x:c r="S884" s="12" t="str"/>
      <x:c r="T884" s="12" t="str">
        <x:v>ABM</x:v>
      </x:c>
      <x:c r="U884" s="12" t="str"/>
      <x:c r="V884" s="12" t="str"/>
      <x:c r="W884" s="12" t="str"/>
      <x:c r="X884" s="12" t="str">
        <x:v>STRL44</x:v>
      </x:c>
      <x:c r="Y884" s="12" t="str">
        <x:v>RAFIF &amp; YOGI</x:v>
      </x:c>
      <x:c r="Z884" s="12" t="str">
        <x:v>SUPPORT</x:v>
      </x:c>
      <x:c r="AA884" s="32" t="n">
        <x:f>IFERROR(VLOOKUP(G884,Master_Unit!$A$2:$N$78,7,FALSE),"")</x:f>
        <x:v>20</x:v>
      </x:c>
      <x:c r="AB884" s="32" t="n">
        <x:f>IF(OR(N884="",AA884=""),"",N884-AA884)</x:f>
        <x:v>-3</x:v>
      </x:c>
      <x:c r="AC884" s="20" t="n">
        <x:f>IF(OR(N884="",AA884="",AA884=0),"",AB884/AA884)</x:f>
        <x:v>-0.15</x:v>
      </x:c>
      <x:c r="AD884" t="str">
        <x:f>IF(AA884="","NO STANDARD",IF(AC884&lt;=Config_Status!$B$2,"EFFICIENT",IF(AC884&lt;=Config_Status!$B$3,"NORMAL",IF(AC884&lt;=Config_Status!$B$4,"WARNING","OVER CONSUMPTION"))))</x:f>
        <x:v>EFFICIENT</x:v>
      </x:c>
      <x:c r="AE884" t="str">
        <x:f>IFERROR(VLOOKUP(G884,Master_Unit!$A$2:$N$78,13,FALSE),"UNIT NOT FOUND")</x:f>
        <x:v>Matched</x:v>
      </x:c>
    </x:row>
    <x:row r="885">
      <x:c r="A885" s="12" t="str">
        <x:v>FU-20260614-00884</x:v>
      </x:c>
      <x:c r="B885" s="12" t="n">
        <x:v>1014</x:v>
      </x:c>
      <x:c r="C885" s="14" t="n">
        <x:v>46187</x:v>
      </x:c>
      <x:c r="D885" s="12" t="str">
        <x:v>Minggu</x:v>
      </x:c>
      <x:c r="E885" s="12" t="str">
        <x:v>14:18:00</x:v>
      </x:c>
      <x:c r="F885" s="12" t="str">
        <x:v>All Shift Day</x:v>
      </x:c>
      <x:c r="G885" s="12" t="str">
        <x:v>LVTH24R033</x:v>
      </x:c>
      <x:c r="H885" s="12" t="str">
        <x:v>Light Vehicle</x:v>
      </x:c>
      <x:c r="I885" s="12" t="str">
        <x:v>LIGHT VEHICLE TOYOTA HILUX</x:v>
      </x:c>
      <x:c r="J885" s="16" t="n">
        <x:v>31</x:v>
      </x:c>
      <x:c r="K885" s="16" t="n">
        <x:v>139575</x:v>
      </x:c>
      <x:c r="L885" s="16" t="n">
        <x:v>139670</x:v>
      </x:c>
      <x:c r="M885" s="16" t="n">
        <x:v>95</x:v>
      </x:c>
      <x:c r="N885" s="16" t="n">
        <x:v>0.3263157894736842</x:v>
      </x:c>
      <x:c r="O885" s="12" t="str">
        <x:v>FTRL44G004</x:v>
      </x:c>
      <x:c r="P885" s="12" t="str">
        <x:v>LVTH24R033</x:v>
      </x:c>
      <x:c r="Q885" s="12" t="str"/>
      <x:c r="R885" s="12" t="str"/>
      <x:c r="S885" s="12" t="str"/>
      <x:c r="T885" s="12" t="str">
        <x:v>ABM</x:v>
      </x:c>
      <x:c r="U885" s="12" t="str"/>
      <x:c r="V885" s="12" t="str"/>
      <x:c r="W885" s="12" t="str"/>
      <x:c r="X885" s="12" t="str">
        <x:v>LVTH24</x:v>
      </x:c>
      <x:c r="Y885" s="12" t="str">
        <x:v>RAFIF &amp; YOGI</x:v>
      </x:c>
      <x:c r="Z885" s="12" t="str">
        <x:v>ETO</x:v>
      </x:c>
      <x:c r="AA885" s="32" t="n">
        <x:f>IFERROR(VLOOKUP(G885,Master_Unit!$A$2:$N$78,7,FALSE),"")</x:f>
        <x:v>0.2</x:v>
      </x:c>
      <x:c r="AB885" s="32" t="n">
        <x:f>IF(OR(N885="",AA885=""),"",N885-AA885)</x:f>
        <x:v>0.12631578947368421</x:v>
      </x:c>
      <x:c r="AC885" s="20" t="n">
        <x:f>IF(OR(N885="",AA885="",AA885=0),"",AB885/AA885)</x:f>
        <x:v>0.631578947368421</x:v>
      </x:c>
      <x:c r="AD885" t="str">
        <x:f>IF(AA885="","NO STANDARD",IF(AC885&lt;=Config_Status!$B$2,"EFFICIENT",IF(AC885&lt;=Config_Status!$B$3,"NORMAL",IF(AC885&lt;=Config_Status!$B$4,"WARNING","OVER CONSUMPTION"))))</x:f>
        <x:v>OVER CONSUMPTION</x:v>
      </x:c>
      <x:c r="AE885" t="str">
        <x:f>IFERROR(VLOOKUP(G885,Master_Unit!$A$2:$N$78,13,FALSE),"UNIT NOT FOUND")</x:f>
        <x:v>Matched</x:v>
      </x:c>
    </x:row>
    <x:row r="886">
      <x:c r="A886" s="12" t="str">
        <x:v>FU-20260614-00885</x:v>
      </x:c>
      <x:c r="B886" s="12" t="n">
        <x:v>1015</x:v>
      </x:c>
      <x:c r="C886" s="14" t="n">
        <x:v>46187</x:v>
      </x:c>
      <x:c r="D886" s="12" t="str">
        <x:v>Minggu</x:v>
      </x:c>
      <x:c r="E886" s="12" t="str">
        <x:v>14:29:00</x:v>
      </x:c>
      <x:c r="F886" s="12" t="str">
        <x:v>All Shift Day</x:v>
      </x:c>
      <x:c r="G886" s="12" t="str">
        <x:v>STRL44G151</x:v>
      </x:c>
      <x:c r="H886" s="12" t="str">
        <x:v>Dump Truck</x:v>
      </x:c>
      <x:c r="I886" s="12" t="str">
        <x:v>DUMP TRUCK RENAULT KRANGE440-P6X4 A/T</x:v>
      </x:c>
      <x:c r="J886" s="16" t="n">
        <x:v>56</x:v>
      </x:c>
      <x:c r="K886" s="16" t="n">
        <x:v>4443</x:v>
      </x:c>
      <x:c r="L886" s="16" t="n">
        <x:v>4445</x:v>
      </x:c>
      <x:c r="M886" s="16" t="n">
        <x:v>2</x:v>
      </x:c>
      <x:c r="N886" s="16" t="n">
        <x:v>28</x:v>
      </x:c>
      <x:c r="O886" s="12" t="str">
        <x:v>FTRL44G004</x:v>
      </x:c>
      <x:c r="P886" s="12" t="str">
        <x:v>STRL44G151</x:v>
      </x:c>
      <x:c r="Q886" s="12" t="str"/>
      <x:c r="R886" s="12" t="str"/>
      <x:c r="S886" s="12" t="str"/>
      <x:c r="T886" s="12" t="str">
        <x:v>ABM</x:v>
      </x:c>
      <x:c r="U886" s="12" t="str"/>
      <x:c r="V886" s="12" t="str"/>
      <x:c r="W886" s="12" t="str"/>
      <x:c r="X886" s="12" t="str">
        <x:v>STRL44</x:v>
      </x:c>
      <x:c r="Y886" s="12" t="str">
        <x:v>RAFIF &amp; YOGI</x:v>
      </x:c>
      <x:c r="Z886" s="12" t="str">
        <x:v>ETO</x:v>
      </x:c>
      <x:c r="AA886" s="32" t="n">
        <x:f>IFERROR(VLOOKUP(G886,Master_Unit!$A$2:$N$78,7,FALSE),"")</x:f>
        <x:v>20</x:v>
      </x:c>
      <x:c r="AB886" s="32" t="n">
        <x:f>IF(OR(N886="",AA886=""),"",N886-AA886)</x:f>
        <x:v>8</x:v>
      </x:c>
      <x:c r="AC886" s="20" t="n">
        <x:f>IF(OR(N886="",AA886="",AA886=0),"",AB886/AA886)</x:f>
        <x:v>0.4</x:v>
      </x:c>
      <x:c r="AD886" t="str">
        <x:f>IF(AA886="","NO STANDARD",IF(AC886&lt;=Config_Status!$B$2,"EFFICIENT",IF(AC886&lt;=Config_Status!$B$3,"NORMAL",IF(AC886&lt;=Config_Status!$B$4,"WARNING","OVER CONSUMPTION"))))</x:f>
        <x:v>OVER CONSUMPTION</x:v>
      </x:c>
      <x:c r="AE886" t="str">
        <x:f>IFERROR(VLOOKUP(G886,Master_Unit!$A$2:$N$78,13,FALSE),"UNIT NOT FOUND")</x:f>
        <x:v>Matched</x:v>
      </x:c>
    </x:row>
    <x:row r="887">
      <x:c r="A887" s="12" t="str">
        <x:v>FU-20260614-00886</x:v>
      </x:c>
      <x:c r="B887" s="12" t="n">
        <x:v>1016</x:v>
      </x:c>
      <x:c r="C887" s="14" t="n">
        <x:v>46187</x:v>
      </x:c>
      <x:c r="D887" s="12" t="str">
        <x:v>Minggu</x:v>
      </x:c>
      <x:c r="E887" s="12" t="str">
        <x:v>14:43:00</x:v>
      </x:c>
      <x:c r="F887" s="12" t="str">
        <x:v>All Shift Day</x:v>
      </x:c>
      <x:c r="G887" s="12" t="str">
        <x:v>STRL44G145</x:v>
      </x:c>
      <x:c r="H887" s="12" t="str">
        <x:v>Dump Truck</x:v>
      </x:c>
      <x:c r="I887" s="12" t="str">
        <x:v>DUMP TRUCK RENAULT KRANGE440-P6X4 A/T</x:v>
      </x:c>
      <x:c r="J887" s="16" t="n">
        <x:v>63</x:v>
      </x:c>
      <x:c r="K887" s="16" t="n">
        <x:v>4993</x:v>
      </x:c>
      <x:c r="L887" s="16" t="n">
        <x:v>4996</x:v>
      </x:c>
      <x:c r="M887" s="16" t="n">
        <x:v>3</x:v>
      </x:c>
      <x:c r="N887" s="16" t="n">
        <x:v>21</x:v>
      </x:c>
      <x:c r="O887" s="12" t="str">
        <x:v>FTRL44G004</x:v>
      </x:c>
      <x:c r="P887" s="12" t="str">
        <x:v>STRL44G145</x:v>
      </x:c>
      <x:c r="Q887" s="12" t="str"/>
      <x:c r="R887" s="12" t="str"/>
      <x:c r="S887" s="12" t="str"/>
      <x:c r="T887" s="12" t="str">
        <x:v>ABM</x:v>
      </x:c>
      <x:c r="U887" s="12" t="str"/>
      <x:c r="V887" s="12" t="str"/>
      <x:c r="W887" s="12" t="str"/>
      <x:c r="X887" s="12" t="str">
        <x:v>STRL44</x:v>
      </x:c>
      <x:c r="Y887" s="12" t="str">
        <x:v>RAFIF &amp; YOGI</x:v>
      </x:c>
      <x:c r="Z887" s="12" t="str">
        <x:v>ETO</x:v>
      </x:c>
      <x:c r="AA887" s="32" t="n">
        <x:f>IFERROR(VLOOKUP(G887,Master_Unit!$A$2:$N$78,7,FALSE),"")</x:f>
        <x:v>20</x:v>
      </x:c>
      <x:c r="AB887" s="32" t="n">
        <x:f>IF(OR(N887="",AA887=""),"",N887-AA887)</x:f>
        <x:v>1</x:v>
      </x:c>
      <x:c r="AC887" s="20" t="n">
        <x:f>IF(OR(N887="",AA887="",AA887=0),"",AB887/AA887)</x:f>
        <x:v>0.05</x:v>
      </x:c>
      <x:c r="AD887" t="str">
        <x:f>IF(AA887="","NO STANDARD",IF(AC887&lt;=Config_Status!$B$2,"EFFICIENT",IF(AC887&lt;=Config_Status!$B$3,"NORMAL",IF(AC887&lt;=Config_Status!$B$4,"WARNING","OVER CONSUMPTION"))))</x:f>
        <x:v>NORMAL</x:v>
      </x:c>
      <x:c r="AE887" t="str">
        <x:f>IFERROR(VLOOKUP(G887,Master_Unit!$A$2:$N$78,13,FALSE),"UNIT NOT FOUND")</x:f>
        <x:v>Matched</x:v>
      </x:c>
    </x:row>
    <x:row r="888">
      <x:c r="A888" s="12" t="str">
        <x:v>FU-20260614-00887</x:v>
      </x:c>
      <x:c r="B888" s="12" t="n">
        <x:v>1017</x:v>
      </x:c>
      <x:c r="C888" s="14" t="n">
        <x:v>46187</x:v>
      </x:c>
      <x:c r="D888" s="12" t="str">
        <x:v>Minggu</x:v>
      </x:c>
      <x:c r="E888" s="12" t="str">
        <x:v>14:45:00</x:v>
      </x:c>
      <x:c r="F888" s="12" t="str">
        <x:v>All Shift Day</x:v>
      </x:c>
      <x:c r="G888" s="12" t="str">
        <x:v>FTRL44G004</x:v>
      </x:c>
      <x:c r="H888" s="12" t="str">
        <x:v>Fuel Truck</x:v>
      </x:c>
      <x:c r="I888" s="12" t="str">
        <x:v>FUEL TRUCK RENAULT KRANGE440-P6X4 A/T</x:v>
      </x:c>
      <x:c r="J888" s="16" t="n">
        <x:v>89</x:v>
      </x:c>
      <x:c r="K888" s="16" t="n">
        <x:v>3901</x:v>
      </x:c>
      <x:c r="L888" s="16" t="n">
        <x:v>3905</x:v>
      </x:c>
      <x:c r="M888" s="16" t="n">
        <x:v>4</x:v>
      </x:c>
      <x:c r="N888" s="16" t="n">
        <x:v>22.25</x:v>
      </x:c>
      <x:c r="O888" s="12" t="str">
        <x:v>FTRL44G004</x:v>
      </x:c>
      <x:c r="P888" s="12" t="str">
        <x:v>FTRL44G004</x:v>
      </x:c>
      <x:c r="Q888" s="12" t="str"/>
      <x:c r="R888" s="12" t="str"/>
      <x:c r="S888" s="12" t="str"/>
      <x:c r="T888" s="12" t="str">
        <x:v>ABM</x:v>
      </x:c>
      <x:c r="U888" s="12" t="str"/>
      <x:c r="V888" s="12" t="str"/>
      <x:c r="W888" s="12" t="str"/>
      <x:c r="X888" s="12" t="str">
        <x:v>FTRL44</x:v>
      </x:c>
      <x:c r="Y888" s="12" t="str">
        <x:v>RAFIF &amp; YOGI</x:v>
      </x:c>
      <x:c r="Z888" s="12" t="str">
        <x:v>PIT</x:v>
      </x:c>
      <x:c r="AA888" s="32" t="n">
        <x:f>IFERROR(VLOOKUP(G888,Master_Unit!$A$2:$N$78,7,FALSE),"")</x:f>
        <x:v>13</x:v>
      </x:c>
      <x:c r="AB888" s="32" t="n">
        <x:f>IF(OR(N888="",AA888=""),"",N888-AA888)</x:f>
        <x:v>9.25</x:v>
      </x:c>
      <x:c r="AC888" s="20" t="n">
        <x:f>IF(OR(N888="",AA888="",AA888=0),"",AB888/AA888)</x:f>
        <x:v>0.7115384615384616</x:v>
      </x:c>
      <x:c r="AD888" t="str">
        <x:f>IF(AA888="","NO STANDARD",IF(AC888&lt;=Config_Status!$B$2,"EFFICIENT",IF(AC888&lt;=Config_Status!$B$3,"NORMAL",IF(AC888&lt;=Config_Status!$B$4,"WARNING","OVER CONSUMPTION"))))</x:f>
        <x:v>OVER CONSUMPTION</x:v>
      </x:c>
      <x:c r="AE888" t="str">
        <x:f>IFERROR(VLOOKUP(G888,Master_Unit!$A$2:$N$78,13,FALSE),"UNIT NOT FOUND")</x:f>
        <x:v>Matched</x:v>
      </x:c>
    </x:row>
    <x:row r="889">
      <x:c r="A889" s="12" t="str">
        <x:v>FU-20260614-00888</x:v>
      </x:c>
      <x:c r="B889" s="12" t="n">
        <x:v>1018</x:v>
      </x:c>
      <x:c r="C889" s="14" t="n">
        <x:v>46187</x:v>
      </x:c>
      <x:c r="D889" s="12" t="str">
        <x:v>Minggu</x:v>
      </x:c>
      <x:c r="E889" s="12" t="str">
        <x:v>06:09:00</x:v>
      </x:c>
      <x:c r="F889" s="12" t="str">
        <x:v>All Shift Day</x:v>
      </x:c>
      <x:c r="G889" s="12" t="str">
        <x:v>GSHT40G002</x:v>
      </x:c>
      <x:c r="H889" s="12" t="str">
        <x:v>Genset</x:v>
      </x:c>
      <x:c r="I889" s="12" t="str">
        <x:v>GENSET HARTECH HT-400-V</x:v>
      </x:c>
      <x:c r="J889" s="16" t="n">
        <x:v>400</x:v>
      </x:c>
      <x:c r="K889" s="16" t="n">
        <x:v>14699.23</x:v>
      </x:c>
      <x:c r="L889" s="16" t="n">
        <x:v>14723</x:v>
      </x:c>
      <x:c r="M889" s="16" t="n">
        <x:v>23.770000000000437</x:v>
      </x:c>
      <x:c r="N889" s="16" t="n">
        <x:v>16.827934371055644</x:v>
      </x:c>
      <x:c r="O889" s="12" t="str">
        <x:v>FTRL44G005</x:v>
      </x:c>
      <x:c r="P889" s="12" t="str">
        <x:v>GSHT40G002</x:v>
      </x:c>
      <x:c r="Q889" s="12" t="str"/>
      <x:c r="R889" s="12" t="str"/>
      <x:c r="S889" s="12" t="str"/>
      <x:c r="T889" s="12" t="str">
        <x:v>ABM</x:v>
      </x:c>
      <x:c r="U889" s="12" t="str"/>
      <x:c r="V889" s="12" t="str"/>
      <x:c r="W889" s="12" t="str"/>
      <x:c r="X889" s="12" t="str">
        <x:v>GSHT40</x:v>
      </x:c>
      <x:c r="Y889" s="12" t="str">
        <x:v>BADRI &amp; KAMRAN</x:v>
      </x:c>
      <x:c r="Z889" s="12" t="str">
        <x:v>PIT</x:v>
      </x:c>
      <x:c r="AA889" s="32" t="n">
        <x:f>IFERROR(VLOOKUP(G889,Master_Unit!$A$2:$N$78,7,FALSE),"")</x:f>
        <x:v>25</x:v>
      </x:c>
      <x:c r="AB889" s="32" t="n">
        <x:f>IF(OR(N889="",AA889=""),"",N889-AA889)</x:f>
        <x:v>-8.172065628944356</x:v>
      </x:c>
      <x:c r="AC889" s="20" t="n">
        <x:f>IF(OR(N889="",AA889="",AA889=0),"",AB889/AA889)</x:f>
        <x:v>-0.3268826251577742</x:v>
      </x:c>
      <x:c r="AD889" t="str">
        <x:f>IF(AA889="","NO STANDARD",IF(AC889&lt;=Config_Status!$B$2,"EFFICIENT",IF(AC889&lt;=Config_Status!$B$3,"NORMAL",IF(AC889&lt;=Config_Status!$B$4,"WARNING","OVER CONSUMPTION"))))</x:f>
        <x:v>EFFICIENT</x:v>
      </x:c>
      <x:c r="AE889" t="str">
        <x:f>IFERROR(VLOOKUP(G889,Master_Unit!$A$2:$N$78,13,FALSE),"UNIT NOT FOUND")</x:f>
        <x:v>Matched</x:v>
      </x:c>
    </x:row>
    <x:row r="890">
      <x:c r="A890" s="12" t="str">
        <x:v>FU-20260614-00889</x:v>
      </x:c>
      <x:c r="B890" s="12" t="n">
        <x:v>1019</x:v>
      </x:c>
      <x:c r="C890" s="14" t="n">
        <x:v>46187</x:v>
      </x:c>
      <x:c r="D890" s="12" t="str">
        <x:v>Minggu</x:v>
      </x:c>
      <x:c r="E890" s="12" t="str">
        <x:v>06:30:00</x:v>
      </x:c>
      <x:c r="F890" s="12" t="str">
        <x:v>All Shift Day</x:v>
      </x:c>
      <x:c r="G890" s="12" t="str">
        <x:v>LVTH24R026</x:v>
      </x:c>
      <x:c r="H890" s="12" t="str">
        <x:v>Light Vehicle</x:v>
      </x:c>
      <x:c r="I890" s="12" t="str">
        <x:v>LIGHT VEHICLE TOYOTA HILUX</x:v>
      </x:c>
      <x:c r="J890" s="16" t="n">
        <x:v>20</x:v>
      </x:c>
      <x:c r="K890" s="16" t="n">
        <x:v>59691</x:v>
      </x:c>
      <x:c r="L890" s="16" t="n">
        <x:v>59760</x:v>
      </x:c>
      <x:c r="M890" s="16" t="n">
        <x:v>69</x:v>
      </x:c>
      <x:c r="N890" s="16" t="n">
        <x:v>0.2898550724637681</x:v>
      </x:c>
      <x:c r="O890" s="12" t="str">
        <x:v>FTRL44G005</x:v>
      </x:c>
      <x:c r="P890" s="12" t="str">
        <x:v>LVTH24R026</x:v>
      </x:c>
      <x:c r="Q890" s="12" t="str"/>
      <x:c r="R890" s="12" t="str"/>
      <x:c r="S890" s="12" t="str"/>
      <x:c r="T890" s="12" t="str">
        <x:v>ABM</x:v>
      </x:c>
      <x:c r="U890" s="12" t="str"/>
      <x:c r="V890" s="12" t="str"/>
      <x:c r="W890" s="12" t="str"/>
      <x:c r="X890" s="12" t="str">
        <x:v>LVTH24</x:v>
      </x:c>
      <x:c r="Y890" s="12" t="str">
        <x:v>BADRI &amp; KAMRAN</x:v>
      </x:c>
      <x:c r="Z890" s="12" t="str">
        <x:v>PIT</x:v>
      </x:c>
      <x:c r="AA890" s="32" t="n">
        <x:f>IFERROR(VLOOKUP(G890,Master_Unit!$A$2:$N$78,7,FALSE),"")</x:f>
        <x:v>0.2</x:v>
      </x:c>
      <x:c r="AB890" s="32" t="n">
        <x:f>IF(OR(N890="",AA890=""),"",N890-AA890)</x:f>
        <x:v>0.08985507246376812</x:v>
      </x:c>
      <x:c r="AC890" s="20" t="n">
        <x:f>IF(OR(N890="",AA890="",AA890=0),"",AB890/AA890)</x:f>
        <x:v>0.4492753623188406</x:v>
      </x:c>
      <x:c r="AD890" t="str">
        <x:f>IF(AA890="","NO STANDARD",IF(AC890&lt;=Config_Status!$B$2,"EFFICIENT",IF(AC890&lt;=Config_Status!$B$3,"NORMAL",IF(AC890&lt;=Config_Status!$B$4,"WARNING","OVER CONSUMPTION"))))</x:f>
        <x:v>OVER CONSUMPTION</x:v>
      </x:c>
      <x:c r="AE890" t="str">
        <x:f>IFERROR(VLOOKUP(G890,Master_Unit!$A$2:$N$78,13,FALSE),"UNIT NOT FOUND")</x:f>
        <x:v>Matched</x:v>
      </x:c>
    </x:row>
    <x:row r="891">
      <x:c r="A891" s="12" t="str">
        <x:v>FU-20260614-00890</x:v>
      </x:c>
      <x:c r="B891" s="12" t="n">
        <x:v>1020</x:v>
      </x:c>
      <x:c r="C891" s="14" t="n">
        <x:v>46187</x:v>
      </x:c>
      <x:c r="D891" s="12" t="str">
        <x:v>Minggu</x:v>
      </x:c>
      <x:c r="E891" s="12" t="str">
        <x:v>06:33:00</x:v>
      </x:c>
      <x:c r="F891" s="12" t="str">
        <x:v>All Shift Day</x:v>
      </x:c>
      <x:c r="G891" s="12" t="str">
        <x:v>LVTH24R024</x:v>
      </x:c>
      <x:c r="H891" s="12" t="str">
        <x:v>Light Vehicle</x:v>
      </x:c>
      <x:c r="I891" s="12" t="str">
        <x:v>LIGHT VEHICLE TOYOTA HILUX</x:v>
      </x:c>
      <x:c r="J891" s="16" t="n">
        <x:v>20</x:v>
      </x:c>
      <x:c r="K891" s="16" t="n">
        <x:v>46700</x:v>
      </x:c>
      <x:c r="L891" s="16" t="n">
        <x:v>46733</x:v>
      </x:c>
      <x:c r="M891" s="16" t="n">
        <x:v>33</x:v>
      </x:c>
      <x:c r="N891" s="16" t="n">
        <x:v>0.6060606060606061</x:v>
      </x:c>
      <x:c r="O891" s="12" t="str">
        <x:v>FTRL44G005</x:v>
      </x:c>
      <x:c r="P891" s="12" t="str">
        <x:v>LVTH24R024</x:v>
      </x:c>
      <x:c r="Q891" s="12" t="str"/>
      <x:c r="R891" s="12" t="str"/>
      <x:c r="S891" s="12" t="str"/>
      <x:c r="T891" s="12" t="str">
        <x:v>ABM</x:v>
      </x:c>
      <x:c r="U891" s="12" t="str"/>
      <x:c r="V891" s="12" t="str"/>
      <x:c r="W891" s="12" t="str"/>
      <x:c r="X891" s="12" t="str">
        <x:v>LVTH24</x:v>
      </x:c>
      <x:c r="Y891" s="12" t="str">
        <x:v>BADRI &amp; KAMRAN</x:v>
      </x:c>
      <x:c r="Z891" s="12" t="str">
        <x:v>PIT</x:v>
      </x:c>
      <x:c r="AA891" s="32" t="n">
        <x:f>IFERROR(VLOOKUP(G891,Master_Unit!$A$2:$N$78,7,FALSE),"")</x:f>
        <x:v>0.2</x:v>
      </x:c>
      <x:c r="AB891" s="32" t="n">
        <x:f>IF(OR(N891="",AA891=""),"",N891-AA891)</x:f>
        <x:v>0.40606060606060607</x:v>
      </x:c>
      <x:c r="AC891" s="20" t="n">
        <x:f>IF(OR(N891="",AA891="",AA891=0),"",AB891/AA891)</x:f>
        <x:v>2.0303030303030303</x:v>
      </x:c>
      <x:c r="AD891" t="str">
        <x:f>IF(AA891="","NO STANDARD",IF(AC891&lt;=Config_Status!$B$2,"EFFICIENT",IF(AC891&lt;=Config_Status!$B$3,"NORMAL",IF(AC891&lt;=Config_Status!$B$4,"WARNING","OVER CONSUMPTION"))))</x:f>
        <x:v>OVER CONSUMPTION</x:v>
      </x:c>
      <x:c r="AE891" t="str">
        <x:f>IFERROR(VLOOKUP(G891,Master_Unit!$A$2:$N$78,13,FALSE),"UNIT NOT FOUND")</x:f>
        <x:v>Matched</x:v>
      </x:c>
    </x:row>
    <x:row r="892">
      <x:c r="A892" s="12" t="str">
        <x:v>FU-20260614-00891</x:v>
      </x:c>
      <x:c r="B892" s="12" t="n">
        <x:v>1021</x:v>
      </x:c>
      <x:c r="C892" s="14" t="n">
        <x:v>46187</x:v>
      </x:c>
      <x:c r="D892" s="12" t="str">
        <x:v>Minggu</x:v>
      </x:c>
      <x:c r="E892" s="12" t="str">
        <x:v>08:26:00</x:v>
      </x:c>
      <x:c r="F892" s="12" t="str">
        <x:v>All Shift Day</x:v>
      </x:c>
      <x:c r="G892" s="12" t="str">
        <x:v>SLRL48G001</x:v>
      </x:c>
      <x:c r="H892" s="12" t="str">
        <x:v>Self Loader</x:v>
      </x:c>
      <x:c r="I892" s="12" t="str">
        <x:v>SELF LOADER RENAULT KRANGE480-P8X4 A/T</x:v>
      </x:c>
      <x:c r="J892" s="16" t="n">
        <x:v>40</x:v>
      </x:c>
      <x:c r="K892" s="16" t="n">
        <x:v>175</x:v>
      </x:c>
      <x:c r="L892" s="16" t="n">
        <x:v>178</x:v>
      </x:c>
      <x:c r="M892" s="16" t="n">
        <x:v>3</x:v>
      </x:c>
      <x:c r="N892" s="16" t="n">
        <x:v>13.333333333333334</x:v>
      </x:c>
      <x:c r="O892" s="12" t="str">
        <x:v>FTRL44G005</x:v>
      </x:c>
      <x:c r="P892" s="12" t="str">
        <x:v>SLRL48G001</x:v>
      </x:c>
      <x:c r="Q892" s="12" t="str"/>
      <x:c r="R892" s="12" t="str"/>
      <x:c r="S892" s="12" t="str"/>
      <x:c r="T892" s="12" t="str">
        <x:v>ABM</x:v>
      </x:c>
      <x:c r="U892" s="12" t="str"/>
      <x:c r="V892" s="12" t="str"/>
      <x:c r="W892" s="12" t="str"/>
      <x:c r="X892" s="12" t="str">
        <x:v>SLRL48</x:v>
      </x:c>
      <x:c r="Y892" s="12" t="str">
        <x:v>BADRI &amp; KAMRAN</x:v>
      </x:c>
      <x:c r="Z892" s="12" t="str">
        <x:v>PIT</x:v>
      </x:c>
      <x:c r="AA892" s="32" t="n">
        <x:f>IFERROR(VLOOKUP(G892,Master_Unit!$A$2:$N$78,7,FALSE),"")</x:f>
        <x:v>20</x:v>
      </x:c>
      <x:c r="AB892" s="32" t="n">
        <x:f>IF(OR(N892="",AA892=""),"",N892-AA892)</x:f>
        <x:v>-6.666666666666666</x:v>
      </x:c>
      <x:c r="AC892" s="20" t="n">
        <x:f>IF(OR(N892="",AA892="",AA892=0),"",AB892/AA892)</x:f>
        <x:v>-0.3333333333333333</x:v>
      </x:c>
      <x:c r="AD892" t="str">
        <x:f>IF(AA892="","NO STANDARD",IF(AC892&lt;=Config_Status!$B$2,"EFFICIENT",IF(AC892&lt;=Config_Status!$B$3,"NORMAL",IF(AC892&lt;=Config_Status!$B$4,"WARNING","OVER CONSUMPTION"))))</x:f>
        <x:v>EFFICIENT</x:v>
      </x:c>
      <x:c r="AE892" t="str">
        <x:f>IFERROR(VLOOKUP(G892,Master_Unit!$A$2:$N$78,13,FALSE),"UNIT NOT FOUND")</x:f>
        <x:v>Matched</x:v>
      </x:c>
    </x:row>
    <x:row r="893">
      <x:c r="A893" s="12" t="str">
        <x:v>FU-20260614-00892</x:v>
      </x:c>
      <x:c r="B893" s="12" t="n">
        <x:v>1022</x:v>
      </x:c>
      <x:c r="C893" s="14" t="n">
        <x:v>46187</x:v>
      </x:c>
      <x:c r="D893" s="12" t="str">
        <x:v>Minggu</x:v>
      </x:c>
      <x:c r="E893" s="12" t="str">
        <x:v>08:32:00</x:v>
      </x:c>
      <x:c r="F893" s="12" t="str">
        <x:v>All Shift Day</x:v>
      </x:c>
      <x:c r="G893" s="12" t="str">
        <x:v>LVTH24R035</x:v>
      </x:c>
      <x:c r="H893" s="12" t="str">
        <x:v>Light Vehicle</x:v>
      </x:c>
      <x:c r="I893" s="12" t="str">
        <x:v>LIGHT VEHICLE TOYOTA HILUX</x:v>
      </x:c>
      <x:c r="J893" s="16" t="n">
        <x:v>21</x:v>
      </x:c>
      <x:c r="K893" s="16" t="n">
        <x:v>70500</x:v>
      </x:c>
      <x:c r="L893" s="16" t="n">
        <x:v>70589</x:v>
      </x:c>
      <x:c r="M893" s="16" t="n">
        <x:v>89</x:v>
      </x:c>
      <x:c r="N893" s="16" t="n">
        <x:v>0.23595505617977527</x:v>
      </x:c>
      <x:c r="O893" s="12" t="str">
        <x:v>FTRL44G005</x:v>
      </x:c>
      <x:c r="P893" s="12" t="str">
        <x:v>LVTH24R035</x:v>
      </x:c>
      <x:c r="Q893" s="12" t="str"/>
      <x:c r="R893" s="12" t="str"/>
      <x:c r="S893" s="12" t="str"/>
      <x:c r="T893" s="12" t="str">
        <x:v>ABM</x:v>
      </x:c>
      <x:c r="U893" s="12" t="str"/>
      <x:c r="V893" s="12" t="str"/>
      <x:c r="W893" s="12" t="str"/>
      <x:c r="X893" s="12" t="str">
        <x:v>LVTH24</x:v>
      </x:c>
      <x:c r="Y893" s="12" t="str">
        <x:v>BADRI &amp; KAMRAN</x:v>
      </x:c>
      <x:c r="Z893" s="12" t="str">
        <x:v>PIT</x:v>
      </x:c>
      <x:c r="AA893" s="32" t="n">
        <x:f>IFERROR(VLOOKUP(G893,Master_Unit!$A$2:$N$78,7,FALSE),"")</x:f>
        <x:v>0.2</x:v>
      </x:c>
      <x:c r="AB893" s="32" t="n">
        <x:f>IF(OR(N893="",AA893=""),"",N893-AA893)</x:f>
        <x:v>0.03595505617977526</x:v>
      </x:c>
      <x:c r="AC893" s="20" t="n">
        <x:f>IF(OR(N893="",AA893="",AA893=0),"",AB893/AA893)</x:f>
        <x:v>0.17977528089887632</x:v>
      </x:c>
      <x:c r="AD893" t="str">
        <x:f>IF(AA893="","NO STANDARD",IF(AC893&lt;=Config_Status!$B$2,"EFFICIENT",IF(AC893&lt;=Config_Status!$B$3,"NORMAL",IF(AC893&lt;=Config_Status!$B$4,"WARNING","OVER CONSUMPTION"))))</x:f>
        <x:v>WARNING</x:v>
      </x:c>
      <x:c r="AE893" t="str">
        <x:f>IFERROR(VLOOKUP(G893,Master_Unit!$A$2:$N$78,13,FALSE),"UNIT NOT FOUND")</x:f>
        <x:v>Matched</x:v>
      </x:c>
    </x:row>
    <x:row r="894">
      <x:c r="A894" s="12" t="str">
        <x:v>FU-20260614-00893</x:v>
      </x:c>
      <x:c r="B894" s="12" t="n">
        <x:v>1023</x:v>
      </x:c>
      <x:c r="C894" s="14" t="n">
        <x:v>46187</x:v>
      </x:c>
      <x:c r="D894" s="12" t="str">
        <x:v>Minggu</x:v>
      </x:c>
      <x:c r="E894" s="12" t="str">
        <x:v>08:34:00</x:v>
      </x:c>
      <x:c r="F894" s="12" t="str">
        <x:v>All Shift Day</x:v>
      </x:c>
      <x:c r="G894" s="12" t="str">
        <x:v>LVTH24R034</x:v>
      </x:c>
      <x:c r="H894" s="12" t="str">
        <x:v>Light Vehicle</x:v>
      </x:c>
      <x:c r="I894" s="12" t="str">
        <x:v>LIGHT VEHICLE TOYOTA HILUX</x:v>
      </x:c>
      <x:c r="J894" s="16" t="n">
        <x:v>30</x:v>
      </x:c>
      <x:c r="K894" s="16" t="n">
        <x:v>48777</x:v>
      </x:c>
      <x:c r="L894" s="16" t="n">
        <x:v>49177</x:v>
      </x:c>
      <x:c r="M894" s="16" t="n">
        <x:v>400</x:v>
      </x:c>
      <x:c r="N894" s="16" t="n">
        <x:v>0.075</x:v>
      </x:c>
      <x:c r="O894" s="12" t="str">
        <x:v>FTRL44G005</x:v>
      </x:c>
      <x:c r="P894" s="12" t="str">
        <x:v>LVTH24R034</x:v>
      </x:c>
      <x:c r="Q894" s="12" t="str"/>
      <x:c r="R894" s="12" t="str"/>
      <x:c r="S894" s="12" t="str"/>
      <x:c r="T894" s="12" t="str">
        <x:v>ABM</x:v>
      </x:c>
      <x:c r="U894" s="12" t="str"/>
      <x:c r="V894" s="12" t="str"/>
      <x:c r="W894" s="12" t="str"/>
      <x:c r="X894" s="12" t="str">
        <x:v>LVTH24</x:v>
      </x:c>
      <x:c r="Y894" s="12" t="str">
        <x:v>BADRI &amp; KAMRAN</x:v>
      </x:c>
      <x:c r="Z894" s="12" t="str">
        <x:v>PIT</x:v>
      </x:c>
      <x:c r="AA894" s="32" t="n">
        <x:f>IFERROR(VLOOKUP(G894,Master_Unit!$A$2:$N$78,7,FALSE),"")</x:f>
        <x:v>0.2</x:v>
      </x:c>
      <x:c r="AB894" s="32" t="n">
        <x:f>IF(OR(N894="",AA894=""),"",N894-AA894)</x:f>
        <x:v>-0.125</x:v>
      </x:c>
      <x:c r="AC894" s="20" t="n">
        <x:f>IF(OR(N894="",AA894="",AA894=0),"",AB894/AA894)</x:f>
        <x:v>-0.625</x:v>
      </x:c>
      <x:c r="AD894" t="str">
        <x:f>IF(AA894="","NO STANDARD",IF(AC894&lt;=Config_Status!$B$2,"EFFICIENT",IF(AC894&lt;=Config_Status!$B$3,"NORMAL",IF(AC894&lt;=Config_Status!$B$4,"WARNING","OVER CONSUMPTION"))))</x:f>
        <x:v>EFFICIENT</x:v>
      </x:c>
      <x:c r="AE894" t="str">
        <x:f>IFERROR(VLOOKUP(G894,Master_Unit!$A$2:$N$78,13,FALSE),"UNIT NOT FOUND")</x:f>
        <x:v>Matched</x:v>
      </x:c>
    </x:row>
    <x:row r="895">
      <x:c r="A895" s="12" t="str">
        <x:v>FU-20260614-00894</x:v>
      </x:c>
      <x:c r="B895" s="12" t="n">
        <x:v>1024</x:v>
      </x:c>
      <x:c r="C895" s="14" t="n">
        <x:v>46187</x:v>
      </x:c>
      <x:c r="D895" s="12" t="str">
        <x:v>Minggu</x:v>
      </x:c>
      <x:c r="E895" s="12" t="str">
        <x:v>08:54:00</x:v>
      </x:c>
      <x:c r="F895" s="12" t="str">
        <x:v>All Shift Day</x:v>
      </x:c>
      <x:c r="G895" s="12" t="str">
        <x:v>EXVV21G039</x:v>
      </x:c>
      <x:c r="H895" s="12" t="str">
        <x:v>Excavator</x:v>
      </x:c>
      <x:c r="I895" s="12" t="str">
        <x:v>EXCAVATOR VOLVO EC210D</x:v>
      </x:c>
      <x:c r="J895" s="16" t="n">
        <x:v>153</x:v>
      </x:c>
      <x:c r="K895" s="16" t="n">
        <x:v>6326.6</x:v>
      </x:c>
      <x:c r="L895" s="16" t="n">
        <x:v>6338.7</x:v>
      </x:c>
      <x:c r="M895" s="16" t="n">
        <x:v>12.099999999999454</x:v>
      </x:c>
      <x:c r="N895" s="16" t="n">
        <x:v>12.644628099174124</x:v>
      </x:c>
      <x:c r="O895" s="12" t="str">
        <x:v>FTRL44G005</x:v>
      </x:c>
      <x:c r="P895" s="12" t="str">
        <x:v>EXVV21G039</x:v>
      </x:c>
      <x:c r="Q895" s="12" t="str"/>
      <x:c r="R895" s="12" t="str"/>
      <x:c r="S895" s="12" t="str"/>
      <x:c r="T895" s="12" t="str">
        <x:v>ABM</x:v>
      </x:c>
      <x:c r="U895" s="12" t="str"/>
      <x:c r="V895" s="12" t="str"/>
      <x:c r="W895" s="12" t="str"/>
      <x:c r="X895" s="12" t="str">
        <x:v>EXVV21</x:v>
      </x:c>
      <x:c r="Y895" s="12" t="str">
        <x:v>BADRI &amp; KAMRAN</x:v>
      </x:c>
      <x:c r="Z895" s="12" t="str">
        <x:v>PIT</x:v>
      </x:c>
      <x:c r="AA895" s="32" t="n">
        <x:f>IFERROR(VLOOKUP(G895,Master_Unit!$A$2:$N$78,7,FALSE),"")</x:f>
        <x:v>20</x:v>
      </x:c>
      <x:c r="AB895" s="32" t="n">
        <x:f>IF(OR(N895="",AA895=""),"",N895-AA895)</x:f>
        <x:v>-7.355371900825876</x:v>
      </x:c>
      <x:c r="AC895" s="20" t="n">
        <x:f>IF(OR(N895="",AA895="",AA895=0),"",AB895/AA895)</x:f>
        <x:v>-0.3677685950412938</x:v>
      </x:c>
      <x:c r="AD895" t="str">
        <x:f>IF(AA895="","NO STANDARD",IF(AC895&lt;=Config_Status!$B$2,"EFFICIENT",IF(AC895&lt;=Config_Status!$B$3,"NORMAL",IF(AC895&lt;=Config_Status!$B$4,"WARNING","OVER CONSUMPTION"))))</x:f>
        <x:v>EFFICIENT</x:v>
      </x:c>
      <x:c r="AE895" t="str">
        <x:f>IFERROR(VLOOKUP(G895,Master_Unit!$A$2:$N$78,13,FALSE),"UNIT NOT FOUND")</x:f>
        <x:v>Matched</x:v>
      </x:c>
    </x:row>
    <x:row r="896">
      <x:c r="A896" s="12" t="str">
        <x:v>FU-20260614-00895</x:v>
      </x:c>
      <x:c r="B896" s="12" t="n">
        <x:v>1025</x:v>
      </x:c>
      <x:c r="C896" s="14" t="n">
        <x:v>46187</x:v>
      </x:c>
      <x:c r="D896" s="12" t="str">
        <x:v>Minggu</x:v>
      </x:c>
      <x:c r="E896" s="12" t="str">
        <x:v>08:58:00</x:v>
      </x:c>
      <x:c r="F896" s="12" t="str">
        <x:v>All Shift Day</x:v>
      </x:c>
      <x:c r="G896" s="12" t="str">
        <x:v>EXVV21G042</x:v>
      </x:c>
      <x:c r="H896" s="12" t="str">
        <x:v>Excavator</x:v>
      </x:c>
      <x:c r="I896" s="12" t="str">
        <x:v>EXCAVATOR VOLVO EC210D</x:v>
      </x:c>
      <x:c r="J896" s="16" t="n">
        <x:v>157</x:v>
      </x:c>
      <x:c r="K896" s="16" t="n">
        <x:v>7777.5</x:v>
      </x:c>
      <x:c r="L896" s="16" t="n">
        <x:v>7794.6</x:v>
      </x:c>
      <x:c r="M896" s="16" t="n">
        <x:v>17.100000000000364</x:v>
      </x:c>
      <x:c r="N896" s="16" t="n">
        <x:v>9.181286549707407</x:v>
      </x:c>
      <x:c r="O896" s="12" t="str">
        <x:v>FTRL44G005</x:v>
      </x:c>
      <x:c r="P896" s="12" t="str">
        <x:v>EXVV21G042</x:v>
      </x:c>
      <x:c r="Q896" s="12" t="str"/>
      <x:c r="R896" s="12" t="str"/>
      <x:c r="S896" s="12" t="str"/>
      <x:c r="T896" s="12" t="str">
        <x:v>ABM</x:v>
      </x:c>
      <x:c r="U896" s="12" t="str"/>
      <x:c r="V896" s="12" t="str"/>
      <x:c r="W896" s="12" t="str"/>
      <x:c r="X896" s="12" t="str">
        <x:v>EXVV21</x:v>
      </x:c>
      <x:c r="Y896" s="12" t="str">
        <x:v>BADRI &amp; KAMRAN</x:v>
      </x:c>
      <x:c r="Z896" s="12" t="str">
        <x:v>SUPPORT</x:v>
      </x:c>
      <x:c r="AA896" s="32" t="n">
        <x:f>IFERROR(VLOOKUP(G896,Master_Unit!$A$2:$N$78,7,FALSE),"")</x:f>
        <x:v>20</x:v>
      </x:c>
      <x:c r="AB896" s="32" t="n">
        <x:f>IF(OR(N896="",AA896=""),"",N896-AA896)</x:f>
        <x:v>-10.818713450292593</x:v>
      </x:c>
      <x:c r="AC896" s="20" t="n">
        <x:f>IF(OR(N896="",AA896="",AA896=0),"",AB896/AA896)</x:f>
        <x:v>-0.5409356725146297</x:v>
      </x:c>
      <x:c r="AD896" t="str">
        <x:f>IF(AA896="","NO STANDARD",IF(AC896&lt;=Config_Status!$B$2,"EFFICIENT",IF(AC896&lt;=Config_Status!$B$3,"NORMAL",IF(AC896&lt;=Config_Status!$B$4,"WARNING","OVER CONSUMPTION"))))</x:f>
        <x:v>EFFICIENT</x:v>
      </x:c>
      <x:c r="AE896" t="str">
        <x:f>IFERROR(VLOOKUP(G896,Master_Unit!$A$2:$N$78,13,FALSE),"UNIT NOT FOUND")</x:f>
        <x:v>Matched</x:v>
      </x:c>
    </x:row>
    <x:row r="897">
      <x:c r="A897" s="12" t="str">
        <x:v>FU-20260614-00896</x:v>
      </x:c>
      <x:c r="B897" s="12" t="n">
        <x:v>1026</x:v>
      </x:c>
      <x:c r="C897" s="14" t="n">
        <x:v>46187</x:v>
      </x:c>
      <x:c r="D897" s="12" t="str">
        <x:v>Minggu</x:v>
      </x:c>
      <x:c r="E897" s="12" t="str">
        <x:v>09:01:00</x:v>
      </x:c>
      <x:c r="F897" s="12" t="str">
        <x:v>All Shift Day</x:v>
      </x:c>
      <x:c r="G897" s="12" t="str">
        <x:v>EXVV21G032</x:v>
      </x:c>
      <x:c r="H897" s="12" t="str">
        <x:v>Excavator</x:v>
      </x:c>
      <x:c r="I897" s="12" t="str">
        <x:v>EXCAVATOR VOLVO EC210D</x:v>
      </x:c>
      <x:c r="J897" s="16" t="n">
        <x:v>154</x:v>
      </x:c>
      <x:c r="K897" s="16" t="n">
        <x:v>7556.6</x:v>
      </x:c>
      <x:c r="L897" s="16" t="n">
        <x:v>7566.9</x:v>
      </x:c>
      <x:c r="M897" s="16" t="n">
        <x:v>10.299999999999272</x:v>
      </x:c>
      <x:c r="N897" s="16" t="n">
        <x:v>14.951456310680667</x:v>
      </x:c>
      <x:c r="O897" s="12" t="str">
        <x:v>FTRL44G005</x:v>
      </x:c>
      <x:c r="P897" s="12" t="str">
        <x:v>EXVV21G032</x:v>
      </x:c>
      <x:c r="Q897" s="12" t="str"/>
      <x:c r="R897" s="12" t="str"/>
      <x:c r="S897" s="12" t="str"/>
      <x:c r="T897" s="12" t="str">
        <x:v>ABM</x:v>
      </x:c>
      <x:c r="U897" s="12" t="str"/>
      <x:c r="V897" s="12" t="str"/>
      <x:c r="W897" s="12" t="str"/>
      <x:c r="X897" s="12" t="str">
        <x:v>EXVV21</x:v>
      </x:c>
      <x:c r="Y897" s="12" t="str">
        <x:v>BADRI &amp; KAMRAN</x:v>
      </x:c>
      <x:c r="Z897" s="12" t="str">
        <x:v>PIT</x:v>
      </x:c>
      <x:c r="AA897" s="32" t="n">
        <x:f>IFERROR(VLOOKUP(G897,Master_Unit!$A$2:$N$78,7,FALSE),"")</x:f>
        <x:v>20</x:v>
      </x:c>
      <x:c r="AB897" s="32" t="n">
        <x:f>IF(OR(N897="",AA897=""),"",N897-AA897)</x:f>
        <x:v>-5.048543689319333</x:v>
      </x:c>
      <x:c r="AC897" s="20" t="n">
        <x:f>IF(OR(N897="",AA897="",AA897=0),"",AB897/AA897)</x:f>
        <x:v>-0.2524271844659666</x:v>
      </x:c>
      <x:c r="AD897" t="str">
        <x:f>IF(AA897="","NO STANDARD",IF(AC897&lt;=Config_Status!$B$2,"EFFICIENT",IF(AC897&lt;=Config_Status!$B$3,"NORMAL",IF(AC897&lt;=Config_Status!$B$4,"WARNING","OVER CONSUMPTION"))))</x:f>
        <x:v>EFFICIENT</x:v>
      </x:c>
      <x:c r="AE897" t="str">
        <x:f>IFERROR(VLOOKUP(G897,Master_Unit!$A$2:$N$78,13,FALSE),"UNIT NOT FOUND")</x:f>
        <x:v>Matched</x:v>
      </x:c>
    </x:row>
    <x:row r="898">
      <x:c r="A898" s="12" t="str">
        <x:v>FU-20260614-00897</x:v>
      </x:c>
      <x:c r="B898" s="12" t="n">
        <x:v>1027</x:v>
      </x:c>
      <x:c r="C898" s="14" t="n">
        <x:v>46187</x:v>
      </x:c>
      <x:c r="D898" s="12" t="str">
        <x:v>Minggu</x:v>
      </x:c>
      <x:c r="E898" s="12" t="str">
        <x:v>09:10:00</x:v>
      </x:c>
      <x:c r="F898" s="12" t="str">
        <x:v>All Shift Day</x:v>
      </x:c>
      <x:c r="G898" s="12" t="str">
        <x:v>EXVV21G043</x:v>
      </x:c>
      <x:c r="H898" s="12" t="str">
        <x:v>Excavator</x:v>
      </x:c>
      <x:c r="I898" s="12" t="str">
        <x:v>EXCAVATOR VOLVO EC210D</x:v>
      </x:c>
      <x:c r="J898" s="16" t="n">
        <x:v>125</x:v>
      </x:c>
      <x:c r="K898" s="16" t="n">
        <x:v>5364.8</x:v>
      </x:c>
      <x:c r="L898" s="16" t="n">
        <x:v>5373.5</x:v>
      </x:c>
      <x:c r="M898" s="16" t="n">
        <x:v>8.699999999999818</x:v>
      </x:c>
      <x:c r="N898" s="16" t="n">
        <x:v>14.367816091954323</x:v>
      </x:c>
      <x:c r="O898" s="12" t="str">
        <x:v>FTRL44G005</x:v>
      </x:c>
      <x:c r="P898" s="12" t="str">
        <x:v>EXVV21G043</x:v>
      </x:c>
      <x:c r="Q898" s="12" t="str"/>
      <x:c r="R898" s="12" t="str"/>
      <x:c r="S898" s="12" t="str"/>
      <x:c r="T898" s="12" t="str">
        <x:v>ABM</x:v>
      </x:c>
      <x:c r="U898" s="12" t="str"/>
      <x:c r="V898" s="12" t="str"/>
      <x:c r="W898" s="12" t="str"/>
      <x:c r="X898" s="12" t="str">
        <x:v>EXVV21</x:v>
      </x:c>
      <x:c r="Y898" s="12" t="str">
        <x:v>BADRI &amp; KAMRAN</x:v>
      </x:c>
      <x:c r="Z898" s="12" t="str">
        <x:v>SUPPORT</x:v>
      </x:c>
      <x:c r="AA898" s="32" t="n">
        <x:f>IFERROR(VLOOKUP(G898,Master_Unit!$A$2:$N$78,7,FALSE),"")</x:f>
        <x:v>20</x:v>
      </x:c>
      <x:c r="AB898" s="32" t="n">
        <x:f>IF(OR(N898="",AA898=""),"",N898-AA898)</x:f>
        <x:v>-5.632183908045677</x:v>
      </x:c>
      <x:c r="AC898" s="20" t="n">
        <x:f>IF(OR(N898="",AA898="",AA898=0),"",AB898/AA898)</x:f>
        <x:v>-0.28160919540228385</x:v>
      </x:c>
      <x:c r="AD898" t="str">
        <x:f>IF(AA898="","NO STANDARD",IF(AC898&lt;=Config_Status!$B$2,"EFFICIENT",IF(AC898&lt;=Config_Status!$B$3,"NORMAL",IF(AC898&lt;=Config_Status!$B$4,"WARNING","OVER CONSUMPTION"))))</x:f>
        <x:v>EFFICIENT</x:v>
      </x:c>
      <x:c r="AE898" t="str">
        <x:f>IFERROR(VLOOKUP(G898,Master_Unit!$A$2:$N$78,13,FALSE),"UNIT NOT FOUND")</x:f>
        <x:v>Matched</x:v>
      </x:c>
    </x:row>
    <x:row r="899">
      <x:c r="A899" s="12" t="str">
        <x:v>FU-20260614-00898</x:v>
      </x:c>
      <x:c r="B899" s="12" t="n">
        <x:v>1028</x:v>
      </x:c>
      <x:c r="C899" s="14" t="n">
        <x:v>46187</x:v>
      </x:c>
      <x:c r="D899" s="12" t="str">
        <x:v>Minggu</x:v>
      </x:c>
      <x:c r="E899" s="12" t="str">
        <x:v>09:12:00</x:v>
      </x:c>
      <x:c r="F899" s="12" t="str">
        <x:v>All Shift Day</x:v>
      </x:c>
      <x:c r="G899" s="12" t="str">
        <x:v>EXVV21G035</x:v>
      </x:c>
      <x:c r="H899" s="12" t="str">
        <x:v>Excavator</x:v>
      </x:c>
      <x:c r="I899" s="12" t="str">
        <x:v>EXCAVATOR VOLVO EC210D</x:v>
      </x:c>
      <x:c r="J899" s="16" t="n">
        <x:v>153</x:v>
      </x:c>
      <x:c r="K899" s="16" t="n">
        <x:v>8438.5</x:v>
      </x:c>
      <x:c r="L899" s="16" t="n">
        <x:v>8448.7</x:v>
      </x:c>
      <x:c r="M899" s="16" t="n">
        <x:v>10.200000000000728</x:v>
      </x:c>
      <x:c r="N899" s="16" t="n">
        <x:v>14.99999999999893</x:v>
      </x:c>
      <x:c r="O899" s="12" t="str">
        <x:v>FTRL44G005</x:v>
      </x:c>
      <x:c r="P899" s="12" t="str">
        <x:v>EXVV21G035</x:v>
      </x:c>
      <x:c r="Q899" s="12" t="str"/>
      <x:c r="R899" s="12" t="str"/>
      <x:c r="S899" s="12" t="str"/>
      <x:c r="T899" s="12" t="str">
        <x:v>ABM</x:v>
      </x:c>
      <x:c r="U899" s="12" t="str"/>
      <x:c r="V899" s="12" t="str"/>
      <x:c r="W899" s="12" t="str"/>
      <x:c r="X899" s="12" t="str">
        <x:v>EXVV21</x:v>
      </x:c>
      <x:c r="Y899" s="12" t="str">
        <x:v>BADRI &amp; KAMRAN</x:v>
      </x:c>
      <x:c r="Z899" s="12" t="str">
        <x:v>PIT</x:v>
      </x:c>
      <x:c r="AA899" s="32" t="n">
        <x:f>IFERROR(VLOOKUP(G899,Master_Unit!$A$2:$N$78,7,FALSE),"")</x:f>
        <x:v>20</x:v>
      </x:c>
      <x:c r="AB899" s="32" t="n">
        <x:f>IF(OR(N899="",AA899=""),"",N899-AA899)</x:f>
        <x:v>-5.000000000001069</x:v>
      </x:c>
      <x:c r="AC899" s="20" t="n">
        <x:f>IF(OR(N899="",AA899="",AA899=0),"",AB899/AA899)</x:f>
        <x:v>-0.25000000000005346</x:v>
      </x:c>
      <x:c r="AD899" t="str">
        <x:f>IF(AA899="","NO STANDARD",IF(AC899&lt;=Config_Status!$B$2,"EFFICIENT",IF(AC899&lt;=Config_Status!$B$3,"NORMAL",IF(AC899&lt;=Config_Status!$B$4,"WARNING","OVER CONSUMPTION"))))</x:f>
        <x:v>EFFICIENT</x:v>
      </x:c>
      <x:c r="AE899" t="str">
        <x:f>IFERROR(VLOOKUP(G899,Master_Unit!$A$2:$N$78,13,FALSE),"UNIT NOT FOUND")</x:f>
        <x:v>Matched</x:v>
      </x:c>
    </x:row>
    <x:row r="900">
      <x:c r="A900" s="12" t="str">
        <x:v>FU-20260614-00899</x:v>
      </x:c>
      <x:c r="B900" s="12" t="n">
        <x:v>1029</x:v>
      </x:c>
      <x:c r="C900" s="14" t="n">
        <x:v>46187</x:v>
      </x:c>
      <x:c r="D900" s="12" t="str">
        <x:v>Minggu</x:v>
      </x:c>
      <x:c r="E900" s="12" t="str">
        <x:v>09:14:00</x:v>
      </x:c>
      <x:c r="F900" s="12" t="str">
        <x:v>All Shift Day</x:v>
      </x:c>
      <x:c r="G900" s="12" t="str">
        <x:v>MGSD20G007</x:v>
      </x:c>
      <x:c r="H900" s="12" t="str">
        <x:v>Other</x:v>
      </x:c>
      <x:c r="I900" s="12" t="str">
        <x:v>MOTOR GRADER SDLG GD9220F</x:v>
      </x:c>
      <x:c r="J900" s="16" t="n">
        <x:v>98</x:v>
      </x:c>
      <x:c r="K900" s="16" t="n">
        <x:v>3761.5</x:v>
      </x:c>
      <x:c r="L900" s="16" t="n">
        <x:v>3767.7</x:v>
      </x:c>
      <x:c r="M900" s="16" t="n">
        <x:v>6.199999999999818</x:v>
      </x:c>
      <x:c r="N900" s="16" t="n">
        <x:v>15.80645161290369</x:v>
      </x:c>
      <x:c r="O900" s="12" t="str">
        <x:v>FTRL44G005</x:v>
      </x:c>
      <x:c r="P900" s="12" t="str">
        <x:v>MGSD20G007</x:v>
      </x:c>
      <x:c r="Q900" s="12" t="str"/>
      <x:c r="R900" s="12" t="str"/>
      <x:c r="S900" s="12" t="str"/>
      <x:c r="T900" s="12" t="str">
        <x:v>ABM</x:v>
      </x:c>
      <x:c r="U900" s="12" t="str"/>
      <x:c r="V900" s="12" t="str"/>
      <x:c r="W900" s="12" t="str"/>
      <x:c r="X900" s="12" t="str">
        <x:v>MGSD20</x:v>
      </x:c>
      <x:c r="Y900" s="12" t="str">
        <x:v>BADRI &amp; KAMRAN</x:v>
      </x:c>
      <x:c r="Z900" s="12" t="str">
        <x:v>PIT</x:v>
      </x:c>
      <x:c r="AA900" s="32" t="n">
        <x:f>IFERROR(VLOOKUP(G900,Master_Unit!$A$2:$N$78,7,FALSE),"")</x:f>
        <x:v>20</x:v>
      </x:c>
      <x:c r="AB900" s="32" t="n">
        <x:f>IF(OR(N900="",AA900=""),"",N900-AA900)</x:f>
        <x:v>-4.19354838709631</x:v>
      </x:c>
      <x:c r="AC900" s="20" t="n">
        <x:f>IF(OR(N900="",AA900="",AA900=0),"",AB900/AA900)</x:f>
        <x:v>-0.20967741935481551</x:v>
      </x:c>
      <x:c r="AD900" t="str">
        <x:f>IF(AA900="","NO STANDARD",IF(AC900&lt;=Config_Status!$B$2,"EFFICIENT",IF(AC900&lt;=Config_Status!$B$3,"NORMAL",IF(AC900&lt;=Config_Status!$B$4,"WARNING","OVER CONSUMPTION"))))</x:f>
        <x:v>EFFICIENT</x:v>
      </x:c>
      <x:c r="AE900" t="str">
        <x:f>IFERROR(VLOOKUP(G900,Master_Unit!$A$2:$N$78,13,FALSE),"UNIT NOT FOUND")</x:f>
        <x:v>Matched</x:v>
      </x:c>
    </x:row>
    <x:row r="901">
      <x:c r="A901" s="12" t="str">
        <x:v>FU-20260614-00900</x:v>
      </x:c>
      <x:c r="B901" s="12" t="n">
        <x:v>1030</x:v>
      </x:c>
      <x:c r="C901" s="14" t="n">
        <x:v>46187</x:v>
      </x:c>
      <x:c r="D901" s="12" t="str">
        <x:v>Minggu</x:v>
      </x:c>
      <x:c r="E901" s="12" t="str">
        <x:v>09:25:00</x:v>
      </x:c>
      <x:c r="F901" s="12" t="str">
        <x:v>All Shift Day</x:v>
      </x:c>
      <x:c r="G901" s="12" t="str">
        <x:v>BDKM85G040</x:v>
      </x:c>
      <x:c r="H901" s="12" t="str">
        <x:v>Dozer</x:v>
      </x:c>
      <x:c r="I901" s="12" t="str">
        <x:v>BULDOZER KOMATSU D85ESS-2</x:v>
      </x:c>
      <x:c r="J901" s="16" t="n">
        <x:v>140</x:v>
      </x:c>
      <x:c r="K901" s="16" t="n">
        <x:v>6277.1</x:v>
      </x:c>
      <x:c r="L901" s="16" t="n">
        <x:v>6286.5</x:v>
      </x:c>
      <x:c r="M901" s="16" t="n">
        <x:v>9.399999999999636</x:v>
      </x:c>
      <x:c r="N901" s="16" t="n">
        <x:v>14.893617021277173</x:v>
      </x:c>
      <x:c r="O901" s="12" t="str">
        <x:v>FTRL44G005</x:v>
      </x:c>
      <x:c r="P901" s="12" t="str">
        <x:v>BDKM85G040</x:v>
      </x:c>
      <x:c r="Q901" s="12" t="str"/>
      <x:c r="R901" s="12" t="str"/>
      <x:c r="S901" s="12" t="str"/>
      <x:c r="T901" s="12" t="str">
        <x:v>ABM</x:v>
      </x:c>
      <x:c r="U901" s="12" t="str"/>
      <x:c r="V901" s="12" t="str"/>
      <x:c r="W901" s="12" t="str"/>
      <x:c r="X901" s="12" t="str">
        <x:v>BDKM85</x:v>
      </x:c>
      <x:c r="Y901" s="12" t="str">
        <x:v>BADRI &amp; KAMRAN</x:v>
      </x:c>
      <x:c r="Z901" s="12" t="str">
        <x:v>PIT</x:v>
      </x:c>
      <x:c r="AA901" s="32" t="n">
        <x:f>IFERROR(VLOOKUP(G901,Master_Unit!$A$2:$N$78,7,FALSE),"")</x:f>
        <x:v>30</x:v>
      </x:c>
      <x:c r="AB901" s="32" t="n">
        <x:f>IF(OR(N901="",AA901=""),"",N901-AA901)</x:f>
        <x:v>-15.106382978722827</x:v>
      </x:c>
      <x:c r="AC901" s="20" t="n">
        <x:f>IF(OR(N901="",AA901="",AA901=0),"",AB901/AA901)</x:f>
        <x:v>-0.5035460992907609</x:v>
      </x:c>
      <x:c r="AD901" t="str">
        <x:f>IF(AA901="","NO STANDARD",IF(AC901&lt;=Config_Status!$B$2,"EFFICIENT",IF(AC901&lt;=Config_Status!$B$3,"NORMAL",IF(AC901&lt;=Config_Status!$B$4,"WARNING","OVER CONSUMPTION"))))</x:f>
        <x:v>EFFICIENT</x:v>
      </x:c>
      <x:c r="AE901" t="str">
        <x:f>IFERROR(VLOOKUP(G901,Master_Unit!$A$2:$N$78,13,FALSE),"UNIT NOT FOUND")</x:f>
        <x:v>Matched</x:v>
      </x:c>
    </x:row>
    <x:row r="902">
      <x:c r="A902" s="12" t="str">
        <x:v>FU-20260614-00901</x:v>
      </x:c>
      <x:c r="B902" s="12" t="n">
        <x:v>1031</x:v>
      </x:c>
      <x:c r="C902" s="14" t="n">
        <x:v>46187</x:v>
      </x:c>
      <x:c r="D902" s="12" t="str">
        <x:v>Minggu</x:v>
      </x:c>
      <x:c r="E902" s="12" t="str">
        <x:v>09:57:00</x:v>
      </x:c>
      <x:c r="F902" s="12" t="str">
        <x:v>All Shift Day</x:v>
      </x:c>
      <x:c r="G902" s="12" t="str">
        <x:v>EXVV21G037</x:v>
      </x:c>
      <x:c r="H902" s="12" t="str">
        <x:v>Excavator</x:v>
      </x:c>
      <x:c r="I902" s="12" t="str">
        <x:v>EXCAVATOR VOLVO EC210D</x:v>
      </x:c>
      <x:c r="J902" s="16" t="n">
        <x:v>125</x:v>
      </x:c>
      <x:c r="K902" s="16" t="n">
        <x:v>6909.4</x:v>
      </x:c>
      <x:c r="L902" s="16" t="n">
        <x:v>6917.9</x:v>
      </x:c>
      <x:c r="M902" s="16" t="n">
        <x:v>8.5</x:v>
      </x:c>
      <x:c r="N902" s="16" t="n">
        <x:v>14.705882352941176</x:v>
      </x:c>
      <x:c r="O902" s="12" t="str">
        <x:v>FTRL44G005</x:v>
      </x:c>
      <x:c r="P902" s="12" t="str">
        <x:v>EXVV21G037</x:v>
      </x:c>
      <x:c r="Q902" s="12" t="str"/>
      <x:c r="R902" s="12" t="str"/>
      <x:c r="S902" s="12" t="str"/>
      <x:c r="T902" s="12" t="str">
        <x:v>ABM</x:v>
      </x:c>
      <x:c r="U902" s="12" t="str"/>
      <x:c r="V902" s="12" t="str"/>
      <x:c r="W902" s="12" t="str"/>
      <x:c r="X902" s="12" t="str">
        <x:v>EXVV21</x:v>
      </x:c>
      <x:c r="Y902" s="12" t="str">
        <x:v>BADRI &amp; KAMRAN</x:v>
      </x:c>
      <x:c r="Z902" s="12" t="str">
        <x:v>PIT</x:v>
      </x:c>
      <x:c r="AA902" s="32" t="n">
        <x:f>IFERROR(VLOOKUP(G902,Master_Unit!$A$2:$N$78,7,FALSE),"")</x:f>
        <x:v>20</x:v>
      </x:c>
      <x:c r="AB902" s="32" t="n">
        <x:f>IF(OR(N902="",AA902=""),"",N902-AA902)</x:f>
        <x:v>-5.294117647058824</x:v>
      </x:c>
      <x:c r="AC902" s="20" t="n">
        <x:f>IF(OR(N902="",AA902="",AA902=0),"",AB902/AA902)</x:f>
        <x:v>-0.26470588235294124</x:v>
      </x:c>
      <x:c r="AD902" t="str">
        <x:f>IF(AA902="","NO STANDARD",IF(AC902&lt;=Config_Status!$B$2,"EFFICIENT",IF(AC902&lt;=Config_Status!$B$3,"NORMAL",IF(AC902&lt;=Config_Status!$B$4,"WARNING","OVER CONSUMPTION"))))</x:f>
        <x:v>EFFICIENT</x:v>
      </x:c>
      <x:c r="AE902" t="str">
        <x:f>IFERROR(VLOOKUP(G902,Master_Unit!$A$2:$N$78,13,FALSE),"UNIT NOT FOUND")</x:f>
        <x:v>Matched</x:v>
      </x:c>
    </x:row>
    <x:row r="903">
      <x:c r="A903" s="12" t="str">
        <x:v>FU-20260614-00902</x:v>
      </x:c>
      <x:c r="B903" s="12" t="n">
        <x:v>1032</x:v>
      </x:c>
      <x:c r="C903" s="14" t="n">
        <x:v>46187</x:v>
      </x:c>
      <x:c r="D903" s="12" t="str">
        <x:v>Minggu</x:v>
      </x:c>
      <x:c r="E903" s="12" t="str">
        <x:v>11:04:00</x:v>
      </x:c>
      <x:c r="F903" s="12" t="str">
        <x:v>All Shift Day</x:v>
      </x:c>
      <x:c r="G903" s="12" t="str">
        <x:v>EXVV35G005</x:v>
      </x:c>
      <x:c r="H903" s="12" t="str">
        <x:v>Excavator</x:v>
      </x:c>
      <x:c r="I903" s="12" t="str">
        <x:v>EXCAVATOR VOLVO EC350D</x:v>
      </x:c>
      <x:c r="J903" s="16" t="n">
        <x:v>213</x:v>
      </x:c>
      <x:c r="K903" s="16" t="n">
        <x:v>5230</x:v>
      </x:c>
      <x:c r="L903" s="16" t="n">
        <x:v>5239.1</x:v>
      </x:c>
      <x:c r="M903" s="16" t="n">
        <x:v>9.100000000000364</x:v>
      </x:c>
      <x:c r="N903" s="16" t="n">
        <x:v>23.40659340659247</x:v>
      </x:c>
      <x:c r="O903" s="12" t="str">
        <x:v>FTRL44G005</x:v>
      </x:c>
      <x:c r="P903" s="12" t="str">
        <x:v>EXVV35G005</x:v>
      </x:c>
      <x:c r="Q903" s="12" t="str"/>
      <x:c r="R903" s="12" t="str"/>
      <x:c r="S903" s="12" t="str"/>
      <x:c r="T903" s="12" t="str">
        <x:v>ABM</x:v>
      </x:c>
      <x:c r="U903" s="12" t="str"/>
      <x:c r="V903" s="12" t="str"/>
      <x:c r="W903" s="12" t="str"/>
      <x:c r="X903" s="12" t="str">
        <x:v>EXVV35</x:v>
      </x:c>
      <x:c r="Y903" s="12" t="str">
        <x:v>BADRI &amp; KAMRAN</x:v>
      </x:c>
      <x:c r="Z903" s="12" t="str">
        <x:v>PIT</x:v>
      </x:c>
      <x:c r="AA903" s="32" t="n">
        <x:f>IFERROR(VLOOKUP(G903,Master_Unit!$A$2:$N$78,7,FALSE),"")</x:f>
        <x:v>25</x:v>
      </x:c>
      <x:c r="AB903" s="32" t="n">
        <x:f>IF(OR(N903="",AA903=""),"",N903-AA903)</x:f>
        <x:v>-1.5934065934075292</x:v>
      </x:c>
      <x:c r="AC903" s="20" t="n">
        <x:f>IF(OR(N903="",AA903="",AA903=0),"",AB903/AA903)</x:f>
        <x:v>-0.06373626373630117</x:v>
      </x:c>
      <x:c r="AD903" t="str">
        <x:f>IF(AA903="","NO STANDARD",IF(AC903&lt;=Config_Status!$B$2,"EFFICIENT",IF(AC903&lt;=Config_Status!$B$3,"NORMAL",IF(AC903&lt;=Config_Status!$B$4,"WARNING","OVER CONSUMPTION"))))</x:f>
        <x:v>NORMAL</x:v>
      </x:c>
      <x:c r="AE903" t="str">
        <x:f>IFERROR(VLOOKUP(G903,Master_Unit!$A$2:$N$78,13,FALSE),"UNIT NOT FOUND")</x:f>
        <x:v>Matched</x:v>
      </x:c>
    </x:row>
    <x:row r="904">
      <x:c r="A904" s="12" t="str">
        <x:v>FU-20260614-00903</x:v>
      </x:c>
      <x:c r="B904" s="12" t="n">
        <x:v>1033</x:v>
      </x:c>
      <x:c r="C904" s="14" t="n">
        <x:v>46187</x:v>
      </x:c>
      <x:c r="D904" s="12" t="str">
        <x:v>Minggu</x:v>
      </x:c>
      <x:c r="E904" s="12" t="str">
        <x:v>11:18:00</x:v>
      </x:c>
      <x:c r="F904" s="12" t="str">
        <x:v>All Shift Day</x:v>
      </x:c>
      <x:c r="G904" s="12" t="str">
        <x:v>VRVV11G013</x:v>
      </x:c>
      <x:c r="H904" s="12" t="str">
        <x:v>Compactor</x:v>
      </x:c>
      <x:c r="I904" s="12" t="str">
        <x:v>VIBRO COMPACTOR VOLVO SD110NE</x:v>
      </x:c>
      <x:c r="J904" s="16" t="n">
        <x:v>67</x:v>
      </x:c>
      <x:c r="K904" s="16" t="n">
        <x:v>3211.9</x:v>
      </x:c>
      <x:c r="L904" s="16" t="n">
        <x:v>3223.9</x:v>
      </x:c>
      <x:c r="M904" s="16" t="n">
        <x:v>12</x:v>
      </x:c>
      <x:c r="N904" s="16" t="n">
        <x:v>5.583333333333333</x:v>
      </x:c>
      <x:c r="O904" s="12" t="str">
        <x:v>FTRL44G005</x:v>
      </x:c>
      <x:c r="P904" s="12" t="str">
        <x:v>VRVV11G013</x:v>
      </x:c>
      <x:c r="Q904" s="12" t="str"/>
      <x:c r="R904" s="12" t="str"/>
      <x:c r="S904" s="12" t="str"/>
      <x:c r="T904" s="12" t="str">
        <x:v>ABM</x:v>
      </x:c>
      <x:c r="U904" s="12" t="str"/>
      <x:c r="V904" s="12" t="str"/>
      <x:c r="W904" s="12" t="str"/>
      <x:c r="X904" s="12" t="str">
        <x:v>VRVV11</x:v>
      </x:c>
      <x:c r="Y904" s="12" t="str">
        <x:v>BADRI &amp; KAMRAN</x:v>
      </x:c>
      <x:c r="Z904" s="12" t="str">
        <x:v>PIT</x:v>
      </x:c>
      <x:c r="AA904" s="32" t="n">
        <x:f>IFERROR(VLOOKUP(G904,Master_Unit!$A$2:$N$78,7,FALSE),"")</x:f>
        <x:v>15</x:v>
      </x:c>
      <x:c r="AB904" s="32" t="n">
        <x:f>IF(OR(N904="",AA904=""),"",N904-AA904)</x:f>
        <x:v>-9.416666666666668</x:v>
      </x:c>
      <x:c r="AC904" s="20" t="n">
        <x:f>IF(OR(N904="",AA904="",AA904=0),"",AB904/AA904)</x:f>
        <x:v>-0.6277777777777779</x:v>
      </x:c>
      <x:c r="AD904" t="str">
        <x:f>IF(AA904="","NO STANDARD",IF(AC904&lt;=Config_Status!$B$2,"EFFICIENT",IF(AC904&lt;=Config_Status!$B$3,"NORMAL",IF(AC904&lt;=Config_Status!$B$4,"WARNING","OVER CONSUMPTION"))))</x:f>
        <x:v>EFFICIENT</x:v>
      </x:c>
      <x:c r="AE904" t="str">
        <x:f>IFERROR(VLOOKUP(G904,Master_Unit!$A$2:$N$78,13,FALSE),"UNIT NOT FOUND")</x:f>
        <x:v>Matched</x:v>
      </x:c>
    </x:row>
    <x:row r="905">
      <x:c r="A905" s="12" t="str">
        <x:v>FU-20260614-00904</x:v>
      </x:c>
      <x:c r="B905" s="12" t="n">
        <x:v>1034</x:v>
      </x:c>
      <x:c r="C905" s="14" t="n">
        <x:v>46187</x:v>
      </x:c>
      <x:c r="D905" s="12" t="str">
        <x:v>Minggu</x:v>
      </x:c>
      <x:c r="E905" s="12" t="str">
        <x:v>11:21:00</x:v>
      </x:c>
      <x:c r="F905" s="12" t="str">
        <x:v>All Shift Day</x:v>
      </x:c>
      <x:c r="G905" s="12" t="str">
        <x:v>VRVV11G012</x:v>
      </x:c>
      <x:c r="H905" s="12" t="str">
        <x:v>Compactor</x:v>
      </x:c>
      <x:c r="I905" s="12" t="str">
        <x:v>VIBRO COMPACTOR VOLVO SD110NE</x:v>
      </x:c>
      <x:c r="J905" s="16" t="n">
        <x:v>66</x:v>
      </x:c>
      <x:c r="K905" s="16" t="n">
        <x:v>3323.5</x:v>
      </x:c>
      <x:c r="L905" s="16" t="n">
        <x:v>3332.5</x:v>
      </x:c>
      <x:c r="M905" s="16" t="n">
        <x:v>9</x:v>
      </x:c>
      <x:c r="N905" s="16" t="n">
        <x:v>7.333333333333333</x:v>
      </x:c>
      <x:c r="O905" s="12" t="str">
        <x:v>FTRL44G005</x:v>
      </x:c>
      <x:c r="P905" s="12" t="str">
        <x:v>VRVV11G012</x:v>
      </x:c>
      <x:c r="Q905" s="12" t="str"/>
      <x:c r="R905" s="12" t="str"/>
      <x:c r="S905" s="12" t="str"/>
      <x:c r="T905" s="12" t="str">
        <x:v>ABM</x:v>
      </x:c>
      <x:c r="U905" s="12" t="str"/>
      <x:c r="V905" s="12" t="str"/>
      <x:c r="W905" s="12" t="str"/>
      <x:c r="X905" s="12" t="str">
        <x:v>VRVV11</x:v>
      </x:c>
      <x:c r="Y905" s="12" t="str">
        <x:v>BADRI &amp; KAMRAN</x:v>
      </x:c>
      <x:c r="Z905" s="12" t="str">
        <x:v>PIT</x:v>
      </x:c>
      <x:c r="AA905" s="32" t="n">
        <x:f>IFERROR(VLOOKUP(G905,Master_Unit!$A$2:$N$78,7,FALSE),"")</x:f>
        <x:v>15</x:v>
      </x:c>
      <x:c r="AB905" s="32" t="n">
        <x:f>IF(OR(N905="",AA905=""),"",N905-AA905)</x:f>
        <x:v>-7.666666666666667</x:v>
      </x:c>
      <x:c r="AC905" s="20" t="n">
        <x:f>IF(OR(N905="",AA905="",AA905=0),"",AB905/AA905)</x:f>
        <x:v>-0.5111111111111112</x:v>
      </x:c>
      <x:c r="AD905" t="str">
        <x:f>IF(AA905="","NO STANDARD",IF(AC905&lt;=Config_Status!$B$2,"EFFICIENT",IF(AC905&lt;=Config_Status!$B$3,"NORMAL",IF(AC905&lt;=Config_Status!$B$4,"WARNING","OVER CONSUMPTION"))))</x:f>
        <x:v>EFFICIENT</x:v>
      </x:c>
      <x:c r="AE905" t="str">
        <x:f>IFERROR(VLOOKUP(G905,Master_Unit!$A$2:$N$78,13,FALSE),"UNIT NOT FOUND")</x:f>
        <x:v>Matched</x:v>
      </x:c>
    </x:row>
    <x:row r="906">
      <x:c r="A906" s="12" t="str">
        <x:v>FU-20260614-00905</x:v>
      </x:c>
      <x:c r="B906" s="12" t="n">
        <x:v>1035</x:v>
      </x:c>
      <x:c r="C906" s="14" t="n">
        <x:v>46187</x:v>
      </x:c>
      <x:c r="D906" s="12" t="str">
        <x:v>Minggu</x:v>
      </x:c>
      <x:c r="E906" s="12" t="str">
        <x:v>11:31:00</x:v>
      </x:c>
      <x:c r="F906" s="12" t="str">
        <x:v>All Shift Day</x:v>
      </x:c>
      <x:c r="G906" s="12" t="str">
        <x:v>LVTH24R053</x:v>
      </x:c>
      <x:c r="H906" s="12" t="str">
        <x:v>Light Vehicle</x:v>
      </x:c>
      <x:c r="I906" s="12" t="str">
        <x:v>LIGHT VEHICLE TOYOTA HILUX</x:v>
      </x:c>
      <x:c r="J906" s="16" t="n">
        <x:v>33</x:v>
      </x:c>
      <x:c r="K906" s="16" t="n">
        <x:v>25041</x:v>
      </x:c>
      <x:c r="L906" s="16" t="n">
        <x:v>25291</x:v>
      </x:c>
      <x:c r="M906" s="16" t="n">
        <x:v>250</x:v>
      </x:c>
      <x:c r="N906" s="16" t="n">
        <x:v>0.132</x:v>
      </x:c>
      <x:c r="O906" s="12" t="str">
        <x:v>FTRL44G005</x:v>
      </x:c>
      <x:c r="P906" s="12" t="str">
        <x:v>LVTH24R053</x:v>
      </x:c>
      <x:c r="Q906" s="12" t="str"/>
      <x:c r="R906" s="12" t="str"/>
      <x:c r="S906" s="12" t="str"/>
      <x:c r="T906" s="12" t="str">
        <x:v>ABM</x:v>
      </x:c>
      <x:c r="U906" s="12" t="str"/>
      <x:c r="V906" s="12" t="str"/>
      <x:c r="W906" s="12" t="str"/>
      <x:c r="X906" s="12" t="str">
        <x:v>LVTH24</x:v>
      </x:c>
      <x:c r="Y906" s="12" t="str">
        <x:v>BADRI &amp; KAMRAN</x:v>
      </x:c>
      <x:c r="Z906" s="12" t="str">
        <x:v>SUPPORT</x:v>
      </x:c>
      <x:c r="AA906" s="32" t="n">
        <x:f>IFERROR(VLOOKUP(G906,Master_Unit!$A$2:$N$78,7,FALSE),"")</x:f>
        <x:v>0.2</x:v>
      </x:c>
      <x:c r="AB906" s="32" t="n">
        <x:f>IF(OR(N906="",AA906=""),"",N906-AA906)</x:f>
        <x:v>-0.068</x:v>
      </x:c>
      <x:c r="AC906" s="20" t="n">
        <x:f>IF(OR(N906="",AA906="",AA906=0),"",AB906/AA906)</x:f>
        <x:v>-0.34</x:v>
      </x:c>
      <x:c r="AD906" t="str">
        <x:f>IF(AA906="","NO STANDARD",IF(AC906&lt;=Config_Status!$B$2,"EFFICIENT",IF(AC906&lt;=Config_Status!$B$3,"NORMAL",IF(AC906&lt;=Config_Status!$B$4,"WARNING","OVER CONSUMPTION"))))</x:f>
        <x:v>EFFICIENT</x:v>
      </x:c>
      <x:c r="AE906" t="str">
        <x:f>IFERROR(VLOOKUP(G906,Master_Unit!$A$2:$N$78,13,FALSE),"UNIT NOT FOUND")</x:f>
        <x:v>Matched</x:v>
      </x:c>
    </x:row>
    <x:row r="907">
      <x:c r="A907" s="12" t="str">
        <x:v>FU-20260614-00906</x:v>
      </x:c>
      <x:c r="B907" s="12" t="n">
        <x:v>1036</x:v>
      </x:c>
      <x:c r="C907" s="14" t="n">
        <x:v>46187</x:v>
      </x:c>
      <x:c r="D907" s="12" t="str">
        <x:v>Minggu</x:v>
      </x:c>
      <x:c r="E907" s="12" t="str">
        <x:v>18:38:00</x:v>
      </x:c>
      <x:c r="F907" s="12" t="str">
        <x:v>All Shift Night</x:v>
      </x:c>
      <x:c r="G907" s="12" t="str">
        <x:v>EXVV21G040</x:v>
      </x:c>
      <x:c r="H907" s="12" t="str">
        <x:v>Excavator</x:v>
      </x:c>
      <x:c r="I907" s="12" t="str">
        <x:v>EXCAVATOR VOLVO EC210D</x:v>
      </x:c>
      <x:c r="J907" s="16" t="n">
        <x:v>99</x:v>
      </x:c>
      <x:c r="K907" s="16" t="n">
        <x:v>6619.9</x:v>
      </x:c>
      <x:c r="L907" s="16" t="n">
        <x:v>6633.6</x:v>
      </x:c>
      <x:c r="M907" s="16" t="n">
        <x:v>13.700000000000728</x:v>
      </x:c>
      <x:c r="N907" s="16" t="n">
        <x:v>7.22627737226239</x:v>
      </x:c>
      <x:c r="O907" s="12" t="str">
        <x:v>FTRL44G004</x:v>
      </x:c>
      <x:c r="P907" s="12" t="str">
        <x:v>EXVV21G040</x:v>
      </x:c>
      <x:c r="Q907" s="12" t="str"/>
      <x:c r="R907" s="12" t="str"/>
      <x:c r="S907" s="12" t="str"/>
      <x:c r="T907" s="12" t="str">
        <x:v>ABM</x:v>
      </x:c>
      <x:c r="U907" s="12" t="str"/>
      <x:c r="V907" s="12" t="str"/>
      <x:c r="W907" s="12" t="str"/>
      <x:c r="X907" s="12" t="str">
        <x:v>EXVV21</x:v>
      </x:c>
      <x:c r="Y907" s="12" t="str">
        <x:v>ANDI &amp; ANGGI</x:v>
      </x:c>
      <x:c r="Z907" s="12" t="str">
        <x:v>ETO</x:v>
      </x:c>
      <x:c r="AA907" s="32" t="n">
        <x:f>IFERROR(VLOOKUP(G907,Master_Unit!$A$2:$N$78,7,FALSE),"")</x:f>
        <x:v>20</x:v>
      </x:c>
      <x:c r="AB907" s="32" t="n">
        <x:f>IF(OR(N907="",AA907=""),"",N907-AA907)</x:f>
        <x:v>-12.773722627737609</x:v>
      </x:c>
      <x:c r="AC907" s="20" t="n">
        <x:f>IF(OR(N907="",AA907="",AA907=0),"",AB907/AA907)</x:f>
        <x:v>-0.6386861313868805</x:v>
      </x:c>
      <x:c r="AD907" t="str">
        <x:f>IF(AA907="","NO STANDARD",IF(AC907&lt;=Config_Status!$B$2,"EFFICIENT",IF(AC907&lt;=Config_Status!$B$3,"NORMAL",IF(AC907&lt;=Config_Status!$B$4,"WARNING","OVER CONSUMPTION"))))</x:f>
        <x:v>EFFICIENT</x:v>
      </x:c>
      <x:c r="AE907" t="str">
        <x:f>IFERROR(VLOOKUP(G907,Master_Unit!$A$2:$N$78,13,FALSE),"UNIT NOT FOUND")</x:f>
        <x:v>Matched</x:v>
      </x:c>
    </x:row>
    <x:row r="908">
      <x:c r="A908" s="12" t="str">
        <x:v>FU-20260614-00907</x:v>
      </x:c>
      <x:c r="B908" s="12" t="n">
        <x:v>1037</x:v>
      </x:c>
      <x:c r="C908" s="14" t="n">
        <x:v>46187</x:v>
      </x:c>
      <x:c r="D908" s="12" t="str">
        <x:v>Minggu</x:v>
      </x:c>
      <x:c r="E908" s="12" t="str">
        <x:v>18:48:00</x:v>
      </x:c>
      <x:c r="F908" s="12" t="str">
        <x:v>All Shift Night</x:v>
      </x:c>
      <x:c r="G908" s="12" t="str">
        <x:v>BDKM85G039</x:v>
      </x:c>
      <x:c r="H908" s="12" t="str">
        <x:v>Dozer</x:v>
      </x:c>
      <x:c r="I908" s="12" t="str">
        <x:v>BULDOZER KOMATSU D85ESS-2</x:v>
      </x:c>
      <x:c r="J908" s="16" t="n">
        <x:v>78</x:v>
      </x:c>
      <x:c r="K908" s="16" t="n">
        <x:v>7128.7</x:v>
      </x:c>
      <x:c r="L908" s="16" t="n">
        <x:v>7138.9</x:v>
      </x:c>
      <x:c r="M908" s="16" t="n">
        <x:v>10.199999999999818</x:v>
      </x:c>
      <x:c r="N908" s="16" t="n">
        <x:v>7.647058823529548</x:v>
      </x:c>
      <x:c r="O908" s="12" t="str">
        <x:v>FTRL44G004</x:v>
      </x:c>
      <x:c r="P908" s="12" t="str">
        <x:v>BDKM85G039</x:v>
      </x:c>
      <x:c r="Q908" s="12" t="str"/>
      <x:c r="R908" s="12" t="str"/>
      <x:c r="S908" s="12" t="str"/>
      <x:c r="T908" s="12" t="str">
        <x:v>ABM</x:v>
      </x:c>
      <x:c r="U908" s="12" t="str"/>
      <x:c r="V908" s="12" t="str"/>
      <x:c r="W908" s="12" t="str"/>
      <x:c r="X908" s="12" t="str">
        <x:v>BDKM85</x:v>
      </x:c>
      <x:c r="Y908" s="12" t="str">
        <x:v>ANDI &amp; ANGGI</x:v>
      </x:c>
      <x:c r="Z908" s="12" t="str">
        <x:v>PIT</x:v>
      </x:c>
      <x:c r="AA908" s="32" t="n">
        <x:f>IFERROR(VLOOKUP(G908,Master_Unit!$A$2:$N$78,7,FALSE),"")</x:f>
        <x:v>30</x:v>
      </x:c>
      <x:c r="AB908" s="32" t="n">
        <x:f>IF(OR(N908="",AA908=""),"",N908-AA908)</x:f>
        <x:v>-22.352941176470452</x:v>
      </x:c>
      <x:c r="AC908" s="20" t="n">
        <x:f>IF(OR(N908="",AA908="",AA908=0),"",AB908/AA908)</x:f>
        <x:v>-0.7450980392156817</x:v>
      </x:c>
      <x:c r="AD908" t="str">
        <x:f>IF(AA908="","NO STANDARD",IF(AC908&lt;=Config_Status!$B$2,"EFFICIENT",IF(AC908&lt;=Config_Status!$B$3,"NORMAL",IF(AC908&lt;=Config_Status!$B$4,"WARNING","OVER CONSUMPTION"))))</x:f>
        <x:v>EFFICIENT</x:v>
      </x:c>
      <x:c r="AE908" t="str">
        <x:f>IFERROR(VLOOKUP(G908,Master_Unit!$A$2:$N$78,13,FALSE),"UNIT NOT FOUND")</x:f>
        <x:v>Matched</x:v>
      </x:c>
    </x:row>
    <x:row r="909">
      <x:c r="A909" s="12" t="str">
        <x:v>FU-20260614-00908</x:v>
      </x:c>
      <x:c r="B909" s="12" t="n">
        <x:v>1038</x:v>
      </x:c>
      <x:c r="C909" s="14" t="n">
        <x:v>46187</x:v>
      </x:c>
      <x:c r="D909" s="12" t="str">
        <x:v>Minggu</x:v>
      </x:c>
      <x:c r="E909" s="12" t="str">
        <x:v>19:02:00</x:v>
      </x:c>
      <x:c r="F909" s="12" t="str">
        <x:v>All Shift Night</x:v>
      </x:c>
      <x:c r="G909" s="12" t="str">
        <x:v>EXVV21G042</x:v>
      </x:c>
      <x:c r="H909" s="12" t="str">
        <x:v>Excavator</x:v>
      </x:c>
      <x:c r="I909" s="12" t="str">
        <x:v>EXCAVATOR VOLVO EC210D</x:v>
      </x:c>
      <x:c r="J909" s="16" t="n">
        <x:v>103</x:v>
      </x:c>
      <x:c r="K909" s="16" t="n">
        <x:v>7794.6</x:v>
      </x:c>
      <x:c r="L909" s="16" t="n">
        <x:v>7802.4</x:v>
      </x:c>
      <x:c r="M909" s="16" t="n">
        <x:v>7.799999999999272</x:v>
      </x:c>
      <x:c r="N909" s="16" t="n">
        <x:v>13.205128205129437</x:v>
      </x:c>
      <x:c r="O909" s="12" t="str">
        <x:v>FTRL44G004</x:v>
      </x:c>
      <x:c r="P909" s="12" t="str">
        <x:v>EXVV21G042</x:v>
      </x:c>
      <x:c r="Q909" s="12" t="str"/>
      <x:c r="R909" s="12" t="str"/>
      <x:c r="S909" s="12" t="str"/>
      <x:c r="T909" s="12" t="str">
        <x:v>ABM</x:v>
      </x:c>
      <x:c r="U909" s="12" t="str"/>
      <x:c r="V909" s="12" t="str"/>
      <x:c r="W909" s="12" t="str"/>
      <x:c r="X909" s="12" t="str">
        <x:v>EXVV21</x:v>
      </x:c>
      <x:c r="Y909" s="12" t="str">
        <x:v>ANDI &amp; ANGGI</x:v>
      </x:c>
      <x:c r="Z909" s="12" t="str">
        <x:v>PIT</x:v>
      </x:c>
      <x:c r="AA909" s="32" t="n">
        <x:f>IFERROR(VLOOKUP(G909,Master_Unit!$A$2:$N$78,7,FALSE),"")</x:f>
        <x:v>20</x:v>
      </x:c>
      <x:c r="AB909" s="32" t="n">
        <x:f>IF(OR(N909="",AA909=""),"",N909-AA909)</x:f>
        <x:v>-6.794871794870563</x:v>
      </x:c>
      <x:c r="AC909" s="20" t="n">
        <x:f>IF(OR(N909="",AA909="",AA909=0),"",AB909/AA909)</x:f>
        <x:v>-0.33974358974352814</x:v>
      </x:c>
      <x:c r="AD909" t="str">
        <x:f>IF(AA909="","NO STANDARD",IF(AC909&lt;=Config_Status!$B$2,"EFFICIENT",IF(AC909&lt;=Config_Status!$B$3,"NORMAL",IF(AC909&lt;=Config_Status!$B$4,"WARNING","OVER CONSUMPTION"))))</x:f>
        <x:v>EFFICIENT</x:v>
      </x:c>
      <x:c r="AE909" t="str">
        <x:f>IFERROR(VLOOKUP(G909,Master_Unit!$A$2:$N$78,13,FALSE),"UNIT NOT FOUND")</x:f>
        <x:v>Matched</x:v>
      </x:c>
    </x:row>
    <x:row r="910">
      <x:c r="A910" s="12" t="str">
        <x:v>FU-20260614-00909</x:v>
      </x:c>
      <x:c r="B910" s="12" t="n">
        <x:v>1039</x:v>
      </x:c>
      <x:c r="C910" s="14" t="n">
        <x:v>46187</x:v>
      </x:c>
      <x:c r="D910" s="12" t="str">
        <x:v>Minggu</x:v>
      </x:c>
      <x:c r="E910" s="12" t="str">
        <x:v>19:05:00</x:v>
      </x:c>
      <x:c r="F910" s="12" t="str">
        <x:v>All Shift Night</x:v>
      </x:c>
      <x:c r="G910" s="12" t="str">
        <x:v>EXVV21G035</x:v>
      </x:c>
      <x:c r="H910" s="12" t="str">
        <x:v>Excavator</x:v>
      </x:c>
      <x:c r="I910" s="12" t="str">
        <x:v>EXCAVATOR VOLVO EC210D</x:v>
      </x:c>
      <x:c r="J910" s="16" t="n">
        <x:v>100</x:v>
      </x:c>
      <x:c r="K910" s="16" t="n">
        <x:v>8448.7</x:v>
      </x:c>
      <x:c r="L910" s="16" t="n">
        <x:v>8455.5</x:v>
      </x:c>
      <x:c r="M910" s="16" t="n">
        <x:v>6.799999999999272</x:v>
      </x:c>
      <x:c r="N910" s="16" t="n">
        <x:v>14.70588235294275</x:v>
      </x:c>
      <x:c r="O910" s="12" t="str">
        <x:v>FTRL44G004</x:v>
      </x:c>
      <x:c r="P910" s="12" t="str">
        <x:v>EXVV21G035</x:v>
      </x:c>
      <x:c r="Q910" s="12" t="str"/>
      <x:c r="R910" s="12" t="str"/>
      <x:c r="S910" s="12" t="str"/>
      <x:c r="T910" s="12" t="str">
        <x:v>ABM</x:v>
      </x:c>
      <x:c r="U910" s="12" t="str"/>
      <x:c r="V910" s="12" t="str"/>
      <x:c r="W910" s="12" t="str"/>
      <x:c r="X910" s="12" t="str">
        <x:v>EXVV21</x:v>
      </x:c>
      <x:c r="Y910" s="12" t="str">
        <x:v>ANDI &amp; ANGGI</x:v>
      </x:c>
      <x:c r="Z910" s="12" t="str">
        <x:v>PIT</x:v>
      </x:c>
      <x:c r="AA910" s="32" t="n">
        <x:f>IFERROR(VLOOKUP(G910,Master_Unit!$A$2:$N$78,7,FALSE),"")</x:f>
        <x:v>20</x:v>
      </x:c>
      <x:c r="AB910" s="32" t="n">
        <x:f>IF(OR(N910="",AA910=""),"",N910-AA910)</x:f>
        <x:v>-5.29411764705725</x:v>
      </x:c>
      <x:c r="AC910" s="20" t="n">
        <x:f>IF(OR(N910="",AA910="",AA910=0),"",AB910/AA910)</x:f>
        <x:v>-0.2647058823528625</x:v>
      </x:c>
      <x:c r="AD910" t="str">
        <x:f>IF(AA910="","NO STANDARD",IF(AC910&lt;=Config_Status!$B$2,"EFFICIENT",IF(AC910&lt;=Config_Status!$B$3,"NORMAL",IF(AC910&lt;=Config_Status!$B$4,"WARNING","OVER CONSUMPTION"))))</x:f>
        <x:v>EFFICIENT</x:v>
      </x:c>
      <x:c r="AE910" t="str">
        <x:f>IFERROR(VLOOKUP(G910,Master_Unit!$A$2:$N$78,13,FALSE),"UNIT NOT FOUND")</x:f>
        <x:v>Matched</x:v>
      </x:c>
    </x:row>
    <x:row r="911">
      <x:c r="A911" s="12" t="str">
        <x:v>FU-20260614-00910</x:v>
      </x:c>
      <x:c r="B911" s="12" t="n">
        <x:v>1040</x:v>
      </x:c>
      <x:c r="C911" s="14" t="n">
        <x:v>46187</x:v>
      </x:c>
      <x:c r="D911" s="12" t="str">
        <x:v>Minggu</x:v>
      </x:c>
      <x:c r="E911" s="12" t="str">
        <x:v>19:12:00</x:v>
      </x:c>
      <x:c r="F911" s="12" t="str">
        <x:v>All Shift Night</x:v>
      </x:c>
      <x:c r="G911" s="12" t="str">
        <x:v>EXVV21G039</x:v>
      </x:c>
      <x:c r="H911" s="12" t="str">
        <x:v>Excavator</x:v>
      </x:c>
      <x:c r="I911" s="12" t="str">
        <x:v>EXCAVATOR VOLVO EC210D</x:v>
      </x:c>
      <x:c r="J911" s="16" t="n">
        <x:v>103</x:v>
      </x:c>
      <x:c r="K911" s="16" t="n">
        <x:v>6338.7</x:v>
      </x:c>
      <x:c r="L911" s="16" t="n">
        <x:v>6345.7</x:v>
      </x:c>
      <x:c r="M911" s="16" t="n">
        <x:v>7</x:v>
      </x:c>
      <x:c r="N911" s="16" t="n">
        <x:v>14.714285714285714</x:v>
      </x:c>
      <x:c r="O911" s="12" t="str">
        <x:v>FTRL44G004</x:v>
      </x:c>
      <x:c r="P911" s="12" t="str">
        <x:v>EXVV21G039</x:v>
      </x:c>
      <x:c r="Q911" s="12" t="str"/>
      <x:c r="R911" s="12" t="str"/>
      <x:c r="S911" s="12" t="str"/>
      <x:c r="T911" s="12" t="str">
        <x:v>ABM</x:v>
      </x:c>
      <x:c r="U911" s="12" t="str"/>
      <x:c r="V911" s="12" t="str"/>
      <x:c r="W911" s="12" t="str"/>
      <x:c r="X911" s="12" t="str">
        <x:v>EXVV21</x:v>
      </x:c>
      <x:c r="Y911" s="12" t="str">
        <x:v>ANDI &amp; ANGGI</x:v>
      </x:c>
      <x:c r="Z911" s="12" t="str">
        <x:v>PIT</x:v>
      </x:c>
      <x:c r="AA911" s="32" t="n">
        <x:f>IFERROR(VLOOKUP(G911,Master_Unit!$A$2:$N$78,7,FALSE),"")</x:f>
        <x:v>20</x:v>
      </x:c>
      <x:c r="AB911" s="32" t="n">
        <x:f>IF(OR(N911="",AA911=""),"",N911-AA911)</x:f>
        <x:v>-5.2857142857142865</x:v>
      </x:c>
      <x:c r="AC911" s="20" t="n">
        <x:f>IF(OR(N911="",AA911="",AA911=0),"",AB911/AA911)</x:f>
        <x:v>-0.26428571428571435</x:v>
      </x:c>
      <x:c r="AD911" t="str">
        <x:f>IF(AA911="","NO STANDARD",IF(AC911&lt;=Config_Status!$B$2,"EFFICIENT",IF(AC911&lt;=Config_Status!$B$3,"NORMAL",IF(AC911&lt;=Config_Status!$B$4,"WARNING","OVER CONSUMPTION"))))</x:f>
        <x:v>EFFICIENT</x:v>
      </x:c>
      <x:c r="AE911" t="str">
        <x:f>IFERROR(VLOOKUP(G911,Master_Unit!$A$2:$N$78,13,FALSE),"UNIT NOT FOUND")</x:f>
        <x:v>Matched</x:v>
      </x:c>
    </x:row>
    <x:row r="912">
      <x:c r="A912" s="12" t="str">
        <x:v>FU-20260614-00911</x:v>
      </x:c>
      <x:c r="B912" s="12" t="n">
        <x:v>1041</x:v>
      </x:c>
      <x:c r="C912" s="14" t="n">
        <x:v>46187</x:v>
      </x:c>
      <x:c r="D912" s="12" t="str">
        <x:v>Minggu</x:v>
      </x:c>
      <x:c r="E912" s="12" t="str">
        <x:v>19:16:00</x:v>
      </x:c>
      <x:c r="F912" s="12" t="str">
        <x:v>All Shift Night</x:v>
      </x:c>
      <x:c r="G912" s="12" t="str">
        <x:v>EXVV21G032</x:v>
      </x:c>
      <x:c r="H912" s="12" t="str">
        <x:v>Excavator</x:v>
      </x:c>
      <x:c r="I912" s="12" t="str">
        <x:v>EXCAVATOR VOLVO EC210D</x:v>
      </x:c>
      <x:c r="J912" s="16" t="n">
        <x:v>71</x:v>
      </x:c>
      <x:c r="K912" s="16" t="n">
        <x:v>7566.9</x:v>
      </x:c>
      <x:c r="L912" s="16" t="n">
        <x:v>7574.5</x:v>
      </x:c>
      <x:c r="M912" s="16" t="n">
        <x:v>7.600000000000364</x:v>
      </x:c>
      <x:c r="N912" s="16" t="n">
        <x:v>9.342105263157448</x:v>
      </x:c>
      <x:c r="O912" s="12" t="str">
        <x:v>FTRL44G004</x:v>
      </x:c>
      <x:c r="P912" s="12" t="str">
        <x:v>EXVV21G032</x:v>
      </x:c>
      <x:c r="Q912" s="12" t="str"/>
      <x:c r="R912" s="12" t="str"/>
      <x:c r="S912" s="12" t="str"/>
      <x:c r="T912" s="12" t="str">
        <x:v>ABM</x:v>
      </x:c>
      <x:c r="U912" s="12" t="str"/>
      <x:c r="V912" s="12" t="str"/>
      <x:c r="W912" s="12" t="str"/>
      <x:c r="X912" s="12" t="str">
        <x:v>EXVV21</x:v>
      </x:c>
      <x:c r="Y912" s="12" t="str">
        <x:v>ANDI &amp; ANGGI</x:v>
      </x:c>
      <x:c r="Z912" s="12" t="str">
        <x:v>PIT</x:v>
      </x:c>
      <x:c r="AA912" s="32" t="n">
        <x:f>IFERROR(VLOOKUP(G912,Master_Unit!$A$2:$N$78,7,FALSE),"")</x:f>
        <x:v>20</x:v>
      </x:c>
      <x:c r="AB912" s="32" t="n">
        <x:f>IF(OR(N912="",AA912=""),"",N912-AA912)</x:f>
        <x:v>-10.657894736842552</x:v>
      </x:c>
      <x:c r="AC912" s="20" t="n">
        <x:f>IF(OR(N912="",AA912="",AA912=0),"",AB912/AA912)</x:f>
        <x:v>-0.5328947368421276</x:v>
      </x:c>
      <x:c r="AD912" t="str">
        <x:f>IF(AA912="","NO STANDARD",IF(AC912&lt;=Config_Status!$B$2,"EFFICIENT",IF(AC912&lt;=Config_Status!$B$3,"NORMAL",IF(AC912&lt;=Config_Status!$B$4,"WARNING","OVER CONSUMPTION"))))</x:f>
        <x:v>EFFICIENT</x:v>
      </x:c>
      <x:c r="AE912" t="str">
        <x:f>IFERROR(VLOOKUP(G912,Master_Unit!$A$2:$N$78,13,FALSE),"UNIT NOT FOUND")</x:f>
        <x:v>Matched</x:v>
      </x:c>
    </x:row>
    <x:row r="913">
      <x:c r="A913" s="12" t="str">
        <x:v>FU-20260614-00912</x:v>
      </x:c>
      <x:c r="B913" s="12" t="n">
        <x:v>1042</x:v>
      </x:c>
      <x:c r="C913" s="14" t="n">
        <x:v>46187</x:v>
      </x:c>
      <x:c r="D913" s="12" t="str">
        <x:v>Minggu</x:v>
      </x:c>
      <x:c r="E913" s="12" t="str">
        <x:v>19:23:00</x:v>
      </x:c>
      <x:c r="F913" s="12" t="str">
        <x:v>All Shift Night</x:v>
      </x:c>
      <x:c r="G913" s="12" t="str">
        <x:v>STRL44G135</x:v>
      </x:c>
      <x:c r="H913" s="12" t="str">
        <x:v>Dump Truck</x:v>
      </x:c>
      <x:c r="I913" s="12" t="str">
        <x:v>DUMP TRUCK RENAULT KRANGE440-P6X4 A/T</x:v>
      </x:c>
      <x:c r="J913" s="16" t="n">
        <x:v>72</x:v>
      </x:c>
      <x:c r="K913" s="16" t="n">
        <x:v>5880</x:v>
      </x:c>
      <x:c r="L913" s="16" t="n">
        <x:v>5893</x:v>
      </x:c>
      <x:c r="M913" s="16" t="n">
        <x:v>13</x:v>
      </x:c>
      <x:c r="N913" s="16" t="n">
        <x:v>5.538461538461538</x:v>
      </x:c>
      <x:c r="O913" s="12" t="str">
        <x:v>FTRL44G004</x:v>
      </x:c>
      <x:c r="P913" s="12" t="str">
        <x:v>STRL44G135</x:v>
      </x:c>
      <x:c r="Q913" s="12" t="str"/>
      <x:c r="R913" s="12" t="str"/>
      <x:c r="S913" s="12" t="str"/>
      <x:c r="T913" s="12" t="str">
        <x:v>ABM</x:v>
      </x:c>
      <x:c r="U913" s="12" t="str"/>
      <x:c r="V913" s="12" t="str"/>
      <x:c r="W913" s="12" t="str"/>
      <x:c r="X913" s="12" t="str">
        <x:v>STRL44</x:v>
      </x:c>
      <x:c r="Y913" s="12" t="str">
        <x:v>ANDI &amp; ANGGI</x:v>
      </x:c>
      <x:c r="Z913" s="12" t="str">
        <x:v>PIT</x:v>
      </x:c>
      <x:c r="AA913" s="32" t="n">
        <x:f>IFERROR(VLOOKUP(G913,Master_Unit!$A$2:$N$78,7,FALSE),"")</x:f>
        <x:v>20</x:v>
      </x:c>
      <x:c r="AB913" s="32" t="n">
        <x:f>IF(OR(N913="",AA913=""),"",N913-AA913)</x:f>
        <x:v>-14.461538461538462</x:v>
      </x:c>
      <x:c r="AC913" s="20" t="n">
        <x:f>IF(OR(N913="",AA913="",AA913=0),"",AB913/AA913)</x:f>
        <x:v>-0.7230769230769231</x:v>
      </x:c>
      <x:c r="AD913" t="str">
        <x:f>IF(AA913="","NO STANDARD",IF(AC913&lt;=Config_Status!$B$2,"EFFICIENT",IF(AC913&lt;=Config_Status!$B$3,"NORMAL",IF(AC913&lt;=Config_Status!$B$4,"WARNING","OVER CONSUMPTION"))))</x:f>
        <x:v>EFFICIENT</x:v>
      </x:c>
      <x:c r="AE913" t="str">
        <x:f>IFERROR(VLOOKUP(G913,Master_Unit!$A$2:$N$78,13,FALSE),"UNIT NOT FOUND")</x:f>
        <x:v>Matched</x:v>
      </x:c>
    </x:row>
    <x:row r="914">
      <x:c r="A914" s="12" t="str">
        <x:v>FU-20260614-00913</x:v>
      </x:c>
      <x:c r="B914" s="12" t="n">
        <x:v>1043</x:v>
      </x:c>
      <x:c r="C914" s="14" t="n">
        <x:v>46187</x:v>
      </x:c>
      <x:c r="D914" s="12" t="str">
        <x:v>Minggu</x:v>
      </x:c>
      <x:c r="E914" s="12" t="str">
        <x:v>19:27:00</x:v>
      </x:c>
      <x:c r="F914" s="12" t="str">
        <x:v>All Shift Night</x:v>
      </x:c>
      <x:c r="G914" s="12" t="str">
        <x:v>VRVV11G012</x:v>
      </x:c>
      <x:c r="H914" s="12" t="str">
        <x:v>Compactor</x:v>
      </x:c>
      <x:c r="I914" s="12" t="str">
        <x:v>VIBRO COMPACTOR VOLVO SD110NE</x:v>
      </x:c>
      <x:c r="J914" s="16" t="n">
        <x:v>66</x:v>
      </x:c>
      <x:c r="K914" s="16" t="n">
        <x:v>3332.5</x:v>
      </x:c>
      <x:c r="L914" s="16" t="n">
        <x:v>3335.5</x:v>
      </x:c>
      <x:c r="M914" s="16" t="n">
        <x:v>3</x:v>
      </x:c>
      <x:c r="N914" s="16" t="n">
        <x:v>22</x:v>
      </x:c>
      <x:c r="O914" s="12" t="str">
        <x:v>FTRL44G004</x:v>
      </x:c>
      <x:c r="P914" s="12" t="str">
        <x:v>VRVV11G012</x:v>
      </x:c>
      <x:c r="Q914" s="12" t="str"/>
      <x:c r="R914" s="12" t="str"/>
      <x:c r="S914" s="12" t="str"/>
      <x:c r="T914" s="12" t="str">
        <x:v>ABM</x:v>
      </x:c>
      <x:c r="U914" s="12" t="str"/>
      <x:c r="V914" s="12" t="str"/>
      <x:c r="W914" s="12" t="str"/>
      <x:c r="X914" s="12" t="str">
        <x:v>VRVV11</x:v>
      </x:c>
      <x:c r="Y914" s="12" t="str">
        <x:v>ANDI &amp; ANGGI</x:v>
      </x:c>
      <x:c r="Z914" s="12" t="str">
        <x:v>PIT</x:v>
      </x:c>
      <x:c r="AA914" s="32" t="n">
        <x:f>IFERROR(VLOOKUP(G914,Master_Unit!$A$2:$N$78,7,FALSE),"")</x:f>
        <x:v>15</x:v>
      </x:c>
      <x:c r="AB914" s="32" t="n">
        <x:f>IF(OR(N914="",AA914=""),"",N914-AA914)</x:f>
        <x:v>7</x:v>
      </x:c>
      <x:c r="AC914" s="20" t="n">
        <x:f>IF(OR(N914="",AA914="",AA914=0),"",AB914/AA914)</x:f>
        <x:v>0.4666666666666667</x:v>
      </x:c>
      <x:c r="AD914" t="str">
        <x:f>IF(AA914="","NO STANDARD",IF(AC914&lt;=Config_Status!$B$2,"EFFICIENT",IF(AC914&lt;=Config_Status!$B$3,"NORMAL",IF(AC914&lt;=Config_Status!$B$4,"WARNING","OVER CONSUMPTION"))))</x:f>
        <x:v>OVER CONSUMPTION</x:v>
      </x:c>
      <x:c r="AE914" t="str">
        <x:f>IFERROR(VLOOKUP(G914,Master_Unit!$A$2:$N$78,13,FALSE),"UNIT NOT FOUND")</x:f>
        <x:v>Matched</x:v>
      </x:c>
    </x:row>
    <x:row r="915">
      <x:c r="A915" s="12" t="str">
        <x:v>FU-20260614-00914</x:v>
      </x:c>
      <x:c r="B915" s="12" t="n">
        <x:v>1044</x:v>
      </x:c>
      <x:c r="C915" s="14" t="n">
        <x:v>46187</x:v>
      </x:c>
      <x:c r="D915" s="12" t="str">
        <x:v>Minggu</x:v>
      </x:c>
      <x:c r="E915" s="12" t="str">
        <x:v>19:32:00</x:v>
      </x:c>
      <x:c r="F915" s="12" t="str">
        <x:v>All Shift Night</x:v>
      </x:c>
      <x:c r="G915" s="12" t="str">
        <x:v>MGSD20G007</x:v>
      </x:c>
      <x:c r="H915" s="12" t="str">
        <x:v>Other</x:v>
      </x:c>
      <x:c r="I915" s="12" t="str">
        <x:v>MOTOR GRADER SDLG GD9220F</x:v>
      </x:c>
      <x:c r="J915" s="16" t="n">
        <x:v>85</x:v>
      </x:c>
      <x:c r="K915" s="16" t="n">
        <x:v>3767.7</x:v>
      </x:c>
      <x:c r="L915" s="16" t="n">
        <x:v>3773.4</x:v>
      </x:c>
      <x:c r="M915" s="16" t="n">
        <x:v>5.700000000000273</x:v>
      </x:c>
      <x:c r="N915" s="16" t="n">
        <x:v>14.912280701753673</x:v>
      </x:c>
      <x:c r="O915" s="12" t="str">
        <x:v>FTRL44G004</x:v>
      </x:c>
      <x:c r="P915" s="12" t="str">
        <x:v>MGSD20G007</x:v>
      </x:c>
      <x:c r="Q915" s="12" t="str"/>
      <x:c r="R915" s="12" t="str"/>
      <x:c r="S915" s="12" t="str"/>
      <x:c r="T915" s="12" t="str">
        <x:v>ABM</x:v>
      </x:c>
      <x:c r="U915" s="12" t="str"/>
      <x:c r="V915" s="12" t="str"/>
      <x:c r="W915" s="12" t="str"/>
      <x:c r="X915" s="12" t="str">
        <x:v>MGSD20</x:v>
      </x:c>
      <x:c r="Y915" s="12" t="str">
        <x:v>ANDI &amp; ANGGI</x:v>
      </x:c>
      <x:c r="Z915" s="12" t="str">
        <x:v>ETO</x:v>
      </x:c>
      <x:c r="AA915" s="32" t="n">
        <x:f>IFERROR(VLOOKUP(G915,Master_Unit!$A$2:$N$78,7,FALSE),"")</x:f>
        <x:v>20</x:v>
      </x:c>
      <x:c r="AB915" s="32" t="n">
        <x:f>IF(OR(N915="",AA915=""),"",N915-AA915)</x:f>
        <x:v>-5.087719298246327</x:v>
      </x:c>
      <x:c r="AC915" s="20" t="n">
        <x:f>IF(OR(N915="",AA915="",AA915=0),"",AB915/AA915)</x:f>
        <x:v>-0.25438596491231635</x:v>
      </x:c>
      <x:c r="AD915" t="str">
        <x:f>IF(AA915="","NO STANDARD",IF(AC915&lt;=Config_Status!$B$2,"EFFICIENT",IF(AC915&lt;=Config_Status!$B$3,"NORMAL",IF(AC915&lt;=Config_Status!$B$4,"WARNING","OVER CONSUMPTION"))))</x:f>
        <x:v>EFFICIENT</x:v>
      </x:c>
      <x:c r="AE915" t="str">
        <x:f>IFERROR(VLOOKUP(G915,Master_Unit!$A$2:$N$78,13,FALSE),"UNIT NOT FOUND")</x:f>
        <x:v>Matched</x:v>
      </x:c>
    </x:row>
    <x:row r="916">
      <x:c r="A916" s="12" t="str">
        <x:v>FU-20260614-00915</x:v>
      </x:c>
      <x:c r="B916" s="12" t="n">
        <x:v>1045</x:v>
      </x:c>
      <x:c r="C916" s="14" t="n">
        <x:v>46187</x:v>
      </x:c>
      <x:c r="D916" s="12" t="str">
        <x:v>Minggu</x:v>
      </x:c>
      <x:c r="E916" s="12" t="str">
        <x:v>19:43:00</x:v>
      </x:c>
      <x:c r="F916" s="12" t="str">
        <x:v>All Shift Night</x:v>
      </x:c>
      <x:c r="G916" s="12" t="str">
        <x:v>STRL44G136</x:v>
      </x:c>
      <x:c r="H916" s="12" t="str">
        <x:v>Dump Truck</x:v>
      </x:c>
      <x:c r="I916" s="12" t="str">
        <x:v>DUMP TRUCK RENAULT KRANGE440-P6X4 A/T</x:v>
      </x:c>
      <x:c r="J916" s="16" t="n">
        <x:v>71</x:v>
      </x:c>
      <x:c r="K916" s="16" t="n">
        <x:v>5868</x:v>
      </x:c>
      <x:c r="L916" s="16" t="n">
        <x:v>5882</x:v>
      </x:c>
      <x:c r="M916" s="16" t="n">
        <x:v>14</x:v>
      </x:c>
      <x:c r="N916" s="16" t="n">
        <x:v>5.071428571428571</x:v>
      </x:c>
      <x:c r="O916" s="12" t="str">
        <x:v>FTRL44G004</x:v>
      </x:c>
      <x:c r="P916" s="12" t="str">
        <x:v>STRL44G136</x:v>
      </x:c>
      <x:c r="Q916" s="12" t="str"/>
      <x:c r="R916" s="12" t="str"/>
      <x:c r="S916" s="12" t="str"/>
      <x:c r="T916" s="12" t="str">
        <x:v>ABM</x:v>
      </x:c>
      <x:c r="U916" s="12" t="str"/>
      <x:c r="V916" s="12" t="str"/>
      <x:c r="W916" s="12" t="str"/>
      <x:c r="X916" s="12" t="str">
        <x:v>STRL44</x:v>
      </x:c>
      <x:c r="Y916" s="12" t="str">
        <x:v>ANDI &amp; ANGGI</x:v>
      </x:c>
      <x:c r="Z916" s="12" t="str">
        <x:v>SUPPORT</x:v>
      </x:c>
      <x:c r="AA916" s="32" t="n">
        <x:f>IFERROR(VLOOKUP(G916,Master_Unit!$A$2:$N$78,7,FALSE),"")</x:f>
        <x:v>20</x:v>
      </x:c>
      <x:c r="AB916" s="32" t="n">
        <x:f>IF(OR(N916="",AA916=""),"",N916-AA916)</x:f>
        <x:v>-14.928571428571429</x:v>
      </x:c>
      <x:c r="AC916" s="20" t="n">
        <x:f>IF(OR(N916="",AA916="",AA916=0),"",AB916/AA916)</x:f>
        <x:v>-0.7464285714285714</x:v>
      </x:c>
      <x:c r="AD916" t="str">
        <x:f>IF(AA916="","NO STANDARD",IF(AC916&lt;=Config_Status!$B$2,"EFFICIENT",IF(AC916&lt;=Config_Status!$B$3,"NORMAL",IF(AC916&lt;=Config_Status!$B$4,"WARNING","OVER CONSUMPTION"))))</x:f>
        <x:v>EFFICIENT</x:v>
      </x:c>
      <x:c r="AE916" t="str">
        <x:f>IFERROR(VLOOKUP(G916,Master_Unit!$A$2:$N$78,13,FALSE),"UNIT NOT FOUND")</x:f>
        <x:v>Matched</x:v>
      </x:c>
    </x:row>
    <x:row r="917">
      <x:c r="A917" s="12" t="str">
        <x:v>FU-20260614-00916</x:v>
      </x:c>
      <x:c r="B917" s="12" t="n">
        <x:v>1046</x:v>
      </x:c>
      <x:c r="C917" s="14" t="n">
        <x:v>46187</x:v>
      </x:c>
      <x:c r="D917" s="12" t="str">
        <x:v>Minggu</x:v>
      </x:c>
      <x:c r="E917" s="12" t="str">
        <x:v>19:46:00</x:v>
      </x:c>
      <x:c r="F917" s="12" t="str">
        <x:v>All Shift Night</x:v>
      </x:c>
      <x:c r="G917" s="12" t="str">
        <x:v>STRL44G138</x:v>
      </x:c>
      <x:c r="H917" s="12" t="str">
        <x:v>Dump Truck</x:v>
      </x:c>
      <x:c r="I917" s="12" t="str">
        <x:v>DUMP TRUCK RENAULT KRANGE440-P6X4 A/T</x:v>
      </x:c>
      <x:c r="J917" s="16" t="n">
        <x:v>87</x:v>
      </x:c>
      <x:c r="K917" s="16" t="n">
        <x:v>5348</x:v>
      </x:c>
      <x:c r="L917" s="16" t="n">
        <x:v>5357</x:v>
      </x:c>
      <x:c r="M917" s="16" t="n">
        <x:v>9</x:v>
      </x:c>
      <x:c r="N917" s="16" t="n">
        <x:v>9.666666666666666</x:v>
      </x:c>
      <x:c r="O917" s="12" t="str">
        <x:v>FTRL44G004</x:v>
      </x:c>
      <x:c r="P917" s="12" t="str">
        <x:v>STRL44G138</x:v>
      </x:c>
      <x:c r="Q917" s="12" t="str"/>
      <x:c r="R917" s="12" t="str"/>
      <x:c r="S917" s="12" t="str"/>
      <x:c r="T917" s="12" t="str">
        <x:v>ABM</x:v>
      </x:c>
      <x:c r="U917" s="12" t="str"/>
      <x:c r="V917" s="12" t="str"/>
      <x:c r="W917" s="12" t="str"/>
      <x:c r="X917" s="12" t="str">
        <x:v>STRL44</x:v>
      </x:c>
      <x:c r="Y917" s="12" t="str">
        <x:v>ANDI &amp; ANGGI</x:v>
      </x:c>
      <x:c r="Z917" s="12" t="str">
        <x:v>SUPPORT</x:v>
      </x:c>
      <x:c r="AA917" s="32" t="n">
        <x:f>IFERROR(VLOOKUP(G917,Master_Unit!$A$2:$N$78,7,FALSE),"")</x:f>
        <x:v>20</x:v>
      </x:c>
      <x:c r="AB917" s="32" t="n">
        <x:f>IF(OR(N917="",AA917=""),"",N917-AA917)</x:f>
        <x:v>-10.333333333333334</x:v>
      </x:c>
      <x:c r="AC917" s="20" t="n">
        <x:f>IF(OR(N917="",AA917="",AA917=0),"",AB917/AA917)</x:f>
        <x:v>-0.5166666666666667</x:v>
      </x:c>
      <x:c r="AD917" t="str">
        <x:f>IF(AA917="","NO STANDARD",IF(AC917&lt;=Config_Status!$B$2,"EFFICIENT",IF(AC917&lt;=Config_Status!$B$3,"NORMAL",IF(AC917&lt;=Config_Status!$B$4,"WARNING","OVER CONSUMPTION"))))</x:f>
        <x:v>EFFICIENT</x:v>
      </x:c>
      <x:c r="AE917" t="str">
        <x:f>IFERROR(VLOOKUP(G917,Master_Unit!$A$2:$N$78,13,FALSE),"UNIT NOT FOUND")</x:f>
        <x:v>Matched</x:v>
      </x:c>
    </x:row>
    <x:row r="918">
      <x:c r="A918" s="12" t="str">
        <x:v>FU-20260614-00917</x:v>
      </x:c>
      <x:c r="B918" s="12" t="n">
        <x:v>1047</x:v>
      </x:c>
      <x:c r="C918" s="14" t="n">
        <x:v>46187</x:v>
      </x:c>
      <x:c r="D918" s="12" t="str">
        <x:v>Minggu</x:v>
      </x:c>
      <x:c r="E918" s="12" t="str">
        <x:v>19:55:00</x:v>
      </x:c>
      <x:c r="F918" s="12" t="str">
        <x:v>All Shift Night</x:v>
      </x:c>
      <x:c r="G918" s="12" t="str">
        <x:v>STRL44G137</x:v>
      </x:c>
      <x:c r="H918" s="12" t="str">
        <x:v>Dump Truck</x:v>
      </x:c>
      <x:c r="I918" s="12" t="str">
        <x:v>DUMP TRUCK RENAULT KRANGE440-P6X4 A/T</x:v>
      </x:c>
      <x:c r="J918" s="16" t="n">
        <x:v>71</x:v>
      </x:c>
      <x:c r="K918" s="16" t="n">
        <x:v>6450</x:v>
      </x:c>
      <x:c r="L918" s="16" t="n">
        <x:v>6465</x:v>
      </x:c>
      <x:c r="M918" s="16" t="n">
        <x:v>15</x:v>
      </x:c>
      <x:c r="N918" s="16" t="n">
        <x:v>4.733333333333333</x:v>
      </x:c>
      <x:c r="O918" s="12" t="str">
        <x:v>FTRL44G004</x:v>
      </x:c>
      <x:c r="P918" s="12" t="str">
        <x:v>STRL44G137</x:v>
      </x:c>
      <x:c r="Q918" s="12" t="str"/>
      <x:c r="R918" s="12" t="str"/>
      <x:c r="S918" s="12" t="str"/>
      <x:c r="T918" s="12" t="str">
        <x:v>ABM</x:v>
      </x:c>
      <x:c r="U918" s="12" t="str"/>
      <x:c r="V918" s="12" t="str"/>
      <x:c r="W918" s="12" t="str"/>
      <x:c r="X918" s="12" t="str">
        <x:v>STRL44</x:v>
      </x:c>
      <x:c r="Y918" s="12" t="str">
        <x:v>ANDI &amp; ANGGI</x:v>
      </x:c>
      <x:c r="Z918" s="12" t="str">
        <x:v>PIT</x:v>
      </x:c>
      <x:c r="AA918" s="32" t="n">
        <x:f>IFERROR(VLOOKUP(G918,Master_Unit!$A$2:$N$78,7,FALSE),"")</x:f>
        <x:v>20</x:v>
      </x:c>
      <x:c r="AB918" s="32" t="n">
        <x:f>IF(OR(N918="",AA918=""),"",N918-AA918)</x:f>
        <x:v>-15.266666666666666</x:v>
      </x:c>
      <x:c r="AC918" s="20" t="n">
        <x:f>IF(OR(N918="",AA918="",AA918=0),"",AB918/AA918)</x:f>
        <x:v>-0.7633333333333333</x:v>
      </x:c>
      <x:c r="AD918" t="str">
        <x:f>IF(AA918="","NO STANDARD",IF(AC918&lt;=Config_Status!$B$2,"EFFICIENT",IF(AC918&lt;=Config_Status!$B$3,"NORMAL",IF(AC918&lt;=Config_Status!$B$4,"WARNING","OVER CONSUMPTION"))))</x:f>
        <x:v>EFFICIENT</x:v>
      </x:c>
      <x:c r="AE918" t="str">
        <x:f>IFERROR(VLOOKUP(G918,Master_Unit!$A$2:$N$78,13,FALSE),"UNIT NOT FOUND")</x:f>
        <x:v>Matched</x:v>
      </x:c>
    </x:row>
    <x:row r="919">
      <x:c r="A919" s="12" t="str">
        <x:v>FU-20260614-00918</x:v>
      </x:c>
      <x:c r="B919" s="12" t="n">
        <x:v>1048</x:v>
      </x:c>
      <x:c r="C919" s="14" t="n">
        <x:v>46187</x:v>
      </x:c>
      <x:c r="D919" s="12" t="str">
        <x:v>Minggu</x:v>
      </x:c>
      <x:c r="E919" s="12" t="str">
        <x:v>19:59:00</x:v>
      </x:c>
      <x:c r="F919" s="12" t="str">
        <x:v>All Shift Night</x:v>
      </x:c>
      <x:c r="G919" s="12" t="str">
        <x:v>STRL44G142</x:v>
      </x:c>
      <x:c r="H919" s="12" t="str">
        <x:v>Dump Truck</x:v>
      </x:c>
      <x:c r="I919" s="12" t="str">
        <x:v>DUMP TRUCK RENAULT KRANGE440-P6X4 A/T</x:v>
      </x:c>
      <x:c r="J919" s="16" t="n">
        <x:v>153</x:v>
      </x:c>
      <x:c r="K919" s="16" t="n">
        <x:v>3389</x:v>
      </x:c>
      <x:c r="L919" s="16" t="n">
        <x:v>3404</x:v>
      </x:c>
      <x:c r="M919" s="16" t="n">
        <x:v>15</x:v>
      </x:c>
      <x:c r="N919" s="16" t="n">
        <x:v>10.2</x:v>
      </x:c>
      <x:c r="O919" s="12" t="str">
        <x:v>FTRL44G004</x:v>
      </x:c>
      <x:c r="P919" s="12" t="str">
        <x:v>STRL44G142</x:v>
      </x:c>
      <x:c r="Q919" s="12" t="str"/>
      <x:c r="R919" s="12" t="str"/>
      <x:c r="S919" s="12" t="str"/>
      <x:c r="T919" s="12" t="str">
        <x:v>ABM</x:v>
      </x:c>
      <x:c r="U919" s="12" t="str"/>
      <x:c r="V919" s="12" t="str"/>
      <x:c r="W919" s="12" t="str"/>
      <x:c r="X919" s="12" t="str">
        <x:v>STRL44</x:v>
      </x:c>
      <x:c r="Y919" s="12" t="str">
        <x:v>ANDI &amp; ANGGI</x:v>
      </x:c>
      <x:c r="Z919" s="12" t="str">
        <x:v>SUPPORT</x:v>
      </x:c>
      <x:c r="AA919" s="32" t="n">
        <x:f>IFERROR(VLOOKUP(G919,Master_Unit!$A$2:$N$78,7,FALSE),"")</x:f>
        <x:v>20</x:v>
      </x:c>
      <x:c r="AB919" s="32" t="n">
        <x:f>IF(OR(N919="",AA919=""),"",N919-AA919)</x:f>
        <x:v>-9.8</x:v>
      </x:c>
      <x:c r="AC919" s="20" t="n">
        <x:f>IF(OR(N919="",AA919="",AA919=0),"",AB919/AA919)</x:f>
        <x:v>-0.49000000000000005</x:v>
      </x:c>
      <x:c r="AD919" t="str">
        <x:f>IF(AA919="","NO STANDARD",IF(AC919&lt;=Config_Status!$B$2,"EFFICIENT",IF(AC919&lt;=Config_Status!$B$3,"NORMAL",IF(AC919&lt;=Config_Status!$B$4,"WARNING","OVER CONSUMPTION"))))</x:f>
        <x:v>EFFICIENT</x:v>
      </x:c>
      <x:c r="AE919" t="str">
        <x:f>IFERROR(VLOOKUP(G919,Master_Unit!$A$2:$N$78,13,FALSE),"UNIT NOT FOUND")</x:f>
        <x:v>Matched</x:v>
      </x:c>
    </x:row>
    <x:row r="920">
      <x:c r="A920" s="12" t="str">
        <x:v>FU-20260614-00919</x:v>
      </x:c>
      <x:c r="B920" s="12" t="n">
        <x:v>1049</x:v>
      </x:c>
      <x:c r="C920" s="14" t="n">
        <x:v>46187</x:v>
      </x:c>
      <x:c r="D920" s="12" t="str">
        <x:v>Minggu</x:v>
      </x:c>
      <x:c r="E920" s="12" t="str">
        <x:v>20:03:00</x:v>
      </x:c>
      <x:c r="F920" s="12" t="str">
        <x:v>All Shift Night</x:v>
      </x:c>
      <x:c r="G920" s="12" t="str">
        <x:v>STRL44G134</x:v>
      </x:c>
      <x:c r="H920" s="12" t="str">
        <x:v>Dump Truck</x:v>
      </x:c>
      <x:c r="I920" s="12" t="str">
        <x:v>DUMP TRUCK RENAULT KRANGE440-P6X4 A/T</x:v>
      </x:c>
      <x:c r="J920" s="16" t="n">
        <x:v>71</x:v>
      </x:c>
      <x:c r="K920" s="16" t="n">
        <x:v>5723</x:v>
      </x:c>
      <x:c r="L920" s="16" t="n">
        <x:v>5736</x:v>
      </x:c>
      <x:c r="M920" s="16" t="n">
        <x:v>13</x:v>
      </x:c>
      <x:c r="N920" s="16" t="n">
        <x:v>5.461538461538462</x:v>
      </x:c>
      <x:c r="O920" s="12" t="str">
        <x:v>FTRL44G004</x:v>
      </x:c>
      <x:c r="P920" s="12" t="str">
        <x:v>STRL44G134</x:v>
      </x:c>
      <x:c r="Q920" s="12" t="str"/>
      <x:c r="R920" s="12" t="str"/>
      <x:c r="S920" s="12" t="str"/>
      <x:c r="T920" s="12" t="str">
        <x:v>ABM</x:v>
      </x:c>
      <x:c r="U920" s="12" t="str"/>
      <x:c r="V920" s="12" t="str"/>
      <x:c r="W920" s="12" t="str"/>
      <x:c r="X920" s="12" t="str">
        <x:v>STRL44</x:v>
      </x:c>
      <x:c r="Y920" s="12" t="str">
        <x:v>ANDI &amp; ANGGI</x:v>
      </x:c>
      <x:c r="Z920" s="12" t="str">
        <x:v>SUPPORT</x:v>
      </x:c>
      <x:c r="AA920" s="32" t="n">
        <x:f>IFERROR(VLOOKUP(G920,Master_Unit!$A$2:$N$78,7,FALSE),"")</x:f>
        <x:v>20</x:v>
      </x:c>
      <x:c r="AB920" s="32" t="n">
        <x:f>IF(OR(N920="",AA920=""),"",N920-AA920)</x:f>
        <x:v>-14.538461538461538</x:v>
      </x:c>
      <x:c r="AC920" s="20" t="n">
        <x:f>IF(OR(N920="",AA920="",AA920=0),"",AB920/AA920)</x:f>
        <x:v>-0.7269230769230769</x:v>
      </x:c>
      <x:c r="AD920" t="str">
        <x:f>IF(AA920="","NO STANDARD",IF(AC920&lt;=Config_Status!$B$2,"EFFICIENT",IF(AC920&lt;=Config_Status!$B$3,"NORMAL",IF(AC920&lt;=Config_Status!$B$4,"WARNING","OVER CONSUMPTION"))))</x:f>
        <x:v>EFFICIENT</x:v>
      </x:c>
      <x:c r="AE920" t="str">
        <x:f>IFERROR(VLOOKUP(G920,Master_Unit!$A$2:$N$78,13,FALSE),"UNIT NOT FOUND")</x:f>
        <x:v>Matched</x:v>
      </x:c>
    </x:row>
    <x:row r="921">
      <x:c r="A921" s="12" t="str">
        <x:v>FU-20260614-00920</x:v>
      </x:c>
      <x:c r="B921" s="12" t="n">
        <x:v>1050</x:v>
      </x:c>
      <x:c r="C921" s="14" t="n">
        <x:v>46187</x:v>
      </x:c>
      <x:c r="D921" s="12" t="str">
        <x:v>Minggu</x:v>
      </x:c>
      <x:c r="E921" s="12" t="str">
        <x:v>20:11:00</x:v>
      </x:c>
      <x:c r="F921" s="12" t="str">
        <x:v>All Shift Night</x:v>
      </x:c>
      <x:c r="G921" s="12" t="str">
        <x:v>STRL44G152</x:v>
      </x:c>
      <x:c r="H921" s="12" t="str">
        <x:v>Dump Truck</x:v>
      </x:c>
      <x:c r="I921" s="12" t="str">
        <x:v>DUMP TRUCK RENAULT KRANGE440-P6X4 A/T</x:v>
      </x:c>
      <x:c r="J921" s="16" t="n">
        <x:v>153</x:v>
      </x:c>
      <x:c r="K921" s="16" t="n">
        <x:v>3748</x:v>
      </x:c>
      <x:c r="L921" s="16" t="n">
        <x:v>3752</x:v>
      </x:c>
      <x:c r="M921" s="16" t="n">
        <x:v>4</x:v>
      </x:c>
      <x:c r="N921" s="16" t="n">
        <x:v>38.25</x:v>
      </x:c>
      <x:c r="O921" s="12" t="str">
        <x:v>FTRL44G004</x:v>
      </x:c>
      <x:c r="P921" s="12" t="str">
        <x:v>STRL44G152</x:v>
      </x:c>
      <x:c r="Q921" s="12" t="str"/>
      <x:c r="R921" s="12" t="str"/>
      <x:c r="S921" s="12" t="str"/>
      <x:c r="T921" s="12" t="str">
        <x:v>ABM</x:v>
      </x:c>
      <x:c r="U921" s="12" t="str"/>
      <x:c r="V921" s="12" t="str"/>
      <x:c r="W921" s="12" t="str"/>
      <x:c r="X921" s="12" t="str">
        <x:v>STRL44</x:v>
      </x:c>
      <x:c r="Y921" s="12" t="str">
        <x:v>ANDI &amp; ANGGI</x:v>
      </x:c>
      <x:c r="Z921" s="12" t="str">
        <x:v>PIT</x:v>
      </x:c>
      <x:c r="AA921" s="32" t="n">
        <x:f>IFERROR(VLOOKUP(G921,Master_Unit!$A$2:$N$78,7,FALSE),"")</x:f>
        <x:v>20</x:v>
      </x:c>
      <x:c r="AB921" s="32" t="n">
        <x:f>IF(OR(N921="",AA921=""),"",N921-AA921)</x:f>
        <x:v>18.25</x:v>
      </x:c>
      <x:c r="AC921" s="20" t="n">
        <x:f>IF(OR(N921="",AA921="",AA921=0),"",AB921/AA921)</x:f>
        <x:v>0.9125</x:v>
      </x:c>
      <x:c r="AD921" t="str">
        <x:f>IF(AA921="","NO STANDARD",IF(AC921&lt;=Config_Status!$B$2,"EFFICIENT",IF(AC921&lt;=Config_Status!$B$3,"NORMAL",IF(AC921&lt;=Config_Status!$B$4,"WARNING","OVER CONSUMPTION"))))</x:f>
        <x:v>OVER CONSUMPTION</x:v>
      </x:c>
      <x:c r="AE921" t="str">
        <x:f>IFERROR(VLOOKUP(G921,Master_Unit!$A$2:$N$78,13,FALSE),"UNIT NOT FOUND")</x:f>
        <x:v>Matched</x:v>
      </x:c>
    </x:row>
    <x:row r="922">
      <x:c r="A922" s="12" t="str">
        <x:v>FU-20260614-00921</x:v>
      </x:c>
      <x:c r="B922" s="12" t="n">
        <x:v>1051</x:v>
      </x:c>
      <x:c r="C922" s="14" t="n">
        <x:v>46187</x:v>
      </x:c>
      <x:c r="D922" s="12" t="str">
        <x:v>Minggu</x:v>
      </x:c>
      <x:c r="E922" s="12" t="str">
        <x:v>20:21:00</x:v>
      </x:c>
      <x:c r="F922" s="12" t="str">
        <x:v>All Shift Night</x:v>
      </x:c>
      <x:c r="G922" s="12" t="str">
        <x:v>STRL44G139</x:v>
      </x:c>
      <x:c r="H922" s="12" t="str">
        <x:v>Dump Truck</x:v>
      </x:c>
      <x:c r="I922" s="12" t="str">
        <x:v>DUMP TRUCK RENAULT KRANGE440-P6X4 A/T</x:v>
      </x:c>
      <x:c r="J922" s="16" t="n">
        <x:v>103</x:v>
      </x:c>
      <x:c r="K922" s="16" t="n">
        <x:v>5016</x:v>
      </x:c>
      <x:c r="L922" s="16" t="n">
        <x:v>5033</x:v>
      </x:c>
      <x:c r="M922" s="16" t="n">
        <x:v>17</x:v>
      </x:c>
      <x:c r="N922" s="16" t="n">
        <x:v>6.0588235294117645</x:v>
      </x:c>
      <x:c r="O922" s="12" t="str">
        <x:v>FTRL44G004</x:v>
      </x:c>
      <x:c r="P922" s="12" t="str">
        <x:v>STRL44G139</x:v>
      </x:c>
      <x:c r="Q922" s="12" t="str"/>
      <x:c r="R922" s="12" t="str"/>
      <x:c r="S922" s="12" t="str"/>
      <x:c r="T922" s="12" t="str">
        <x:v>ABM</x:v>
      </x:c>
      <x:c r="U922" s="12" t="str"/>
      <x:c r="V922" s="12" t="str"/>
      <x:c r="W922" s="12" t="str"/>
      <x:c r="X922" s="12" t="str">
        <x:v>STRL44</x:v>
      </x:c>
      <x:c r="Y922" s="12" t="str">
        <x:v>ANDI &amp; ANGGI</x:v>
      </x:c>
      <x:c r="Z922" s="12" t="str">
        <x:v>PIT</x:v>
      </x:c>
      <x:c r="AA922" s="32" t="n">
        <x:f>IFERROR(VLOOKUP(G922,Master_Unit!$A$2:$N$78,7,FALSE),"")</x:f>
        <x:v>20</x:v>
      </x:c>
      <x:c r="AB922" s="32" t="n">
        <x:f>IF(OR(N922="",AA922=""),"",N922-AA922)</x:f>
        <x:v>-13.941176470588236</x:v>
      </x:c>
      <x:c r="AC922" s="20" t="n">
        <x:f>IF(OR(N922="",AA922="",AA922=0),"",AB922/AA922)</x:f>
        <x:v>-0.6970588235294117</x:v>
      </x:c>
      <x:c r="AD922" t="str">
        <x:f>IF(AA922="","NO STANDARD",IF(AC922&lt;=Config_Status!$B$2,"EFFICIENT",IF(AC922&lt;=Config_Status!$B$3,"NORMAL",IF(AC922&lt;=Config_Status!$B$4,"WARNING","OVER CONSUMPTION"))))</x:f>
        <x:v>EFFICIENT</x:v>
      </x:c>
      <x:c r="AE922" t="str">
        <x:f>IFERROR(VLOOKUP(G922,Master_Unit!$A$2:$N$78,13,FALSE),"UNIT NOT FOUND")</x:f>
        <x:v>Matched</x:v>
      </x:c>
    </x:row>
    <x:row r="923">
      <x:c r="A923" s="12" t="str">
        <x:v>FU-20260614-00922</x:v>
      </x:c>
      <x:c r="B923" s="12" t="n">
        <x:v>1052</x:v>
      </x:c>
      <x:c r="C923" s="14" t="n">
        <x:v>46187</x:v>
      </x:c>
      <x:c r="D923" s="12" t="str">
        <x:v>Minggu</x:v>
      </x:c>
      <x:c r="E923" s="12" t="str">
        <x:v>20:29:00</x:v>
      </x:c>
      <x:c r="F923" s="12" t="str">
        <x:v>All Shift Night</x:v>
      </x:c>
      <x:c r="G923" s="12" t="str">
        <x:v>EXVV21G037</x:v>
      </x:c>
      <x:c r="H923" s="12" t="str">
        <x:v>Excavator</x:v>
      </x:c>
      <x:c r="I923" s="12" t="str">
        <x:v>EXCAVATOR VOLVO EC210D</x:v>
      </x:c>
      <x:c r="J923" s="16" t="n">
        <x:v>125</x:v>
      </x:c>
      <x:c r="K923" s="16" t="n">
        <x:v>6917.9</x:v>
      </x:c>
      <x:c r="L923" s="16" t="n">
        <x:v>6924.6</x:v>
      </x:c>
      <x:c r="M923" s="16" t="n">
        <x:v>6.700000000000728</x:v>
      </x:c>
      <x:c r="N923" s="16" t="n">
        <x:v>18.65671641790842</x:v>
      </x:c>
      <x:c r="O923" s="12" t="str">
        <x:v>FTRL44G004</x:v>
      </x:c>
      <x:c r="P923" s="12" t="str">
        <x:v>EXVV21G037</x:v>
      </x:c>
      <x:c r="Q923" s="12" t="str"/>
      <x:c r="R923" s="12" t="str"/>
      <x:c r="S923" s="12" t="str"/>
      <x:c r="T923" s="12" t="str">
        <x:v>ABM</x:v>
      </x:c>
      <x:c r="U923" s="12" t="str"/>
      <x:c r="V923" s="12" t="str"/>
      <x:c r="W923" s="12" t="str"/>
      <x:c r="X923" s="12" t="str">
        <x:v>EXVV21</x:v>
      </x:c>
      <x:c r="Y923" s="12" t="str">
        <x:v>ANDI &amp; ANGGI</x:v>
      </x:c>
      <x:c r="Z923" s="12" t="str">
        <x:v>SUPPORT</x:v>
      </x:c>
      <x:c r="AA923" s="32" t="n">
        <x:f>IFERROR(VLOOKUP(G923,Master_Unit!$A$2:$N$78,7,FALSE),"")</x:f>
        <x:v>20</x:v>
      </x:c>
      <x:c r="AB923" s="32" t="n">
        <x:f>IF(OR(N923="",AA923=""),"",N923-AA923)</x:f>
        <x:v>-1.3432835820915798</x:v>
      </x:c>
      <x:c r="AC923" s="20" t="n">
        <x:f>IF(OR(N923="",AA923="",AA923=0),"",AB923/AA923)</x:f>
        <x:v>-0.06716417910457899</x:v>
      </x:c>
      <x:c r="AD923" t="str">
        <x:f>IF(AA923="","NO STANDARD",IF(AC923&lt;=Config_Status!$B$2,"EFFICIENT",IF(AC923&lt;=Config_Status!$B$3,"NORMAL",IF(AC923&lt;=Config_Status!$B$4,"WARNING","OVER CONSUMPTION"))))</x:f>
        <x:v>NORMAL</x:v>
      </x:c>
      <x:c r="AE923" t="str">
        <x:f>IFERROR(VLOOKUP(G923,Master_Unit!$A$2:$N$78,13,FALSE),"UNIT NOT FOUND")</x:f>
        <x:v>Matched</x:v>
      </x:c>
    </x:row>
    <x:row r="924">
      <x:c r="A924" s="12" t="str">
        <x:v>FU-20260614-00923</x:v>
      </x:c>
      <x:c r="B924" s="12" t="n">
        <x:v>1053</x:v>
      </x:c>
      <x:c r="C924" s="14" t="n">
        <x:v>46187</x:v>
      </x:c>
      <x:c r="D924" s="12" t="str">
        <x:v>Minggu</x:v>
      </x:c>
      <x:c r="E924" s="12" t="str">
        <x:v>20:55:00</x:v>
      </x:c>
      <x:c r="F924" s="12" t="str">
        <x:v>All Shift Night</x:v>
      </x:c>
      <x:c r="G924" s="12" t="str">
        <x:v>STRL44G154</x:v>
      </x:c>
      <x:c r="H924" s="12" t="str">
        <x:v>Dump Truck</x:v>
      </x:c>
      <x:c r="I924" s="12" t="str">
        <x:v>DUMP TRUCK RENAULT KRANGE440-P6X4 A/T</x:v>
      </x:c>
      <x:c r="J924" s="16" t="n">
        <x:v>203</x:v>
      </x:c>
      <x:c r="K924" s="16" t="n">
        <x:v>4139</x:v>
      </x:c>
      <x:c r="L924" s="16" t="n">
        <x:v>4145</x:v>
      </x:c>
      <x:c r="M924" s="16" t="n">
        <x:v>6</x:v>
      </x:c>
      <x:c r="N924" s="16" t="n">
        <x:v>33.833333333333336</x:v>
      </x:c>
      <x:c r="O924" s="12" t="str">
        <x:v>FTRL44G004</x:v>
      </x:c>
      <x:c r="P924" s="12" t="str">
        <x:v>STRL44G154</x:v>
      </x:c>
      <x:c r="Q924" s="12" t="str"/>
      <x:c r="R924" s="12" t="str"/>
      <x:c r="S924" s="12" t="str"/>
      <x:c r="T924" s="12" t="str">
        <x:v>ABM</x:v>
      </x:c>
      <x:c r="U924" s="12" t="str"/>
      <x:c r="V924" s="12" t="str"/>
      <x:c r="W924" s="12" t="str"/>
      <x:c r="X924" s="12" t="str">
        <x:v>STRL44</x:v>
      </x:c>
      <x:c r="Y924" s="12" t="str">
        <x:v>ANDI &amp; ANGGI</x:v>
      </x:c>
      <x:c r="Z924" s="12" t="str">
        <x:v>PIT</x:v>
      </x:c>
      <x:c r="AA924" s="32" t="n">
        <x:f>IFERROR(VLOOKUP(G924,Master_Unit!$A$2:$N$78,7,FALSE),"")</x:f>
        <x:v>20</x:v>
      </x:c>
      <x:c r="AB924" s="32" t="n">
        <x:f>IF(OR(N924="",AA924=""),"",N924-AA924)</x:f>
        <x:v>13.833333333333336</x:v>
      </x:c>
      <x:c r="AC924" s="20" t="n">
        <x:f>IF(OR(N924="",AA924="",AA924=0),"",AB924/AA924)</x:f>
        <x:v>0.6916666666666668</x:v>
      </x:c>
      <x:c r="AD924" t="str">
        <x:f>IF(AA924="","NO STANDARD",IF(AC924&lt;=Config_Status!$B$2,"EFFICIENT",IF(AC924&lt;=Config_Status!$B$3,"NORMAL",IF(AC924&lt;=Config_Status!$B$4,"WARNING","OVER CONSUMPTION"))))</x:f>
        <x:v>OVER CONSUMPTION</x:v>
      </x:c>
      <x:c r="AE924" t="str">
        <x:f>IFERROR(VLOOKUP(G924,Master_Unit!$A$2:$N$78,13,FALSE),"UNIT NOT FOUND")</x:f>
        <x:v>Matched</x:v>
      </x:c>
    </x:row>
    <x:row r="925">
      <x:c r="A925" s="12" t="str">
        <x:v>FU-20260614-00924</x:v>
      </x:c>
      <x:c r="B925" s="12" t="n">
        <x:v>1054</x:v>
      </x:c>
      <x:c r="C925" s="14" t="n">
        <x:v>46187</x:v>
      </x:c>
      <x:c r="D925" s="12" t="str">
        <x:v>Minggu</x:v>
      </x:c>
      <x:c r="E925" s="12" t="str">
        <x:v>21:17:00</x:v>
      </x:c>
      <x:c r="F925" s="12" t="str">
        <x:v>All Shift Night</x:v>
      </x:c>
      <x:c r="G925" s="12" t="str">
        <x:v>BDKM85G040</x:v>
      </x:c>
      <x:c r="H925" s="12" t="str">
        <x:v>Dozer</x:v>
      </x:c>
      <x:c r="I925" s="12" t="str">
        <x:v>BULDOZER KOMATSU D85ESS-2</x:v>
      </x:c>
      <x:c r="J925" s="16" t="n">
        <x:v>89</x:v>
      </x:c>
      <x:c r="K925" s="16" t="n">
        <x:v>6286.5</x:v>
      </x:c>
      <x:c r="L925" s="16" t="n">
        <x:v>6291.1</x:v>
      </x:c>
      <x:c r="M925" s="16" t="n">
        <x:v>4.600000000000364</x:v>
      </x:c>
      <x:c r="N925" s="16" t="n">
        <x:v>19.347826086954992</x:v>
      </x:c>
      <x:c r="O925" s="12" t="str">
        <x:v>FTRL44G004</x:v>
      </x:c>
      <x:c r="P925" s="12" t="str">
        <x:v>BDKM85G040</x:v>
      </x:c>
      <x:c r="Q925" s="12" t="str"/>
      <x:c r="R925" s="12" t="str"/>
      <x:c r="S925" s="12" t="str"/>
      <x:c r="T925" s="12" t="str">
        <x:v>ABM</x:v>
      </x:c>
      <x:c r="U925" s="12" t="str"/>
      <x:c r="V925" s="12" t="str"/>
      <x:c r="W925" s="12" t="str"/>
      <x:c r="X925" s="12" t="str">
        <x:v>BDKM85</x:v>
      </x:c>
      <x:c r="Y925" s="12" t="str">
        <x:v>ANDI &amp; ANGGI</x:v>
      </x:c>
      <x:c r="Z925" s="12" t="str">
        <x:v>SUPPORT</x:v>
      </x:c>
      <x:c r="AA925" s="32" t="n">
        <x:f>IFERROR(VLOOKUP(G925,Master_Unit!$A$2:$N$78,7,FALSE),"")</x:f>
        <x:v>30</x:v>
      </x:c>
      <x:c r="AB925" s="32" t="n">
        <x:f>IF(OR(N925="",AA925=""),"",N925-AA925)</x:f>
        <x:v>-10.652173913045008</x:v>
      </x:c>
      <x:c r="AC925" s="20" t="n">
        <x:f>IF(OR(N925="",AA925="",AA925=0),"",AB925/AA925)</x:f>
        <x:v>-0.3550724637681669</x:v>
      </x:c>
      <x:c r="AD925" t="str">
        <x:f>IF(AA925="","NO STANDARD",IF(AC925&lt;=Config_Status!$B$2,"EFFICIENT",IF(AC925&lt;=Config_Status!$B$3,"NORMAL",IF(AC925&lt;=Config_Status!$B$4,"WARNING","OVER CONSUMPTION"))))</x:f>
        <x:v>EFFICIENT</x:v>
      </x:c>
      <x:c r="AE925" t="str">
        <x:f>IFERROR(VLOOKUP(G925,Master_Unit!$A$2:$N$78,13,FALSE),"UNIT NOT FOUND")</x:f>
        <x:v>Matched</x:v>
      </x:c>
    </x:row>
    <x:row r="926">
      <x:c r="A926" s="12" t="str">
        <x:v>FU-20260614-00925</x:v>
      </x:c>
      <x:c r="B926" s="12" t="n">
        <x:v>1055</x:v>
      </x:c>
      <x:c r="C926" s="14" t="n">
        <x:v>46187</x:v>
      </x:c>
      <x:c r="D926" s="12" t="str">
        <x:v>Minggu</x:v>
      </x:c>
      <x:c r="E926" s="12" t="str">
        <x:v>21:27:00</x:v>
      </x:c>
      <x:c r="F926" s="12" t="str">
        <x:v>All Shift Night</x:v>
      </x:c>
      <x:c r="G926" s="12" t="str">
        <x:v>EXVV21G036</x:v>
      </x:c>
      <x:c r="H926" s="12" t="str">
        <x:v>Excavator</x:v>
      </x:c>
      <x:c r="I926" s="12" t="str">
        <x:v>EXCAVATOR VOLVO EC210D</x:v>
      </x:c>
      <x:c r="J926" s="16" t="n">
        <x:v>112</x:v>
      </x:c>
      <x:c r="K926" s="16" t="n">
        <x:v>7611.2</x:v>
      </x:c>
      <x:c r="L926" s="16" t="n">
        <x:v>7626.3</x:v>
      </x:c>
      <x:c r="M926" s="16" t="n">
        <x:v>15.100000000000364</x:v>
      </x:c>
      <x:c r="N926" s="16" t="n">
        <x:v>7.417218543046179</x:v>
      </x:c>
      <x:c r="O926" s="12" t="str">
        <x:v>FTRL44G004</x:v>
      </x:c>
      <x:c r="P926" s="12" t="str">
        <x:v>EXVV21G036</x:v>
      </x:c>
      <x:c r="Q926" s="12" t="str"/>
      <x:c r="R926" s="12" t="str"/>
      <x:c r="S926" s="12" t="str"/>
      <x:c r="T926" s="12" t="str">
        <x:v>ABM</x:v>
      </x:c>
      <x:c r="U926" s="12" t="str"/>
      <x:c r="V926" s="12" t="str"/>
      <x:c r="W926" s="12" t="str"/>
      <x:c r="X926" s="12" t="str">
        <x:v>EXVV21</x:v>
      </x:c>
      <x:c r="Y926" s="12" t="str">
        <x:v>ANDI &amp; ANGGI</x:v>
      </x:c>
      <x:c r="Z926" s="12" t="str">
        <x:v>PIT</x:v>
      </x:c>
      <x:c r="AA926" s="32" t="n">
        <x:f>IFERROR(VLOOKUP(G926,Master_Unit!$A$2:$N$78,7,FALSE),"")</x:f>
        <x:v>20</x:v>
      </x:c>
      <x:c r="AB926" s="32" t="n">
        <x:f>IF(OR(N926="",AA926=""),"",N926-AA926)</x:f>
        <x:v>-12.582781456953821</x:v>
      </x:c>
      <x:c r="AC926" s="20" t="n">
        <x:f>IF(OR(N926="",AA926="",AA926=0),"",AB926/AA926)</x:f>
        <x:v>-0.6291390728476911</x:v>
      </x:c>
      <x:c r="AD926" t="str">
        <x:f>IF(AA926="","NO STANDARD",IF(AC926&lt;=Config_Status!$B$2,"EFFICIENT",IF(AC926&lt;=Config_Status!$B$3,"NORMAL",IF(AC926&lt;=Config_Status!$B$4,"WARNING","OVER CONSUMPTION"))))</x:f>
        <x:v>EFFICIENT</x:v>
      </x:c>
      <x:c r="AE926" t="str">
        <x:f>IFERROR(VLOOKUP(G926,Master_Unit!$A$2:$N$78,13,FALSE),"UNIT NOT FOUND")</x:f>
        <x:v>Matched</x:v>
      </x:c>
    </x:row>
    <x:row r="927">
      <x:c r="A927" s="12" t="str">
        <x:v>FU-20260614-00926</x:v>
      </x:c>
      <x:c r="B927" s="12" t="n">
        <x:v>1056</x:v>
      </x:c>
      <x:c r="C927" s="14" t="n">
        <x:v>46187</x:v>
      </x:c>
      <x:c r="D927" s="12" t="str">
        <x:v>Minggu</x:v>
      </x:c>
      <x:c r="E927" s="12" t="str">
        <x:v>21:32:00</x:v>
      </x:c>
      <x:c r="F927" s="12" t="str">
        <x:v>All Shift Night</x:v>
      </x:c>
      <x:c r="G927" s="12" t="str">
        <x:v>STRL44G146</x:v>
      </x:c>
      <x:c r="H927" s="12" t="str">
        <x:v>Dump Truck</x:v>
      </x:c>
      <x:c r="I927" s="12" t="str">
        <x:v>DUMP TRUCK RENAULT KRANGE440-P6X4 A/T</x:v>
      </x:c>
      <x:c r="J927" s="16" t="n">
        <x:v>151</x:v>
      </x:c>
      <x:c r="K927" s="16" t="n">
        <x:v>4984</x:v>
      </x:c>
      <x:c r="L927" s="16" t="n">
        <x:v>4992</x:v>
      </x:c>
      <x:c r="M927" s="16" t="n">
        <x:v>8</x:v>
      </x:c>
      <x:c r="N927" s="16" t="n">
        <x:v>18.875</x:v>
      </x:c>
      <x:c r="O927" s="12" t="str">
        <x:v>FTRL44G004</x:v>
      </x:c>
      <x:c r="P927" s="12" t="str">
        <x:v>STRL44G146</x:v>
      </x:c>
      <x:c r="Q927" s="12" t="str"/>
      <x:c r="R927" s="12" t="str"/>
      <x:c r="S927" s="12" t="str"/>
      <x:c r="T927" s="12" t="str">
        <x:v>ABM</x:v>
      </x:c>
      <x:c r="U927" s="12" t="str"/>
      <x:c r="V927" s="12" t="str"/>
      <x:c r="W927" s="12" t="str"/>
      <x:c r="X927" s="12" t="str">
        <x:v>STRL44</x:v>
      </x:c>
      <x:c r="Y927" s="12" t="str">
        <x:v>ANDI &amp; ANGGI</x:v>
      </x:c>
      <x:c r="Z927" s="12" t="str">
        <x:v>SUPPORT</x:v>
      </x:c>
      <x:c r="AA927" s="32" t="n">
        <x:f>IFERROR(VLOOKUP(G927,Master_Unit!$A$2:$N$78,7,FALSE),"")</x:f>
        <x:v>20</x:v>
      </x:c>
      <x:c r="AB927" s="32" t="n">
        <x:f>IF(OR(N927="",AA927=""),"",N927-AA927)</x:f>
        <x:v>-1.125</x:v>
      </x:c>
      <x:c r="AC927" s="20" t="n">
        <x:f>IF(OR(N927="",AA927="",AA927=0),"",AB927/AA927)</x:f>
        <x:v>-0.05625</x:v>
      </x:c>
      <x:c r="AD927" t="str">
        <x:f>IF(AA927="","NO STANDARD",IF(AC927&lt;=Config_Status!$B$2,"EFFICIENT",IF(AC927&lt;=Config_Status!$B$3,"NORMAL",IF(AC927&lt;=Config_Status!$B$4,"WARNING","OVER CONSUMPTION"))))</x:f>
        <x:v>NORMAL</x:v>
      </x:c>
      <x:c r="AE927" t="str">
        <x:f>IFERROR(VLOOKUP(G927,Master_Unit!$A$2:$N$78,13,FALSE),"UNIT NOT FOUND")</x:f>
        <x:v>Matched</x:v>
      </x:c>
    </x:row>
    <x:row r="928">
      <x:c r="A928" s="12" t="str">
        <x:v>FU-20260614-00927</x:v>
      </x:c>
      <x:c r="B928" s="12" t="n">
        <x:v>1057</x:v>
      </x:c>
      <x:c r="C928" s="14" t="n">
        <x:v>46187</x:v>
      </x:c>
      <x:c r="D928" s="12" t="str">
        <x:v>Minggu</x:v>
      </x:c>
      <x:c r="E928" s="12" t="str">
        <x:v>21:36:00</x:v>
      </x:c>
      <x:c r="F928" s="12" t="str">
        <x:v>All Shift Night</x:v>
      </x:c>
      <x:c r="G928" s="12" t="str">
        <x:v>MGSD20G006</x:v>
      </x:c>
      <x:c r="H928" s="12" t="str">
        <x:v>Other</x:v>
      </x:c>
      <x:c r="I928" s="12" t="str">
        <x:v>MOTOR GRADER SDLG GD9220F</x:v>
      </x:c>
      <x:c r="J928" s="16" t="n">
        <x:v>100</x:v>
      </x:c>
      <x:c r="K928" s="16" t="n">
        <x:v>1990</x:v>
      </x:c>
      <x:c r="L928" s="16" t="n">
        <x:v>1997.1</x:v>
      </x:c>
      <x:c r="M928" s="16" t="n">
        <x:v>7.099999999999909</x:v>
      </x:c>
      <x:c r="N928" s="16" t="n">
        <x:v>14.084507042253701</x:v>
      </x:c>
      <x:c r="O928" s="12" t="str">
        <x:v>FTRL44G004</x:v>
      </x:c>
      <x:c r="P928" s="12" t="str">
        <x:v>MGSD20G006</x:v>
      </x:c>
      <x:c r="Q928" s="12" t="str"/>
      <x:c r="R928" s="12" t="str"/>
      <x:c r="S928" s="12" t="str"/>
      <x:c r="T928" s="12" t="str">
        <x:v>ABM</x:v>
      </x:c>
      <x:c r="U928" s="12" t="str"/>
      <x:c r="V928" s="12" t="str"/>
      <x:c r="W928" s="12" t="str"/>
      <x:c r="X928" s="12" t="str">
        <x:v>MGSD20</x:v>
      </x:c>
      <x:c r="Y928" s="12" t="str">
        <x:v>ANDI &amp; ANGGI</x:v>
      </x:c>
      <x:c r="Z928" s="12" t="str">
        <x:v>ETO</x:v>
      </x:c>
      <x:c r="AA928" s="32" t="n">
        <x:f>IFERROR(VLOOKUP(G928,Master_Unit!$A$2:$N$78,7,FALSE),"")</x:f>
        <x:v>20</x:v>
      </x:c>
      <x:c r="AB928" s="32" t="n">
        <x:f>IF(OR(N928="",AA928=""),"",N928-AA928)</x:f>
        <x:v>-5.915492957746299</x:v>
      </x:c>
      <x:c r="AC928" s="20" t="n">
        <x:f>IF(OR(N928="",AA928="",AA928=0),"",AB928/AA928)</x:f>
        <x:v>-0.29577464788731495</x:v>
      </x:c>
      <x:c r="AD928" t="str">
        <x:f>IF(AA928="","NO STANDARD",IF(AC928&lt;=Config_Status!$B$2,"EFFICIENT",IF(AC928&lt;=Config_Status!$B$3,"NORMAL",IF(AC928&lt;=Config_Status!$B$4,"WARNING","OVER CONSUMPTION"))))</x:f>
        <x:v>EFFICIENT</x:v>
      </x:c>
      <x:c r="AE928" t="str">
        <x:f>IFERROR(VLOOKUP(G928,Master_Unit!$A$2:$N$78,13,FALSE),"UNIT NOT FOUND")</x:f>
        <x:v>Matched</x:v>
      </x:c>
    </x:row>
    <x:row r="929">
      <x:c r="A929" s="12" t="str">
        <x:v>FU-20260614-00928</x:v>
      </x:c>
      <x:c r="B929" s="12" t="n">
        <x:v>1058</x:v>
      </x:c>
      <x:c r="C929" s="14" t="n">
        <x:v>46187</x:v>
      </x:c>
      <x:c r="D929" s="12" t="str">
        <x:v>Minggu</x:v>
      </x:c>
      <x:c r="E929" s="12" t="str">
        <x:v>23:47:00</x:v>
      </x:c>
      <x:c r="F929" s="12" t="str">
        <x:v>All Shift Night</x:v>
      </x:c>
      <x:c r="G929" s="12" t="str">
        <x:v>EXVV35G005</x:v>
      </x:c>
      <x:c r="H929" s="12" t="str">
        <x:v>Excavator</x:v>
      </x:c>
      <x:c r="I929" s="12" t="str">
        <x:v>EXCAVATOR VOLVO EC350D</x:v>
      </x:c>
      <x:c r="J929" s="16" t="n">
        <x:v>143</x:v>
      </x:c>
      <x:c r="K929" s="16" t="n">
        <x:v>5239.1</x:v>
      </x:c>
      <x:c r="L929" s="16" t="n">
        <x:v>5248.4</x:v>
      </x:c>
      <x:c r="M929" s="16" t="n">
        <x:v>9.299999999999272</x:v>
      </x:c>
      <x:c r="N929" s="16" t="n">
        <x:v>15.376344086022709</x:v>
      </x:c>
      <x:c r="O929" s="12" t="str">
        <x:v>FTRL44G004</x:v>
      </x:c>
      <x:c r="P929" s="12" t="str">
        <x:v>EXVV35G005</x:v>
      </x:c>
      <x:c r="Q929" s="12" t="str"/>
      <x:c r="R929" s="12" t="str"/>
      <x:c r="S929" s="12" t="str"/>
      <x:c r="T929" s="12" t="str">
        <x:v>ABM</x:v>
      </x:c>
      <x:c r="U929" s="12" t="str"/>
      <x:c r="V929" s="12" t="str"/>
      <x:c r="W929" s="12" t="str"/>
      <x:c r="X929" s="12" t="str">
        <x:v>EXVV35</x:v>
      </x:c>
      <x:c r="Y929" s="12" t="str">
        <x:v>ANDI &amp; ANGGI</x:v>
      </x:c>
      <x:c r="Z929" s="12" t="str">
        <x:v>PIT</x:v>
      </x:c>
      <x:c r="AA929" s="32" t="n">
        <x:f>IFERROR(VLOOKUP(G929,Master_Unit!$A$2:$N$78,7,FALSE),"")</x:f>
        <x:v>25</x:v>
      </x:c>
      <x:c r="AB929" s="32" t="n">
        <x:f>IF(OR(N929="",AA929=""),"",N929-AA929)</x:f>
        <x:v>-9.623655913977291</x:v>
      </x:c>
      <x:c r="AC929" s="20" t="n">
        <x:f>IF(OR(N929="",AA929="",AA929=0),"",AB929/AA929)</x:f>
        <x:v>-0.38494623655909166</x:v>
      </x:c>
      <x:c r="AD929" t="str">
        <x:f>IF(AA929="","NO STANDARD",IF(AC929&lt;=Config_Status!$B$2,"EFFICIENT",IF(AC929&lt;=Config_Status!$B$3,"NORMAL",IF(AC929&lt;=Config_Status!$B$4,"WARNING","OVER CONSUMPTION"))))</x:f>
        <x:v>EFFICIENT</x:v>
      </x:c>
      <x:c r="AE929" t="str">
        <x:f>IFERROR(VLOOKUP(G929,Master_Unit!$A$2:$N$78,13,FALSE),"UNIT NOT FOUND")</x:f>
        <x:v>Matched</x:v>
      </x:c>
    </x:row>
    <x:row r="930">
      <x:c r="A930" s="12" t="str">
        <x:v>FU-20260614-00929</x:v>
      </x:c>
      <x:c r="B930" s="12" t="n">
        <x:v>1059</x:v>
      </x:c>
      <x:c r="C930" s="14" t="n">
        <x:v>46187</x:v>
      </x:c>
      <x:c r="D930" s="12" t="str">
        <x:v>Minggu</x:v>
      </x:c>
      <x:c r="E930" s="12" t="str">
        <x:v>23:52:00</x:v>
      </x:c>
      <x:c r="F930" s="12" t="str">
        <x:v>All Shift Night</x:v>
      </x:c>
      <x:c r="G930" s="12" t="str">
        <x:v>EXVV21G043</x:v>
      </x:c>
      <x:c r="H930" s="12" t="str">
        <x:v>Excavator</x:v>
      </x:c>
      <x:c r="I930" s="12" t="str">
        <x:v>EXCAVATOR VOLVO EC210D</x:v>
      </x:c>
      <x:c r="J930" s="16" t="n">
        <x:v>125</x:v>
      </x:c>
      <x:c r="K930" s="16" t="n">
        <x:v>5373.5</x:v>
      </x:c>
      <x:c r="L930" s="16" t="n">
        <x:v>5378.3</x:v>
      </x:c>
      <x:c r="M930" s="16" t="n">
        <x:v>4.800000000000182</x:v>
      </x:c>
      <x:c r="N930" s="16" t="n">
        <x:v>26.04166666666568</x:v>
      </x:c>
      <x:c r="O930" s="12" t="str">
        <x:v>FTRL44G004</x:v>
      </x:c>
      <x:c r="P930" s="12" t="str">
        <x:v>EXVV21G043</x:v>
      </x:c>
      <x:c r="Q930" s="12" t="str"/>
      <x:c r="R930" s="12" t="str"/>
      <x:c r="S930" s="12" t="str"/>
      <x:c r="T930" s="12" t="str">
        <x:v>ABM</x:v>
      </x:c>
      <x:c r="U930" s="12" t="str"/>
      <x:c r="V930" s="12" t="str"/>
      <x:c r="W930" s="12" t="str"/>
      <x:c r="X930" s="12" t="str">
        <x:v>EXVV21</x:v>
      </x:c>
      <x:c r="Y930" s="12" t="str">
        <x:v>ANDI &amp; ANGGI</x:v>
      </x:c>
      <x:c r="Z930" s="12" t="str">
        <x:v>SUPPORT</x:v>
      </x:c>
      <x:c r="AA930" s="32" t="n">
        <x:f>IFERROR(VLOOKUP(G930,Master_Unit!$A$2:$N$78,7,FALSE),"")</x:f>
        <x:v>20</x:v>
      </x:c>
      <x:c r="AB930" s="32" t="n">
        <x:f>IF(OR(N930="",AA930=""),"",N930-AA930)</x:f>
        <x:v>6.04166666666568</x:v>
      </x:c>
      <x:c r="AC930" s="20" t="n">
        <x:f>IF(OR(N930="",AA930="",AA930=0),"",AB930/AA930)</x:f>
        <x:v>0.302083333333284</x:v>
      </x:c>
      <x:c r="AD930" t="str">
        <x:f>IF(AA930="","NO STANDARD",IF(AC930&lt;=Config_Status!$B$2,"EFFICIENT",IF(AC930&lt;=Config_Status!$B$3,"NORMAL",IF(AC930&lt;=Config_Status!$B$4,"WARNING","OVER CONSUMPTION"))))</x:f>
        <x:v>OVER CONSUMPTION</x:v>
      </x:c>
      <x:c r="AE930" t="str">
        <x:f>IFERROR(VLOOKUP(G930,Master_Unit!$A$2:$N$78,13,FALSE),"UNIT NOT FOUND")</x:f>
        <x:v>Matched</x:v>
      </x:c>
    </x:row>
    <x:row r="931">
      <x:c r="A931" s="12" t="str">
        <x:v>FU-20260614-00930</x:v>
      </x:c>
      <x:c r="B931" s="12" t="n">
        <x:v>1060</x:v>
      </x:c>
      <x:c r="C931" s="14" t="n">
        <x:v>46187</x:v>
      </x:c>
      <x:c r="D931" s="12" t="str">
        <x:v>Minggu</x:v>
      </x:c>
      <x:c r="E931" s="12" t="str">
        <x:v>23:59:00</x:v>
      </x:c>
      <x:c r="F931" s="12" t="str">
        <x:v>All Shift Night</x:v>
      </x:c>
      <x:c r="G931" s="12" t="str">
        <x:v>EXVV35G007</x:v>
      </x:c>
      <x:c r="H931" s="12" t="str">
        <x:v>Excavator</x:v>
      </x:c>
      <x:c r="I931" s="12" t="str">
        <x:v>EXCAVATOR VOLVO EC350D</x:v>
      </x:c>
      <x:c r="J931" s="16" t="n">
        <x:v>163</x:v>
      </x:c>
      <x:c r="K931" s="16" t="n">
        <x:v>600.5</x:v>
      </x:c>
      <x:c r="L931" s="16" t="n">
        <x:v>614.4</x:v>
      </x:c>
      <x:c r="M931" s="16" t="n">
        <x:v>13.899999999999977</x:v>
      </x:c>
      <x:c r="N931" s="16" t="n">
        <x:v>11.72661870503599</x:v>
      </x:c>
      <x:c r="O931" s="12" t="str">
        <x:v>FTRL44G004</x:v>
      </x:c>
      <x:c r="P931" s="12" t="str">
        <x:v>EXVV35G007</x:v>
      </x:c>
      <x:c r="Q931" s="12" t="str"/>
      <x:c r="R931" s="12" t="str"/>
      <x:c r="S931" s="12" t="str"/>
      <x:c r="T931" s="12" t="str">
        <x:v>ABM</x:v>
      </x:c>
      <x:c r="U931" s="12" t="str"/>
      <x:c r="V931" s="12" t="str"/>
      <x:c r="W931" s="12" t="str"/>
      <x:c r="X931" s="12" t="str">
        <x:v>EXVV35</x:v>
      </x:c>
      <x:c r="Y931" s="12" t="str">
        <x:v>ANDI &amp; ANGGI</x:v>
      </x:c>
      <x:c r="Z931" s="12" t="str">
        <x:v>PIT</x:v>
      </x:c>
      <x:c r="AA931" s="32" t="n">
        <x:f>IFERROR(VLOOKUP(G931,Master_Unit!$A$2:$N$78,7,FALSE),"")</x:f>
        <x:v>25</x:v>
      </x:c>
      <x:c r="AB931" s="32" t="n">
        <x:f>IF(OR(N931="",AA931=""),"",N931-AA931)</x:f>
        <x:v>-13.27338129496401</x:v>
      </x:c>
      <x:c r="AC931" s="20" t="n">
        <x:f>IF(OR(N931="",AA931="",AA931=0),"",AB931/AA931)</x:f>
        <x:v>-0.5309352517985604</x:v>
      </x:c>
      <x:c r="AD931" t="str">
        <x:f>IF(AA931="","NO STANDARD",IF(AC931&lt;=Config_Status!$B$2,"EFFICIENT",IF(AC931&lt;=Config_Status!$B$3,"NORMAL",IF(AC931&lt;=Config_Status!$B$4,"WARNING","OVER CONSUMPTION"))))</x:f>
        <x:v>EFFICIENT</x:v>
      </x:c>
      <x:c r="AE931" t="str">
        <x:f>IFERROR(VLOOKUP(G931,Master_Unit!$A$2:$N$78,13,FALSE),"UNIT NOT FOUND")</x:f>
        <x:v>Matched</x:v>
      </x:c>
    </x:row>
    <x:row r="932">
      <x:c r="A932" s="12" t="str">
        <x:v>FU-20260614-00931</x:v>
      </x:c>
      <x:c r="B932" s="12" t="n">
        <x:v>1061</x:v>
      </x:c>
      <x:c r="C932" s="14" t="n">
        <x:v>46187</x:v>
      </x:c>
      <x:c r="D932" s="12" t="str">
        <x:v>Minggu</x:v>
      </x:c>
      <x:c r="E932" s="12" t="str">
        <x:v>19:19:00</x:v>
      </x:c>
      <x:c r="F932" s="12" t="str">
        <x:v>All Shift Night</x:v>
      </x:c>
      <x:c r="G932" s="12" t="str">
        <x:v>LVTH24R035</x:v>
      </x:c>
      <x:c r="H932" s="12" t="str">
        <x:v>Light Vehicle</x:v>
      </x:c>
      <x:c r="I932" s="12" t="str">
        <x:v>LIGHT VEHICLE TOYOTA HILUX</x:v>
      </x:c>
      <x:c r="J932" s="16" t="n">
        <x:v>30</x:v>
      </x:c>
      <x:c r="K932" s="16" t="n">
        <x:v>70589</x:v>
      </x:c>
      <x:c r="L932" s="16" t="n">
        <x:v>70648</x:v>
      </x:c>
      <x:c r="M932" s="16" t="n">
        <x:v>59</x:v>
      </x:c>
      <x:c r="N932" s="16" t="n">
        <x:v>0.5084745762711864</x:v>
      </x:c>
      <x:c r="O932" s="12" t="str">
        <x:v>FTRL44G005</x:v>
      </x:c>
      <x:c r="P932" s="12" t="str">
        <x:v>LVTH24R035</x:v>
      </x:c>
      <x:c r="Q932" s="12" t="str"/>
      <x:c r="R932" s="12" t="str"/>
      <x:c r="S932" s="12" t="str"/>
      <x:c r="T932" s="12" t="str">
        <x:v>ABM</x:v>
      </x:c>
      <x:c r="U932" s="12" t="str"/>
      <x:c r="V932" s="12" t="str"/>
      <x:c r="W932" s="12" t="str"/>
      <x:c r="X932" s="12" t="str">
        <x:v>LVTH24</x:v>
      </x:c>
      <x:c r="Y932" s="12" t="str">
        <x:v>FANGKI &amp; ACUNG</x:v>
      </x:c>
      <x:c r="Z932" s="12" t="str">
        <x:v>SUPPORT</x:v>
      </x:c>
      <x:c r="AA932" s="32" t="n">
        <x:f>IFERROR(VLOOKUP(G932,Master_Unit!$A$2:$N$78,7,FALSE),"")</x:f>
        <x:v>0.2</x:v>
      </x:c>
      <x:c r="AB932" s="32" t="n">
        <x:f>IF(OR(N932="",AA932=""),"",N932-AA932)</x:f>
        <x:v>0.3084745762711864</x:v>
      </x:c>
      <x:c r="AC932" s="20" t="n">
        <x:f>IF(OR(N932="",AA932="",AA932=0),"",AB932/AA932)</x:f>
        <x:v>1.5423728813559319</x:v>
      </x:c>
      <x:c r="AD932" t="str">
        <x:f>IF(AA932="","NO STANDARD",IF(AC932&lt;=Config_Status!$B$2,"EFFICIENT",IF(AC932&lt;=Config_Status!$B$3,"NORMAL",IF(AC932&lt;=Config_Status!$B$4,"WARNING","OVER CONSUMPTION"))))</x:f>
        <x:v>OVER CONSUMPTION</x:v>
      </x:c>
      <x:c r="AE932" t="str">
        <x:f>IFERROR(VLOOKUP(G932,Master_Unit!$A$2:$N$78,13,FALSE),"UNIT NOT FOUND")</x:f>
        <x:v>Matched</x:v>
      </x:c>
    </x:row>
    <x:row r="933">
      <x:c r="A933" s="12" t="str">
        <x:v>FU-20260614-00932</x:v>
      </x:c>
      <x:c r="B933" s="12" t="n">
        <x:v>1062</x:v>
      </x:c>
      <x:c r="C933" s="14" t="n">
        <x:v>46187</x:v>
      </x:c>
      <x:c r="D933" s="12" t="str">
        <x:v>Minggu</x:v>
      </x:c>
      <x:c r="E933" s="12" t="str">
        <x:v>19:23:00</x:v>
      </x:c>
      <x:c r="F933" s="12" t="str">
        <x:v>All Shift Night</x:v>
      </x:c>
      <x:c r="G933" s="12" t="str">
        <x:v>EXVV21G038</x:v>
      </x:c>
      <x:c r="H933" s="12" t="str">
        <x:v>Excavator</x:v>
      </x:c>
      <x:c r="I933" s="12" t="str">
        <x:v>EXCAVATOR VOLVO EC210D</x:v>
      </x:c>
      <x:c r="J933" s="16" t="n">
        <x:v>184</x:v>
      </x:c>
      <x:c r="K933" s="16" t="n">
        <x:v>4265.6</x:v>
      </x:c>
      <x:c r="L933" s="16" t="n">
        <x:v>4270.3</x:v>
      </x:c>
      <x:c r="M933" s="16" t="n">
        <x:v>4.699999999999818</x:v>
      </x:c>
      <x:c r="N933" s="16" t="n">
        <x:v>39.148936170214284</x:v>
      </x:c>
      <x:c r="O933" s="12" t="str">
        <x:v>FTRL44G005</x:v>
      </x:c>
      <x:c r="P933" s="12" t="str">
        <x:v>EXVV21G038</x:v>
      </x:c>
      <x:c r="Q933" s="12" t="str"/>
      <x:c r="R933" s="12" t="str"/>
      <x:c r="S933" s="12" t="str"/>
      <x:c r="T933" s="12" t="str">
        <x:v>ABM</x:v>
      </x:c>
      <x:c r="U933" s="12" t="str"/>
      <x:c r="V933" s="12" t="str"/>
      <x:c r="W933" s="12" t="str"/>
      <x:c r="X933" s="12" t="str">
        <x:v>EXVV21</x:v>
      </x:c>
      <x:c r="Y933" s="12" t="str">
        <x:v>FANGKI &amp; ACUNG</x:v>
      </x:c>
      <x:c r="Z933" s="12" t="str">
        <x:v>SUPPORT</x:v>
      </x:c>
      <x:c r="AA933" s="32" t="n">
        <x:f>IFERROR(VLOOKUP(G933,Master_Unit!$A$2:$N$78,7,FALSE),"")</x:f>
        <x:v>20</x:v>
      </x:c>
      <x:c r="AB933" s="32" t="n">
        <x:f>IF(OR(N933="",AA933=""),"",N933-AA933)</x:f>
        <x:v>19.148936170214284</x:v>
      </x:c>
      <x:c r="AC933" s="20" t="n">
        <x:f>IF(OR(N933="",AA933="",AA933=0),"",AB933/AA933)</x:f>
        <x:v>0.9574468085107142</x:v>
      </x:c>
      <x:c r="AD933" t="str">
        <x:f>IF(AA933="","NO STANDARD",IF(AC933&lt;=Config_Status!$B$2,"EFFICIENT",IF(AC933&lt;=Config_Status!$B$3,"NORMAL",IF(AC933&lt;=Config_Status!$B$4,"WARNING","OVER CONSUMPTION"))))</x:f>
        <x:v>OVER CONSUMPTION</x:v>
      </x:c>
      <x:c r="AE933" t="str">
        <x:f>IFERROR(VLOOKUP(G933,Master_Unit!$A$2:$N$78,13,FALSE),"UNIT NOT FOUND")</x:f>
        <x:v>Matched</x:v>
      </x:c>
    </x:row>
    <x:row r="934">
      <x:c r="A934" s="12" t="str">
        <x:v>FU-20260614-00933</x:v>
      </x:c>
      <x:c r="B934" s="12" t="n">
        <x:v>1063</x:v>
      </x:c>
      <x:c r="C934" s="14" t="n">
        <x:v>46187</x:v>
      </x:c>
      <x:c r="D934" s="12" t="str">
        <x:v>Minggu</x:v>
      </x:c>
      <x:c r="E934" s="12" t="str">
        <x:v>19:41:00</x:v>
      </x:c>
      <x:c r="F934" s="12" t="str">
        <x:v>All Shift Night</x:v>
      </x:c>
      <x:c r="G934" s="12" t="str">
        <x:v>STRL44G147</x:v>
      </x:c>
      <x:c r="H934" s="12" t="str">
        <x:v>Dump Truck</x:v>
      </x:c>
      <x:c r="I934" s="12" t="str">
        <x:v>DUMP TRUCK RENAULT KRANGE440-P6X4 A/T</x:v>
      </x:c>
      <x:c r="J934" s="16" t="n">
        <x:v>204</x:v>
      </x:c>
      <x:c r="K934" s="16" t="n">
        <x:v>5060</x:v>
      </x:c>
      <x:c r="L934" s="16" t="n">
        <x:v>5066</x:v>
      </x:c>
      <x:c r="M934" s="16" t="n">
        <x:v>6</x:v>
      </x:c>
      <x:c r="N934" s="16" t="n">
        <x:v>34</x:v>
      </x:c>
      <x:c r="O934" s="12" t="str">
        <x:v>FTRL44G005</x:v>
      </x:c>
      <x:c r="P934" s="12" t="str">
        <x:v>STRL44G147</x:v>
      </x:c>
      <x:c r="Q934" s="12" t="str"/>
      <x:c r="R934" s="12" t="str"/>
      <x:c r="S934" s="12" t="str"/>
      <x:c r="T934" s="12" t="str">
        <x:v>ABM</x:v>
      </x:c>
      <x:c r="U934" s="12" t="str"/>
      <x:c r="V934" s="12" t="str"/>
      <x:c r="W934" s="12" t="str"/>
      <x:c r="X934" s="12" t="str">
        <x:v>STRL44</x:v>
      </x:c>
      <x:c r="Y934" s="12" t="str">
        <x:v>FANGKI &amp; ACUNG</x:v>
      </x:c>
      <x:c r="Z934" s="12" t="str">
        <x:v>SUPPORT</x:v>
      </x:c>
      <x:c r="AA934" s="32" t="n">
        <x:f>IFERROR(VLOOKUP(G934,Master_Unit!$A$2:$N$78,7,FALSE),"")</x:f>
        <x:v>20</x:v>
      </x:c>
      <x:c r="AB934" s="32" t="n">
        <x:f>IF(OR(N934="",AA934=""),"",N934-AA934)</x:f>
        <x:v>14</x:v>
      </x:c>
      <x:c r="AC934" s="20" t="n">
        <x:f>IF(OR(N934="",AA934="",AA934=0),"",AB934/AA934)</x:f>
        <x:v>0.7</x:v>
      </x:c>
      <x:c r="AD934" t="str">
        <x:f>IF(AA934="","NO STANDARD",IF(AC934&lt;=Config_Status!$B$2,"EFFICIENT",IF(AC934&lt;=Config_Status!$B$3,"NORMAL",IF(AC934&lt;=Config_Status!$B$4,"WARNING","OVER CONSUMPTION"))))</x:f>
        <x:v>OVER CONSUMPTION</x:v>
      </x:c>
      <x:c r="AE934" t="str">
        <x:f>IFERROR(VLOOKUP(G934,Master_Unit!$A$2:$N$78,13,FALSE),"UNIT NOT FOUND")</x:f>
        <x:v>Matched</x:v>
      </x:c>
    </x:row>
    <x:row r="935">
      <x:c r="A935" s="12" t="str">
        <x:v>FU-20260614-00934</x:v>
      </x:c>
      <x:c r="B935" s="12" t="n">
        <x:v>1064</x:v>
      </x:c>
      <x:c r="C935" s="14" t="n">
        <x:v>46187</x:v>
      </x:c>
      <x:c r="D935" s="12" t="str">
        <x:v>Minggu</x:v>
      </x:c>
      <x:c r="E935" s="12" t="str">
        <x:v>19:54:00</x:v>
      </x:c>
      <x:c r="F935" s="12" t="str">
        <x:v>All Shift Night</x:v>
      </x:c>
      <x:c r="G935" s="12" t="str">
        <x:v>STRL44G153</x:v>
      </x:c>
      <x:c r="H935" s="12" t="str">
        <x:v>Dump Truck</x:v>
      </x:c>
      <x:c r="I935" s="12" t="str">
        <x:v>DUMP TRUCK RENAULT KRANGE440-P6X4 A/T</x:v>
      </x:c>
      <x:c r="J935" s="16" t="n">
        <x:v>175</x:v>
      </x:c>
      <x:c r="K935" s="16" t="n">
        <x:v>4039</x:v>
      </x:c>
      <x:c r="L935" s="16" t="n">
        <x:v>4045</x:v>
      </x:c>
      <x:c r="M935" s="16" t="n">
        <x:v>6</x:v>
      </x:c>
      <x:c r="N935" s="16" t="n">
        <x:v>29.166666666666668</x:v>
      </x:c>
      <x:c r="O935" s="12" t="str">
        <x:v>FTRL44G005</x:v>
      </x:c>
      <x:c r="P935" s="12" t="str">
        <x:v>STRL44G153</x:v>
      </x:c>
      <x:c r="Q935" s="12" t="str"/>
      <x:c r="R935" s="12" t="str"/>
      <x:c r="S935" s="12" t="str"/>
      <x:c r="T935" s="12" t="str">
        <x:v>ABM</x:v>
      </x:c>
      <x:c r="U935" s="12" t="str"/>
      <x:c r="V935" s="12" t="str"/>
      <x:c r="W935" s="12" t="str"/>
      <x:c r="X935" s="12" t="str">
        <x:v>STRL44</x:v>
      </x:c>
      <x:c r="Y935" s="12" t="str">
        <x:v>FANGKI &amp; ACUNG</x:v>
      </x:c>
      <x:c r="Z935" s="12" t="str">
        <x:v>SUPPORT</x:v>
      </x:c>
      <x:c r="AA935" s="32" t="n">
        <x:f>IFERROR(VLOOKUP(G935,Master_Unit!$A$2:$N$78,7,FALSE),"")</x:f>
        <x:v>20</x:v>
      </x:c>
      <x:c r="AB935" s="32" t="n">
        <x:f>IF(OR(N935="",AA935=""),"",N935-AA935)</x:f>
        <x:v>9.166666666666668</x:v>
      </x:c>
      <x:c r="AC935" s="20" t="n">
        <x:f>IF(OR(N935="",AA935="",AA935=0),"",AB935/AA935)</x:f>
        <x:v>0.45833333333333337</x:v>
      </x:c>
      <x:c r="AD935" t="str">
        <x:f>IF(AA935="","NO STANDARD",IF(AC935&lt;=Config_Status!$B$2,"EFFICIENT",IF(AC935&lt;=Config_Status!$B$3,"NORMAL",IF(AC935&lt;=Config_Status!$B$4,"WARNING","OVER CONSUMPTION"))))</x:f>
        <x:v>OVER CONSUMPTION</x:v>
      </x:c>
      <x:c r="AE935" t="str">
        <x:f>IFERROR(VLOOKUP(G935,Master_Unit!$A$2:$N$78,13,FALSE),"UNIT NOT FOUND")</x:f>
        <x:v>Matched</x:v>
      </x:c>
    </x:row>
    <x:row r="936">
      <x:c r="A936" s="12" t="str">
        <x:v>FU-20260614-00935</x:v>
      </x:c>
      <x:c r="B936" s="12" t="n">
        <x:v>1065</x:v>
      </x:c>
      <x:c r="C936" s="14" t="n">
        <x:v>46187</x:v>
      </x:c>
      <x:c r="D936" s="12" t="str">
        <x:v>Minggu</x:v>
      </x:c>
      <x:c r="E936" s="12" t="str">
        <x:v>20:01:00</x:v>
      </x:c>
      <x:c r="F936" s="12" t="str">
        <x:v>All Shift Night</x:v>
      </x:c>
      <x:c r="G936" s="12" t="str">
        <x:v>STRL44G156</x:v>
      </x:c>
      <x:c r="H936" s="12" t="str">
        <x:v>Dump Truck</x:v>
      </x:c>
      <x:c r="I936" s="12" t="str">
        <x:v>DUMP TRUCK RENAULT KRANGE440-P6X4 A/T</x:v>
      </x:c>
      <x:c r="J936" s="16" t="n">
        <x:v>149</x:v>
      </x:c>
      <x:c r="K936" s="16" t="n">
        <x:v>3820</x:v>
      </x:c>
      <x:c r="L936" s="16" t="n">
        <x:v>3826</x:v>
      </x:c>
      <x:c r="M936" s="16" t="n">
        <x:v>6</x:v>
      </x:c>
      <x:c r="N936" s="16" t="n">
        <x:v>24.833333333333332</x:v>
      </x:c>
      <x:c r="O936" s="12" t="str">
        <x:v>FTRL44G005</x:v>
      </x:c>
      <x:c r="P936" s="12" t="str">
        <x:v>STRL44G156</x:v>
      </x:c>
      <x:c r="Q936" s="12" t="str"/>
      <x:c r="R936" s="12" t="str"/>
      <x:c r="S936" s="12" t="str"/>
      <x:c r="T936" s="12" t="str">
        <x:v>ABM</x:v>
      </x:c>
      <x:c r="U936" s="12" t="str"/>
      <x:c r="V936" s="12" t="str"/>
      <x:c r="W936" s="12" t="str"/>
      <x:c r="X936" s="12" t="str">
        <x:v>STRL44</x:v>
      </x:c>
      <x:c r="Y936" s="12" t="str">
        <x:v>FANGKI &amp; ACUNG</x:v>
      </x:c>
      <x:c r="Z936" s="12" t="str">
        <x:v>ETO</x:v>
      </x:c>
      <x:c r="AA936" s="32" t="n">
        <x:f>IFERROR(VLOOKUP(G936,Master_Unit!$A$2:$N$78,7,FALSE),"")</x:f>
        <x:v>20</x:v>
      </x:c>
      <x:c r="AB936" s="32" t="n">
        <x:f>IF(OR(N936="",AA936=""),"",N936-AA936)</x:f>
        <x:v>4.833333333333332</x:v>
      </x:c>
      <x:c r="AC936" s="20" t="n">
        <x:f>IF(OR(N936="",AA936="",AA936=0),"",AB936/AA936)</x:f>
        <x:v>0.2416666666666666</x:v>
      </x:c>
      <x:c r="AD936" t="str">
        <x:f>IF(AA936="","NO STANDARD",IF(AC936&lt;=Config_Status!$B$2,"EFFICIENT",IF(AC936&lt;=Config_Status!$B$3,"NORMAL",IF(AC936&lt;=Config_Status!$B$4,"WARNING","OVER CONSUMPTION"))))</x:f>
        <x:v>OVER CONSUMPTION</x:v>
      </x:c>
      <x:c r="AE936" t="str">
        <x:f>IFERROR(VLOOKUP(G936,Master_Unit!$A$2:$N$78,13,FALSE),"UNIT NOT FOUND")</x:f>
        <x:v>Matched</x:v>
      </x:c>
    </x:row>
    <x:row r="937">
      <x:c r="A937" s="12" t="str">
        <x:v>FU-20260614-00936</x:v>
      </x:c>
      <x:c r="B937" s="12" t="n">
        <x:v>1066</x:v>
      </x:c>
      <x:c r="C937" s="14" t="n">
        <x:v>46187</x:v>
      </x:c>
      <x:c r="D937" s="12" t="str">
        <x:v>Minggu</x:v>
      </x:c>
      <x:c r="E937" s="12" t="str">
        <x:v>20:04:00</x:v>
      </x:c>
      <x:c r="F937" s="12" t="str">
        <x:v>All Shift Night</x:v>
      </x:c>
      <x:c r="G937" s="12" t="str">
        <x:v>STRL44G157</x:v>
      </x:c>
      <x:c r="H937" s="12" t="str">
        <x:v>Dump Truck</x:v>
      </x:c>
      <x:c r="I937" s="12" t="str">
        <x:v>DUMP TRUCK RENAULT KRANGE440-P6X4 A/T</x:v>
      </x:c>
      <x:c r="J937" s="16" t="n">
        <x:v>175</x:v>
      </x:c>
      <x:c r="K937" s="16" t="n">
        <x:v>4112</x:v>
      </x:c>
      <x:c r="L937" s="16" t="n">
        <x:v>4119</x:v>
      </x:c>
      <x:c r="M937" s="16" t="n">
        <x:v>7</x:v>
      </x:c>
      <x:c r="N937" s="16" t="n">
        <x:v>25</x:v>
      </x:c>
      <x:c r="O937" s="12" t="str">
        <x:v>FTRL44G005</x:v>
      </x:c>
      <x:c r="P937" s="12" t="str">
        <x:v>STRL44G157</x:v>
      </x:c>
      <x:c r="Q937" s="12" t="str"/>
      <x:c r="R937" s="12" t="str"/>
      <x:c r="S937" s="12" t="str"/>
      <x:c r="T937" s="12" t="str">
        <x:v>ABM</x:v>
      </x:c>
      <x:c r="U937" s="12" t="str"/>
      <x:c r="V937" s="12" t="str"/>
      <x:c r="W937" s="12" t="str"/>
      <x:c r="X937" s="12" t="str">
        <x:v>STRL44</x:v>
      </x:c>
      <x:c r="Y937" s="12" t="str">
        <x:v>FANGKI &amp; ACUNG</x:v>
      </x:c>
      <x:c r="Z937" s="12" t="str">
        <x:v>SUPPORT</x:v>
      </x:c>
      <x:c r="AA937" s="32" t="n">
        <x:f>IFERROR(VLOOKUP(G937,Master_Unit!$A$2:$N$78,7,FALSE),"")</x:f>
        <x:v>20</x:v>
      </x:c>
      <x:c r="AB937" s="32" t="n">
        <x:f>IF(OR(N937="",AA937=""),"",N937-AA937)</x:f>
        <x:v>5</x:v>
      </x:c>
      <x:c r="AC937" s="20" t="n">
        <x:f>IF(OR(N937="",AA937="",AA937=0),"",AB937/AA937)</x:f>
        <x:v>0.25</x:v>
      </x:c>
      <x:c r="AD937" t="str">
        <x:f>IF(AA937="","NO STANDARD",IF(AC937&lt;=Config_Status!$B$2,"EFFICIENT",IF(AC937&lt;=Config_Status!$B$3,"NORMAL",IF(AC937&lt;=Config_Status!$B$4,"WARNING","OVER CONSUMPTION"))))</x:f>
        <x:v>OVER CONSUMPTION</x:v>
      </x:c>
      <x:c r="AE937" t="str">
        <x:f>IFERROR(VLOOKUP(G937,Master_Unit!$A$2:$N$78,13,FALSE),"UNIT NOT FOUND")</x:f>
        <x:v>Matched</x:v>
      </x:c>
    </x:row>
    <x:row r="938">
      <x:c r="A938" s="12" t="str">
        <x:v>FU-20260614-00937</x:v>
      </x:c>
      <x:c r="B938" s="12" t="n">
        <x:v>1067</x:v>
      </x:c>
      <x:c r="C938" s="14" t="n">
        <x:v>46187</x:v>
      </x:c>
      <x:c r="D938" s="12" t="str">
        <x:v>Minggu</x:v>
      </x:c>
      <x:c r="E938" s="12" t="str">
        <x:v>20:19:00</x:v>
      </x:c>
      <x:c r="F938" s="12" t="str">
        <x:v>All Shift Night</x:v>
      </x:c>
      <x:c r="G938" s="12" t="str">
        <x:v>STRL44G155</x:v>
      </x:c>
      <x:c r="H938" s="12" t="str">
        <x:v>Dump Truck</x:v>
      </x:c>
      <x:c r="I938" s="12" t="str">
        <x:v>DUMP TRUCK RENAULT KRANGE440-P6X4 A/T</x:v>
      </x:c>
      <x:c r="J938" s="16" t="n">
        <x:v>203</x:v>
      </x:c>
      <x:c r="K938" s="16" t="n">
        <x:v>4011</x:v>
      </x:c>
      <x:c r="L938" s="16" t="n">
        <x:v>4017</x:v>
      </x:c>
      <x:c r="M938" s="16" t="n">
        <x:v>6</x:v>
      </x:c>
      <x:c r="N938" s="16" t="n">
        <x:v>33.833333333333336</x:v>
      </x:c>
      <x:c r="O938" s="12" t="str">
        <x:v>FTRL44G005</x:v>
      </x:c>
      <x:c r="P938" s="12" t="str">
        <x:v>STRL44G155</x:v>
      </x:c>
      <x:c r="Q938" s="12" t="str"/>
      <x:c r="R938" s="12" t="str"/>
      <x:c r="S938" s="12" t="str"/>
      <x:c r="T938" s="12" t="str">
        <x:v>ABM</x:v>
      </x:c>
      <x:c r="U938" s="12" t="str"/>
      <x:c r="V938" s="12" t="str"/>
      <x:c r="W938" s="12" t="str"/>
      <x:c r="X938" s="12" t="str">
        <x:v>STRL44</x:v>
      </x:c>
      <x:c r="Y938" s="12" t="str">
        <x:v>FANGKI &amp; ACUNG</x:v>
      </x:c>
      <x:c r="Z938" s="12" t="str">
        <x:v>SUPPORT</x:v>
      </x:c>
      <x:c r="AA938" s="32" t="n">
        <x:f>IFERROR(VLOOKUP(G938,Master_Unit!$A$2:$N$78,7,FALSE),"")</x:f>
        <x:v>20</x:v>
      </x:c>
      <x:c r="AB938" s="32" t="n">
        <x:f>IF(OR(N938="",AA938=""),"",N938-AA938)</x:f>
        <x:v>13.833333333333336</x:v>
      </x:c>
      <x:c r="AC938" s="20" t="n">
        <x:f>IF(OR(N938="",AA938="",AA938=0),"",AB938/AA938)</x:f>
        <x:v>0.6916666666666668</x:v>
      </x:c>
      <x:c r="AD938" t="str">
        <x:f>IF(AA938="","NO STANDARD",IF(AC938&lt;=Config_Status!$B$2,"EFFICIENT",IF(AC938&lt;=Config_Status!$B$3,"NORMAL",IF(AC938&lt;=Config_Status!$B$4,"WARNING","OVER CONSUMPTION"))))</x:f>
        <x:v>OVER CONSUMPTION</x:v>
      </x:c>
      <x:c r="AE938" t="str">
        <x:f>IFERROR(VLOOKUP(G938,Master_Unit!$A$2:$N$78,13,FALSE),"UNIT NOT FOUND")</x:f>
        <x:v>Matched</x:v>
      </x:c>
    </x:row>
    <x:row r="939">
      <x:c r="A939" s="12" t="str">
        <x:v>FU-20260614-00938</x:v>
      </x:c>
      <x:c r="B939" s="12" t="n">
        <x:v>1068</x:v>
      </x:c>
      <x:c r="C939" s="14" t="n">
        <x:v>46187</x:v>
      </x:c>
      <x:c r="D939" s="12" t="str">
        <x:v>Minggu</x:v>
      </x:c>
      <x:c r="E939" s="12" t="str">
        <x:v>20:39:00</x:v>
      </x:c>
      <x:c r="F939" s="12" t="str">
        <x:v>All Shift Night</x:v>
      </x:c>
      <x:c r="G939" s="12" t="str">
        <x:v>STRL44G143</x:v>
      </x:c>
      <x:c r="H939" s="12" t="str">
        <x:v>Dump Truck</x:v>
      </x:c>
      <x:c r="I939" s="12" t="str">
        <x:v>DUMP TRUCK RENAULT KRANGE440-P6X4 A/T</x:v>
      </x:c>
      <x:c r="J939" s="16" t="n">
        <x:v>164</x:v>
      </x:c>
      <x:c r="K939" s="16" t="n">
        <x:v>5282</x:v>
      </x:c>
      <x:c r="L939" s="16" t="n">
        <x:v>5289</x:v>
      </x:c>
      <x:c r="M939" s="16" t="n">
        <x:v>7</x:v>
      </x:c>
      <x:c r="N939" s="16" t="n">
        <x:v>23.428571428571427</x:v>
      </x:c>
      <x:c r="O939" s="12" t="str">
        <x:v>FTRL44G005</x:v>
      </x:c>
      <x:c r="P939" s="12" t="str">
        <x:v>STRL44G143</x:v>
      </x:c>
      <x:c r="Q939" s="12" t="str"/>
      <x:c r="R939" s="12" t="str"/>
      <x:c r="S939" s="12" t="str"/>
      <x:c r="T939" s="12" t="str">
        <x:v>ABM</x:v>
      </x:c>
      <x:c r="U939" s="12" t="str"/>
      <x:c r="V939" s="12" t="str"/>
      <x:c r="W939" s="12" t="str"/>
      <x:c r="X939" s="12" t="str">
        <x:v>STRL44</x:v>
      </x:c>
      <x:c r="Y939" s="12" t="str">
        <x:v>FANGKI &amp; ACUNG</x:v>
      </x:c>
      <x:c r="Z939" s="12" t="str">
        <x:v>SUPPORT</x:v>
      </x:c>
      <x:c r="AA939" s="32" t="n">
        <x:f>IFERROR(VLOOKUP(G939,Master_Unit!$A$2:$N$78,7,FALSE),"")</x:f>
        <x:v>20</x:v>
      </x:c>
      <x:c r="AB939" s="32" t="n">
        <x:f>IF(OR(N939="",AA939=""),"",N939-AA939)</x:f>
        <x:v>3.428571428571427</x:v>
      </x:c>
      <x:c r="AC939" s="20" t="n">
        <x:f>IF(OR(N939="",AA939="",AA939=0),"",AB939/AA939)</x:f>
        <x:v>0.17142857142857135</x:v>
      </x:c>
      <x:c r="AD939" t="str">
        <x:f>IF(AA939="","NO STANDARD",IF(AC939&lt;=Config_Status!$B$2,"EFFICIENT",IF(AC939&lt;=Config_Status!$B$3,"NORMAL",IF(AC939&lt;=Config_Status!$B$4,"WARNING","OVER CONSUMPTION"))))</x:f>
        <x:v>WARNING</x:v>
      </x:c>
      <x:c r="AE939" t="str">
        <x:f>IFERROR(VLOOKUP(G939,Master_Unit!$A$2:$N$78,13,FALSE),"UNIT NOT FOUND")</x:f>
        <x:v>Matched</x:v>
      </x:c>
    </x:row>
    <x:row r="940">
      <x:c r="A940" s="12" t="str">
        <x:v>FU-20260614-00939</x:v>
      </x:c>
      <x:c r="B940" s="12" t="n">
        <x:v>1069</x:v>
      </x:c>
      <x:c r="C940" s="14" t="n">
        <x:v>46187</x:v>
      </x:c>
      <x:c r="D940" s="12" t="str">
        <x:v>Minggu</x:v>
      </x:c>
      <x:c r="E940" s="12" t="str">
        <x:v>20:44:00</x:v>
      </x:c>
      <x:c r="F940" s="12" t="str">
        <x:v>All Shift Night</x:v>
      </x:c>
      <x:c r="G940" s="12" t="str">
        <x:v>STRL44G149</x:v>
      </x:c>
      <x:c r="H940" s="12" t="str">
        <x:v>Dump Truck</x:v>
      </x:c>
      <x:c r="I940" s="12" t="str">
        <x:v>DUMP TRUCK RENAULT KRANGE440-P6X4 A/T</x:v>
      </x:c>
      <x:c r="J940" s="16" t="n">
        <x:v>164</x:v>
      </x:c>
      <x:c r="K940" s="16" t="n">
        <x:v>4343</x:v>
      </x:c>
      <x:c r="L940" s="16" t="n">
        <x:v>4349</x:v>
      </x:c>
      <x:c r="M940" s="16" t="n">
        <x:v>6</x:v>
      </x:c>
      <x:c r="N940" s="16" t="n">
        <x:v>27.333333333333332</x:v>
      </x:c>
      <x:c r="O940" s="12" t="str">
        <x:v>FTRL44G005</x:v>
      </x:c>
      <x:c r="P940" s="12" t="str">
        <x:v>STRL44G149</x:v>
      </x:c>
      <x:c r="Q940" s="12" t="str"/>
      <x:c r="R940" s="12" t="str"/>
      <x:c r="S940" s="12" t="str"/>
      <x:c r="T940" s="12" t="str">
        <x:v>ABM</x:v>
      </x:c>
      <x:c r="U940" s="12" t="str"/>
      <x:c r="V940" s="12" t="str"/>
      <x:c r="W940" s="12" t="str"/>
      <x:c r="X940" s="12" t="str">
        <x:v>STRL44</x:v>
      </x:c>
      <x:c r="Y940" s="12" t="str">
        <x:v>FANGKI &amp; ACUNG</x:v>
      </x:c>
      <x:c r="Z940" s="12" t="str">
        <x:v>COAL HAULING</x:v>
      </x:c>
      <x:c r="AA940" s="32" t="n">
        <x:f>IFERROR(VLOOKUP(G940,Master_Unit!$A$2:$N$78,7,FALSE),"")</x:f>
        <x:v>20</x:v>
      </x:c>
      <x:c r="AB940" s="32" t="n">
        <x:f>IF(OR(N940="",AA940=""),"",N940-AA940)</x:f>
        <x:v>7.333333333333332</x:v>
      </x:c>
      <x:c r="AC940" s="20" t="n">
        <x:f>IF(OR(N940="",AA940="",AA940=0),"",AB940/AA940)</x:f>
        <x:v>0.3666666666666666</x:v>
      </x:c>
      <x:c r="AD940" t="str">
        <x:f>IF(AA940="","NO STANDARD",IF(AC940&lt;=Config_Status!$B$2,"EFFICIENT",IF(AC940&lt;=Config_Status!$B$3,"NORMAL",IF(AC940&lt;=Config_Status!$B$4,"WARNING","OVER CONSUMPTION"))))</x:f>
        <x:v>OVER CONSUMPTION</x:v>
      </x:c>
      <x:c r="AE940" t="str">
        <x:f>IFERROR(VLOOKUP(G940,Master_Unit!$A$2:$N$78,13,FALSE),"UNIT NOT FOUND")</x:f>
        <x:v>Matched</x:v>
      </x:c>
    </x:row>
    <x:row r="941">
      <x:c r="A941" s="12" t="str">
        <x:v>FU-20260614-00940</x:v>
      </x:c>
      <x:c r="B941" s="12" t="n">
        <x:v>1070</x:v>
      </x:c>
      <x:c r="C941" s="14" t="n">
        <x:v>46187</x:v>
      </x:c>
      <x:c r="D941" s="12" t="str">
        <x:v>Minggu</x:v>
      </x:c>
      <x:c r="E941" s="12" t="str">
        <x:v>21:07:00</x:v>
      </x:c>
      <x:c r="F941" s="12" t="str">
        <x:v>All Shift Night</x:v>
      </x:c>
      <x:c r="G941" s="12" t="str">
        <x:v>STRL44G144</x:v>
      </x:c>
      <x:c r="H941" s="12" t="str">
        <x:v>Dump Truck</x:v>
      </x:c>
      <x:c r="I941" s="12" t="str">
        <x:v>DUMP TRUCK RENAULT KRANGE440-P6X4 A/T</x:v>
      </x:c>
      <x:c r="J941" s="16" t="n">
        <x:v>120</x:v>
      </x:c>
      <x:c r="K941" s="16" t="n">
        <x:v>1578</x:v>
      </x:c>
      <x:c r="L941" s="16" t="n">
        <x:v>1582</x:v>
      </x:c>
      <x:c r="M941" s="16" t="n">
        <x:v>4</x:v>
      </x:c>
      <x:c r="N941" s="16" t="n">
        <x:v>30</x:v>
      </x:c>
      <x:c r="O941" s="12" t="str">
        <x:v>FTRL44G005</x:v>
      </x:c>
      <x:c r="P941" s="12" t="str">
        <x:v>STRL44G144</x:v>
      </x:c>
      <x:c r="Q941" s="12" t="str"/>
      <x:c r="R941" s="12" t="str"/>
      <x:c r="S941" s="12" t="str"/>
      <x:c r="T941" s="12" t="str">
        <x:v>ABM</x:v>
      </x:c>
      <x:c r="U941" s="12" t="str"/>
      <x:c r="V941" s="12" t="str"/>
      <x:c r="W941" s="12" t="str"/>
      <x:c r="X941" s="12" t="str">
        <x:v>STRL44</x:v>
      </x:c>
      <x:c r="Y941" s="12" t="str">
        <x:v>FANGKI &amp; ACUNG</x:v>
      </x:c>
      <x:c r="Z941" s="12" t="str">
        <x:v>COAL HAULING</x:v>
      </x:c>
      <x:c r="AA941" s="32" t="n">
        <x:f>IFERROR(VLOOKUP(G941,Master_Unit!$A$2:$N$78,7,FALSE),"")</x:f>
        <x:v>20</x:v>
      </x:c>
      <x:c r="AB941" s="32" t="n">
        <x:f>IF(OR(N941="",AA941=""),"",N941-AA941)</x:f>
        <x:v>10</x:v>
      </x:c>
      <x:c r="AC941" s="20" t="n">
        <x:f>IF(OR(N941="",AA941="",AA941=0),"",AB941/AA941)</x:f>
        <x:v>0.5</x:v>
      </x:c>
      <x:c r="AD941" t="str">
        <x:f>IF(AA941="","NO STANDARD",IF(AC941&lt;=Config_Status!$B$2,"EFFICIENT",IF(AC941&lt;=Config_Status!$B$3,"NORMAL",IF(AC941&lt;=Config_Status!$B$4,"WARNING","OVER CONSUMPTION"))))</x:f>
        <x:v>OVER CONSUMPTION</x:v>
      </x:c>
      <x:c r="AE941" t="str">
        <x:f>IFERROR(VLOOKUP(G941,Master_Unit!$A$2:$N$78,13,FALSE),"UNIT NOT FOUND")</x:f>
        <x:v>Matched</x:v>
      </x:c>
    </x:row>
    <x:row r="942">
      <x:c r="A942" s="12" t="str">
        <x:v>FU-20260614-00941</x:v>
      </x:c>
      <x:c r="B942" s="12" t="n">
        <x:v>1071</x:v>
      </x:c>
      <x:c r="C942" s="14" t="n">
        <x:v>46187</x:v>
      </x:c>
      <x:c r="D942" s="12" t="str">
        <x:v>Minggu</x:v>
      </x:c>
      <x:c r="E942" s="12" t="str">
        <x:v>23:49:00</x:v>
      </x:c>
      <x:c r="F942" s="12" t="str">
        <x:v>All Shift Night</x:v>
      </x:c>
      <x:c r="G942" s="12" t="str">
        <x:v>EXVV35G006</x:v>
      </x:c>
      <x:c r="H942" s="12" t="str">
        <x:v>Excavator</x:v>
      </x:c>
      <x:c r="I942" s="12" t="str">
        <x:v>EXCAVATOR VOLVO EC350D</x:v>
      </x:c>
      <x:c r="J942" s="16" t="n">
        <x:v>283</x:v>
      </x:c>
      <x:c r="K942" s="16" t="n">
        <x:v>3208.8</x:v>
      </x:c>
      <x:c r="L942" s="16" t="n">
        <x:v>3220.4</x:v>
      </x:c>
      <x:c r="M942" s="16" t="n">
        <x:v>11.599999999999909</x:v>
      </x:c>
      <x:c r="N942" s="16" t="n">
        <x:v>24.39655172413812</x:v>
      </x:c>
      <x:c r="O942" s="12" t="str">
        <x:v>FTRL44G005</x:v>
      </x:c>
      <x:c r="P942" s="12" t="str">
        <x:v>EXVV35G006</x:v>
      </x:c>
      <x:c r="Q942" s="12" t="str"/>
      <x:c r="R942" s="12" t="str"/>
      <x:c r="S942" s="12" t="str"/>
      <x:c r="T942" s="12" t="str">
        <x:v>ABM</x:v>
      </x:c>
      <x:c r="U942" s="12" t="str"/>
      <x:c r="V942" s="12" t="str"/>
      <x:c r="W942" s="12" t="str"/>
      <x:c r="X942" s="12" t="str">
        <x:v>EXVV35</x:v>
      </x:c>
      <x:c r="Y942" s="12" t="str">
        <x:v>FANGKI &amp; ACUNG</x:v>
      </x:c>
      <x:c r="Z942" s="12" t="str">
        <x:v>COAL HAULING</x:v>
      </x:c>
      <x:c r="AA942" s="32" t="n">
        <x:f>IFERROR(VLOOKUP(G942,Master_Unit!$A$2:$N$78,7,FALSE),"")</x:f>
        <x:v>25</x:v>
      </x:c>
      <x:c r="AB942" s="32" t="n">
        <x:f>IF(OR(N942="",AA942=""),"",N942-AA942)</x:f>
        <x:v>-0.6034482758618793</x:v>
      </x:c>
      <x:c r="AC942" s="20" t="n">
        <x:f>IF(OR(N942="",AA942="",AA942=0),"",AB942/AA942)</x:f>
        <x:v>-0.024137931034475174</x:v>
      </x:c>
      <x:c r="AD942" t="str">
        <x:f>IF(AA942="","NO STANDARD",IF(AC942&lt;=Config_Status!$B$2,"EFFICIENT",IF(AC942&lt;=Config_Status!$B$3,"NORMAL",IF(AC942&lt;=Config_Status!$B$4,"WARNING","OVER CONSUMPTION"))))</x:f>
        <x:v>NORMAL</x:v>
      </x:c>
      <x:c r="AE942" t="str">
        <x:f>IFERROR(VLOOKUP(G942,Master_Unit!$A$2:$N$78,13,FALSE),"UNIT NOT FOUND")</x:f>
        <x:v>Matched</x:v>
      </x:c>
    </x:row>
    <x:row r="943">
      <x:c r="A943" s="12" t="str">
        <x:v>FU-20260615-00942</x:v>
      </x:c>
      <x:c r="B943" s="12" t="n">
        <x:v>1072</x:v>
      </x:c>
      <x:c r="C943" s="14" t="n">
        <x:v>46188</x:v>
      </x:c>
      <x:c r="D943" s="12" t="str">
        <x:v>Senin</x:v>
      </x:c>
      <x:c r="E943" s="12" t="str">
        <x:v>06:18:00</x:v>
      </x:c>
      <x:c r="F943" s="12" t="str">
        <x:v>All Shift Day</x:v>
      </x:c>
      <x:c r="G943" s="12" t="str">
        <x:v>EXVV35G007</x:v>
      </x:c>
      <x:c r="H943" s="12" t="str">
        <x:v>Excavator</x:v>
      </x:c>
      <x:c r="I943" s="12" t="str">
        <x:v>EXCAVATOR VOLVO EC350D</x:v>
      </x:c>
      <x:c r="J943" s="16" t="n">
        <x:v>143</x:v>
      </x:c>
      <x:c r="K943" s="16" t="n">
        <x:v>614.4</x:v>
      </x:c>
      <x:c r="L943" s="16" t="n">
        <x:v>618.3</x:v>
      </x:c>
      <x:c r="M943" s="16" t="n">
        <x:v>3.8999999999999773</x:v>
      </x:c>
      <x:c r="N943" s="16" t="n">
        <x:v>36.66666666666688</x:v>
      </x:c>
      <x:c r="O943" s="12" t="str">
        <x:v>FTRL44G004</x:v>
      </x:c>
      <x:c r="P943" s="12" t="str">
        <x:v>EXVV35G007</x:v>
      </x:c>
      <x:c r="Q943" s="12" t="str"/>
      <x:c r="R943" s="12" t="str"/>
      <x:c r="S943" s="12" t="str"/>
      <x:c r="T943" s="12" t="str">
        <x:v>ABM</x:v>
      </x:c>
      <x:c r="U943" s="12" t="str"/>
      <x:c r="V943" s="12" t="str"/>
      <x:c r="W943" s="12" t="str"/>
      <x:c r="X943" s="12" t="str">
        <x:v>EXVV35</x:v>
      </x:c>
      <x:c r="Y943" s="12" t="str">
        <x:v>RAFIF &amp; YOGI</x:v>
      </x:c>
      <x:c r="Z943" s="12" t="str">
        <x:v>COAL HAULING</x:v>
      </x:c>
      <x:c r="AA943" s="32" t="n">
        <x:f>IFERROR(VLOOKUP(G943,Master_Unit!$A$2:$N$78,7,FALSE),"")</x:f>
        <x:v>25</x:v>
      </x:c>
      <x:c r="AB943" s="32" t="n">
        <x:f>IF(OR(N943="",AA943=""),"",N943-AA943)</x:f>
        <x:v>11.666666666666877</x:v>
      </x:c>
      <x:c r="AC943" s="20" t="n">
        <x:f>IF(OR(N943="",AA943="",AA943=0),"",AB943/AA943)</x:f>
        <x:v>0.4666666666666751</x:v>
      </x:c>
      <x:c r="AD943" t="str">
        <x:f>IF(AA943="","NO STANDARD",IF(AC943&lt;=Config_Status!$B$2,"EFFICIENT",IF(AC943&lt;=Config_Status!$B$3,"NORMAL",IF(AC943&lt;=Config_Status!$B$4,"WARNING","OVER CONSUMPTION"))))</x:f>
        <x:v>OVER CONSUMPTION</x:v>
      </x:c>
      <x:c r="AE943" t="str">
        <x:f>IFERROR(VLOOKUP(G943,Master_Unit!$A$2:$N$78,13,FALSE),"UNIT NOT FOUND")</x:f>
        <x:v>Matched</x:v>
      </x:c>
    </x:row>
    <x:row r="944">
      <x:c r="A944" s="12" t="str">
        <x:v>FU-20260615-00943</x:v>
      </x:c>
      <x:c r="B944" s="12" t="n">
        <x:v>1073</x:v>
      </x:c>
      <x:c r="C944" s="14" t="n">
        <x:v>46188</x:v>
      </x:c>
      <x:c r="D944" s="12" t="str">
        <x:v>Senin</x:v>
      </x:c>
      <x:c r="E944" s="12" t="str">
        <x:v>06:20:00</x:v>
      </x:c>
      <x:c r="F944" s="12" t="str">
        <x:v>All Shift Day</x:v>
      </x:c>
      <x:c r="G944" s="12" t="str">
        <x:v>GSHT25G001</x:v>
      </x:c>
      <x:c r="H944" s="12" t="str">
        <x:v>Genset</x:v>
      </x:c>
      <x:c r="I944" s="12" t="str">
        <x:v>GENSET HARTECH HT-250-V</x:v>
      </x:c>
      <x:c r="J944" s="16" t="n">
        <x:v>400</x:v>
      </x:c>
      <x:c r="K944" s="16" t="n">
        <x:v>1841.56</x:v>
      </x:c>
      <x:c r="L944" s="16" t="n">
        <x:v>1874.41</x:v>
      </x:c>
      <x:c r="M944" s="16" t="n">
        <x:v>32.850000000000136</x:v>
      </x:c>
      <x:c r="N944" s="16" t="n">
        <x:v>12.17656012176555</x:v>
      </x:c>
      <x:c r="O944" s="12" t="str">
        <x:v>FTRL44G004</x:v>
      </x:c>
      <x:c r="P944" s="12" t="str">
        <x:v>GSHT25G001</x:v>
      </x:c>
      <x:c r="Q944" s="12" t="str"/>
      <x:c r="R944" s="12" t="str"/>
      <x:c r="S944" s="12" t="str"/>
      <x:c r="T944" s="12" t="str">
        <x:v>ABM</x:v>
      </x:c>
      <x:c r="U944" s="12" t="str"/>
      <x:c r="V944" s="12" t="str"/>
      <x:c r="W944" s="12" t="str"/>
      <x:c r="X944" s="12" t="str">
        <x:v>GSHT25</x:v>
      </x:c>
      <x:c r="Y944" s="12" t="str">
        <x:v>RAFIF &amp; YOGI</x:v>
      </x:c>
      <x:c r="Z944" s="12" t="str">
        <x:v>COAL HAULING</x:v>
      </x:c>
      <x:c r="AA944" s="32" t="n">
        <x:f>IFERROR(VLOOKUP(G944,Master_Unit!$A$2:$N$78,7,FALSE),"")</x:f>
        <x:v>15</x:v>
      </x:c>
      <x:c r="AB944" s="32" t="n">
        <x:f>IF(OR(N944="",AA944=""),"",N944-AA944)</x:f>
        <x:v>-2.823439878234449</x:v>
      </x:c>
      <x:c r="AC944" s="20" t="n">
        <x:f>IF(OR(N944="",AA944="",AA944=0),"",AB944/AA944)</x:f>
        <x:v>-0.18822932521562993</x:v>
      </x:c>
      <x:c r="AD944" t="str">
        <x:f>IF(AA944="","NO STANDARD",IF(AC944&lt;=Config_Status!$B$2,"EFFICIENT",IF(AC944&lt;=Config_Status!$B$3,"NORMAL",IF(AC944&lt;=Config_Status!$B$4,"WARNING","OVER CONSUMPTION"))))</x:f>
        <x:v>EFFICIENT</x:v>
      </x:c>
      <x:c r="AE944" t="str">
        <x:f>IFERROR(VLOOKUP(G944,Master_Unit!$A$2:$N$78,13,FALSE),"UNIT NOT FOUND")</x:f>
        <x:v>Matched</x:v>
      </x:c>
    </x:row>
    <x:row r="945">
      <x:c r="A945" s="12" t="str">
        <x:v>FU-20260615-00944</x:v>
      </x:c>
      <x:c r="B945" s="12" t="n">
        <x:v>1074</x:v>
      </x:c>
      <x:c r="C945" s="14" t="n">
        <x:v>46188</x:v>
      </x:c>
      <x:c r="D945" s="12" t="str">
        <x:v>Senin</x:v>
      </x:c>
      <x:c r="E945" s="12" t="str">
        <x:v>06:29:00</x:v>
      </x:c>
      <x:c r="F945" s="12" t="str">
        <x:v>All Shift Day</x:v>
      </x:c>
      <x:c r="G945" s="12" t="str">
        <x:v>EXVV35G005</x:v>
      </x:c>
      <x:c r="H945" s="12" t="str">
        <x:v>Excavator</x:v>
      </x:c>
      <x:c r="I945" s="12" t="str">
        <x:v>EXCAVATOR VOLVO EC350D</x:v>
      </x:c>
      <x:c r="J945" s="16" t="n">
        <x:v>143</x:v>
      </x:c>
      <x:c r="K945" s="16" t="n">
        <x:v>5248.4</x:v>
      </x:c>
      <x:c r="L945" s="16" t="n">
        <x:v>5252.6</x:v>
      </x:c>
      <x:c r="M945" s="16" t="n">
        <x:v>4.200000000000728</x:v>
      </x:c>
      <x:c r="N945" s="16" t="n">
        <x:v>34.047619047613146</x:v>
      </x:c>
      <x:c r="O945" s="12" t="str">
        <x:v>FTRL44G004</x:v>
      </x:c>
      <x:c r="P945" s="12" t="str">
        <x:v>EXVV35G005</x:v>
      </x:c>
      <x:c r="Q945" s="12" t="str"/>
      <x:c r="R945" s="12" t="str"/>
      <x:c r="S945" s="12" t="str"/>
      <x:c r="T945" s="12" t="str">
        <x:v>ABM</x:v>
      </x:c>
      <x:c r="U945" s="12" t="str"/>
      <x:c r="V945" s="12" t="str"/>
      <x:c r="W945" s="12" t="str"/>
      <x:c r="X945" s="12" t="str">
        <x:v>EXVV35</x:v>
      </x:c>
      <x:c r="Y945" s="12" t="str">
        <x:v>RAFIF &amp; YOGI</x:v>
      </x:c>
      <x:c r="Z945" s="12" t="str">
        <x:v>COAL HAULING</x:v>
      </x:c>
      <x:c r="AA945" s="32" t="n">
        <x:f>IFERROR(VLOOKUP(G945,Master_Unit!$A$2:$N$78,7,FALSE),"")</x:f>
        <x:v>25</x:v>
      </x:c>
      <x:c r="AB945" s="32" t="n">
        <x:f>IF(OR(N945="",AA945=""),"",N945-AA945)</x:f>
        <x:v>9.047619047613146</x:v>
      </x:c>
      <x:c r="AC945" s="20" t="n">
        <x:f>IF(OR(N945="",AA945="",AA945=0),"",AB945/AA945)</x:f>
        <x:v>0.36190476190452586</x:v>
      </x:c>
      <x:c r="AD945" t="str">
        <x:f>IF(AA945="","NO STANDARD",IF(AC945&lt;=Config_Status!$B$2,"EFFICIENT",IF(AC945&lt;=Config_Status!$B$3,"NORMAL",IF(AC945&lt;=Config_Status!$B$4,"WARNING","OVER CONSUMPTION"))))</x:f>
        <x:v>OVER CONSUMPTION</x:v>
      </x:c>
      <x:c r="AE945" t="str">
        <x:f>IFERROR(VLOOKUP(G945,Master_Unit!$A$2:$N$78,13,FALSE),"UNIT NOT FOUND")</x:f>
        <x:v>Matched</x:v>
      </x:c>
    </x:row>
    <x:row r="946">
      <x:c r="A946" s="12" t="str">
        <x:v>FU-20260615-00945</x:v>
      </x:c>
      <x:c r="B946" s="12" t="n">
        <x:v>1075</x:v>
      </x:c>
      <x:c r="C946" s="14" t="n">
        <x:v>46188</x:v>
      </x:c>
      <x:c r="D946" s="12" t="str">
        <x:v>Senin</x:v>
      </x:c>
      <x:c r="E946" s="12" t="str">
        <x:v>06:32:00</x:v>
      </x:c>
      <x:c r="F946" s="12" t="str">
        <x:v>All Shift Day</x:v>
      </x:c>
      <x:c r="G946" s="12" t="str">
        <x:v>EXVV21G042</x:v>
      </x:c>
      <x:c r="H946" s="12" t="str">
        <x:v>Excavator</x:v>
      </x:c>
      <x:c r="I946" s="12" t="str">
        <x:v>EXCAVATOR VOLVO EC210D</x:v>
      </x:c>
      <x:c r="J946" s="16" t="n">
        <x:v>103</x:v>
      </x:c>
      <x:c r="K946" s="16" t="n">
        <x:v>7802.4</x:v>
      </x:c>
      <x:c r="L946" s="16" t="n">
        <x:v>7809.6</x:v>
      </x:c>
      <x:c r="M946" s="16" t="n">
        <x:v>7.200000000000728</x:v>
      </x:c>
      <x:c r="N946" s="16" t="n">
        <x:v>14.30555555555411</x:v>
      </x:c>
      <x:c r="O946" s="12" t="str">
        <x:v>FTRL44G004</x:v>
      </x:c>
      <x:c r="P946" s="12" t="str">
        <x:v>EXVV21G042</x:v>
      </x:c>
      <x:c r="Q946" s="12" t="str"/>
      <x:c r="R946" s="12" t="str"/>
      <x:c r="S946" s="12" t="str"/>
      <x:c r="T946" s="12" t="str">
        <x:v>ABM</x:v>
      </x:c>
      <x:c r="U946" s="12" t="str"/>
      <x:c r="V946" s="12" t="str"/>
      <x:c r="W946" s="12" t="str"/>
      <x:c r="X946" s="12" t="str">
        <x:v>EXVV21</x:v>
      </x:c>
      <x:c r="Y946" s="12" t="str">
        <x:v>RAFIF &amp; YOGI</x:v>
      </x:c>
      <x:c r="Z946" s="12" t="str">
        <x:v>COAL HAULING</x:v>
      </x:c>
      <x:c r="AA946" s="32" t="n">
        <x:f>IFERROR(VLOOKUP(G946,Master_Unit!$A$2:$N$78,7,FALSE),"")</x:f>
        <x:v>20</x:v>
      </x:c>
      <x:c r="AB946" s="32" t="n">
        <x:f>IF(OR(N946="",AA946=""),"",N946-AA946)</x:f>
        <x:v>-5.694444444445891</x:v>
      </x:c>
      <x:c r="AC946" s="20" t="n">
        <x:f>IF(OR(N946="",AA946="",AA946=0),"",AB946/AA946)</x:f>
        <x:v>-0.28472222222229454</x:v>
      </x:c>
      <x:c r="AD946" t="str">
        <x:f>IF(AA946="","NO STANDARD",IF(AC946&lt;=Config_Status!$B$2,"EFFICIENT",IF(AC946&lt;=Config_Status!$B$3,"NORMAL",IF(AC946&lt;=Config_Status!$B$4,"WARNING","OVER CONSUMPTION"))))</x:f>
        <x:v>EFFICIENT</x:v>
      </x:c>
      <x:c r="AE946" t="str">
        <x:f>IFERROR(VLOOKUP(G946,Master_Unit!$A$2:$N$78,13,FALSE),"UNIT NOT FOUND")</x:f>
        <x:v>Matched</x:v>
      </x:c>
    </x:row>
    <x:row r="947">
      <x:c r="A947" s="12" t="str">
        <x:v>FU-20260615-00946</x:v>
      </x:c>
      <x:c r="B947" s="12" t="n">
        <x:v>1076</x:v>
      </x:c>
      <x:c r="C947" s="14" t="n">
        <x:v>46188</x:v>
      </x:c>
      <x:c r="D947" s="12" t="str">
        <x:v>Senin</x:v>
      </x:c>
      <x:c r="E947" s="12" t="str">
        <x:v>06:35:00</x:v>
      </x:c>
      <x:c r="F947" s="12" t="str">
        <x:v>All Shift Day</x:v>
      </x:c>
      <x:c r="G947" s="12" t="str">
        <x:v>EXVV21G039</x:v>
      </x:c>
      <x:c r="H947" s="12" t="str">
        <x:v>Excavator</x:v>
      </x:c>
      <x:c r="I947" s="12" t="str">
        <x:v>EXCAVATOR VOLVO EC210D</x:v>
      </x:c>
      <x:c r="J947" s="16" t="n">
        <x:v>103</x:v>
      </x:c>
      <x:c r="K947" s="16" t="n">
        <x:v>6345.7</x:v>
      </x:c>
      <x:c r="L947" s="16" t="n">
        <x:v>6354.6</x:v>
      </x:c>
      <x:c r="M947" s="16" t="n">
        <x:v>8.900000000000546</x:v>
      </x:c>
      <x:c r="N947" s="16" t="n">
        <x:v>11.57303370786446</x:v>
      </x:c>
      <x:c r="O947" s="12" t="str">
        <x:v>FTRL44G004</x:v>
      </x:c>
      <x:c r="P947" s="12" t="str">
        <x:v>EXVV21G039</x:v>
      </x:c>
      <x:c r="Q947" s="12" t="str"/>
      <x:c r="R947" s="12" t="str"/>
      <x:c r="S947" s="12" t="str"/>
      <x:c r="T947" s="12" t="str">
        <x:v>ABM</x:v>
      </x:c>
      <x:c r="U947" s="12" t="str"/>
      <x:c r="V947" s="12" t="str"/>
      <x:c r="W947" s="12" t="str"/>
      <x:c r="X947" s="12" t="str">
        <x:v>EXVV21</x:v>
      </x:c>
      <x:c r="Y947" s="12" t="str">
        <x:v>RAFIF &amp; YOGI</x:v>
      </x:c>
      <x:c r="Z947" s="12" t="str">
        <x:v>COAL HAULING</x:v>
      </x:c>
      <x:c r="AA947" s="32" t="n">
        <x:f>IFERROR(VLOOKUP(G947,Master_Unit!$A$2:$N$78,7,FALSE),"")</x:f>
        <x:v>20</x:v>
      </x:c>
      <x:c r="AB947" s="32" t="n">
        <x:f>IF(OR(N947="",AA947=""),"",N947-AA947)</x:f>
        <x:v>-8.42696629213554</x:v>
      </x:c>
      <x:c r="AC947" s="20" t="n">
        <x:f>IF(OR(N947="",AA947="",AA947=0),"",AB947/AA947)</x:f>
        <x:v>-0.421348314606777</x:v>
      </x:c>
      <x:c r="AD947" t="str">
        <x:f>IF(AA947="","NO STANDARD",IF(AC947&lt;=Config_Status!$B$2,"EFFICIENT",IF(AC947&lt;=Config_Status!$B$3,"NORMAL",IF(AC947&lt;=Config_Status!$B$4,"WARNING","OVER CONSUMPTION"))))</x:f>
        <x:v>EFFICIENT</x:v>
      </x:c>
      <x:c r="AE947" t="str">
        <x:f>IFERROR(VLOOKUP(G947,Master_Unit!$A$2:$N$78,13,FALSE),"UNIT NOT FOUND")</x:f>
        <x:v>Matched</x:v>
      </x:c>
    </x:row>
    <x:row r="948">
      <x:c r="A948" s="12" t="str">
        <x:v>FU-20260615-00947</x:v>
      </x:c>
      <x:c r="B948" s="12" t="n">
        <x:v>1077</x:v>
      </x:c>
      <x:c r="C948" s="14" t="n">
        <x:v>46188</x:v>
      </x:c>
      <x:c r="D948" s="12" t="str">
        <x:v>Senin</x:v>
      </x:c>
      <x:c r="E948" s="12" t="str">
        <x:v>06:40:00</x:v>
      </x:c>
      <x:c r="F948" s="12" t="str">
        <x:v>All Shift Day</x:v>
      </x:c>
      <x:c r="G948" s="12" t="str">
        <x:v>GSHT10G001</x:v>
      </x:c>
      <x:c r="H948" s="12" t="str">
        <x:v>Genset</x:v>
      </x:c>
      <x:c r="I948" s="12" t="str">
        <x:v>GENSET HARTECH HT-10</x:v>
      </x:c>
      <x:c r="J948" s="16" t="n">
        <x:v>10</x:v>
      </x:c>
      <x:c r="K948" s="16" t="n">
        <x:v>5980.33</x:v>
      </x:c>
      <x:c r="L948" s="16" t="n">
        <x:v>5991.31</x:v>
      </x:c>
      <x:c r="M948" s="16" t="n">
        <x:v>10.980000000000473</x:v>
      </x:c>
      <x:c r="N948" s="16" t="n">
        <x:v>0.9107468123861174</x:v>
      </x:c>
      <x:c r="O948" s="12" t="str">
        <x:v>FTRL44G004</x:v>
      </x:c>
      <x:c r="P948" s="12" t="str">
        <x:v>GSHT10G001</x:v>
      </x:c>
      <x:c r="Q948" s="12" t="str"/>
      <x:c r="R948" s="12" t="str"/>
      <x:c r="S948" s="12" t="str"/>
      <x:c r="T948" s="12" t="str">
        <x:v>ABM</x:v>
      </x:c>
      <x:c r="U948" s="12" t="str"/>
      <x:c r="V948" s="12" t="str"/>
      <x:c r="W948" s="12" t="str"/>
      <x:c r="X948" s="12" t="str">
        <x:v>GSHT10</x:v>
      </x:c>
      <x:c r="Y948" s="12" t="str">
        <x:v>RAFIF &amp; YOGI</x:v>
      </x:c>
      <x:c r="Z948" s="12" t="str">
        <x:v>COAL HAULING</x:v>
      </x:c>
      <x:c r="AA948" s="32" t="n">
        <x:f>IFERROR(VLOOKUP(G948,Master_Unit!$A$2:$N$78,7,FALSE),"")</x:f>
        <x:v>3</x:v>
      </x:c>
      <x:c r="AB948" s="32" t="n">
        <x:f>IF(OR(N948="",AA948=""),"",N948-AA948)</x:f>
        <x:v>-2.0892531876138825</x:v>
      </x:c>
      <x:c r="AC948" s="20" t="n">
        <x:f>IF(OR(N948="",AA948="",AA948=0),"",AB948/AA948)</x:f>
        <x:v>-0.6964177292046275</x:v>
      </x:c>
      <x:c r="AD948" t="str">
        <x:f>IF(AA948="","NO STANDARD",IF(AC948&lt;=Config_Status!$B$2,"EFFICIENT",IF(AC948&lt;=Config_Status!$B$3,"NORMAL",IF(AC948&lt;=Config_Status!$B$4,"WARNING","OVER CONSUMPTION"))))</x:f>
        <x:v>EFFICIENT</x:v>
      </x:c>
      <x:c r="AE948" t="str">
        <x:f>IFERROR(VLOOKUP(G948,Master_Unit!$A$2:$N$78,13,FALSE),"UNIT NOT FOUND")</x:f>
        <x:v>Matched</x:v>
      </x:c>
    </x:row>
    <x:row r="949">
      <x:c r="A949" s="12" t="str">
        <x:v>FU-20260615-00948</x:v>
      </x:c>
      <x:c r="B949" s="12" t="n">
        <x:v>1078</x:v>
      </x:c>
      <x:c r="C949" s="14" t="n">
        <x:v>46188</x:v>
      </x:c>
      <x:c r="D949" s="12" t="str">
        <x:v>Senin</x:v>
      </x:c>
      <x:c r="E949" s="12" t="str">
        <x:v>06:45:00</x:v>
      </x:c>
      <x:c r="F949" s="12" t="str">
        <x:v>All Shift Day</x:v>
      </x:c>
      <x:c r="G949" s="12" t="str">
        <x:v>BDKM85G039</x:v>
      </x:c>
      <x:c r="H949" s="12" t="str">
        <x:v>Dozer</x:v>
      </x:c>
      <x:c r="I949" s="12" t="str">
        <x:v>BULDOZER KOMATSU D85ESS-2</x:v>
      </x:c>
      <x:c r="J949" s="16" t="n">
        <x:v>75</x:v>
      </x:c>
      <x:c r="K949" s="16" t="n">
        <x:v>7138.9</x:v>
      </x:c>
      <x:c r="L949" s="16" t="n">
        <x:v>7144.8</x:v>
      </x:c>
      <x:c r="M949" s="16" t="n">
        <x:v>5.900000000000546</x:v>
      </x:c>
      <x:c r="N949" s="16" t="n">
        <x:v>12.711864406778485</x:v>
      </x:c>
      <x:c r="O949" s="12" t="str">
        <x:v>FTRL44G004</x:v>
      </x:c>
      <x:c r="P949" s="12" t="str">
        <x:v>BDKM85G039</x:v>
      </x:c>
      <x:c r="Q949" s="12" t="str"/>
      <x:c r="R949" s="12" t="str"/>
      <x:c r="S949" s="12" t="str"/>
      <x:c r="T949" s="12" t="str">
        <x:v>ABM</x:v>
      </x:c>
      <x:c r="U949" s="12" t="str"/>
      <x:c r="V949" s="12" t="str"/>
      <x:c r="W949" s="12" t="str"/>
      <x:c r="X949" s="12" t="str">
        <x:v>BDKM85</x:v>
      </x:c>
      <x:c r="Y949" s="12" t="str">
        <x:v>RAFIF &amp; YOGI</x:v>
      </x:c>
      <x:c r="Z949" s="12" t="str">
        <x:v>SUPPORT</x:v>
      </x:c>
      <x:c r="AA949" s="32" t="n">
        <x:f>IFERROR(VLOOKUP(G949,Master_Unit!$A$2:$N$78,7,FALSE),"")</x:f>
        <x:v>30</x:v>
      </x:c>
      <x:c r="AB949" s="32" t="n">
        <x:f>IF(OR(N949="",AA949=""),"",N949-AA949)</x:f>
        <x:v>-17.288135593221515</x:v>
      </x:c>
      <x:c r="AC949" s="20" t="n">
        <x:f>IF(OR(N949="",AA949="",AA949=0),"",AB949/AA949)</x:f>
        <x:v>-0.5762711864407172</x:v>
      </x:c>
      <x:c r="AD949" t="str">
        <x:f>IF(AA949="","NO STANDARD",IF(AC949&lt;=Config_Status!$B$2,"EFFICIENT",IF(AC949&lt;=Config_Status!$B$3,"NORMAL",IF(AC949&lt;=Config_Status!$B$4,"WARNING","OVER CONSUMPTION"))))</x:f>
        <x:v>EFFICIENT</x:v>
      </x:c>
      <x:c r="AE949" t="str">
        <x:f>IFERROR(VLOOKUP(G949,Master_Unit!$A$2:$N$78,13,FALSE),"UNIT NOT FOUND")</x:f>
        <x:v>Matched</x:v>
      </x:c>
    </x:row>
    <x:row r="950">
      <x:c r="A950" s="12" t="str">
        <x:v>FU-20260615-00949</x:v>
      </x:c>
      <x:c r="B950" s="12" t="n">
        <x:v>1079</x:v>
      </x:c>
      <x:c r="C950" s="14" t="n">
        <x:v>46188</x:v>
      </x:c>
      <x:c r="D950" s="12" t="str">
        <x:v>Senin</x:v>
      </x:c>
      <x:c r="E950" s="12" t="str">
        <x:v>06:46:00</x:v>
      </x:c>
      <x:c r="F950" s="12" t="str">
        <x:v>All Shift Day</x:v>
      </x:c>
      <x:c r="G950" s="12" t="str">
        <x:v>EXVV21G032</x:v>
      </x:c>
      <x:c r="H950" s="12" t="str">
        <x:v>Excavator</x:v>
      </x:c>
      <x:c r="I950" s="12" t="str">
        <x:v>EXCAVATOR VOLVO EC210D</x:v>
      </x:c>
      <x:c r="J950" s="16" t="n">
        <x:v>103</x:v>
      </x:c>
      <x:c r="K950" s="16" t="n">
        <x:v>7574.5</x:v>
      </x:c>
      <x:c r="L950" s="16" t="n">
        <x:v>7583.7</x:v>
      </x:c>
      <x:c r="M950" s="16" t="n">
        <x:v>9.199999999999818</x:v>
      </x:c>
      <x:c r="N950" s="16" t="n">
        <x:v>11.195652173913265</x:v>
      </x:c>
      <x:c r="O950" s="12" t="str">
        <x:v>FTRL44G004</x:v>
      </x:c>
      <x:c r="P950" s="12" t="str">
        <x:v>EXVV21G032</x:v>
      </x:c>
      <x:c r="Q950" s="12" t="str"/>
      <x:c r="R950" s="12" t="str"/>
      <x:c r="S950" s="12" t="str"/>
      <x:c r="T950" s="12" t="str">
        <x:v>ABM</x:v>
      </x:c>
      <x:c r="U950" s="12" t="str"/>
      <x:c r="V950" s="12" t="str"/>
      <x:c r="W950" s="12" t="str"/>
      <x:c r="X950" s="12" t="str">
        <x:v>EXVV21</x:v>
      </x:c>
      <x:c r="Y950" s="12" t="str">
        <x:v>RAFIF &amp; YOGI</x:v>
      </x:c>
      <x:c r="Z950" s="12" t="str">
        <x:v>COAL HAULING</x:v>
      </x:c>
      <x:c r="AA950" s="32" t="n">
        <x:f>IFERROR(VLOOKUP(G950,Master_Unit!$A$2:$N$78,7,FALSE),"")</x:f>
        <x:v>20</x:v>
      </x:c>
      <x:c r="AB950" s="32" t="n">
        <x:f>IF(OR(N950="",AA950=""),"",N950-AA950)</x:f>
        <x:v>-8.804347826086735</x:v>
      </x:c>
      <x:c r="AC950" s="20" t="n">
        <x:f>IF(OR(N950="",AA950="",AA950=0),"",AB950/AA950)</x:f>
        <x:v>-0.44021739130433674</x:v>
      </x:c>
      <x:c r="AD950" t="str">
        <x:f>IF(AA950="","NO STANDARD",IF(AC950&lt;=Config_Status!$B$2,"EFFICIENT",IF(AC950&lt;=Config_Status!$B$3,"NORMAL",IF(AC950&lt;=Config_Status!$B$4,"WARNING","OVER CONSUMPTION"))))</x:f>
        <x:v>EFFICIENT</x:v>
      </x:c>
      <x:c r="AE950" t="str">
        <x:f>IFERROR(VLOOKUP(G950,Master_Unit!$A$2:$N$78,13,FALSE),"UNIT NOT FOUND")</x:f>
        <x:v>Matched</x:v>
      </x:c>
    </x:row>
    <x:row r="951">
      <x:c r="A951" s="12" t="str">
        <x:v>FU-20260615-00950</x:v>
      </x:c>
      <x:c r="B951" s="12" t="n">
        <x:v>1080</x:v>
      </x:c>
      <x:c r="C951" s="14" t="n">
        <x:v>46188</x:v>
      </x:c>
      <x:c r="D951" s="12" t="str">
        <x:v>Senin</x:v>
      </x:c>
      <x:c r="E951" s="12" t="str">
        <x:v>06:50:00</x:v>
      </x:c>
      <x:c r="F951" s="12" t="str">
        <x:v>All Shift Day</x:v>
      </x:c>
      <x:c r="G951" s="12" t="str">
        <x:v>BDKM85G040</x:v>
      </x:c>
      <x:c r="H951" s="12" t="str">
        <x:v>Dozer</x:v>
      </x:c>
      <x:c r="I951" s="12" t="str">
        <x:v>BULDOZER KOMATSU D85ESS-2</x:v>
      </x:c>
      <x:c r="J951" s="16" t="n">
        <x:v>66</x:v>
      </x:c>
      <x:c r="K951" s="16" t="n">
        <x:v>6291.1</x:v>
      </x:c>
      <x:c r="L951" s="16" t="n">
        <x:v>6298.2</x:v>
      </x:c>
      <x:c r="M951" s="16" t="n">
        <x:v>7.099999999999454</x:v>
      </x:c>
      <x:c r="N951" s="16" t="n">
        <x:v>9.295774647888038</x:v>
      </x:c>
      <x:c r="O951" s="12" t="str">
        <x:v>FTRL44G004</x:v>
      </x:c>
      <x:c r="P951" s="12" t="str">
        <x:v>BDKM85G040</x:v>
      </x:c>
      <x:c r="Q951" s="12" t="str"/>
      <x:c r="R951" s="12" t="str"/>
      <x:c r="S951" s="12" t="str"/>
      <x:c r="T951" s="12" t="str">
        <x:v>ABM</x:v>
      </x:c>
      <x:c r="U951" s="12" t="str"/>
      <x:c r="V951" s="12" t="str"/>
      <x:c r="W951" s="12" t="str"/>
      <x:c r="X951" s="12" t="str">
        <x:v>BDKM85</x:v>
      </x:c>
      <x:c r="Y951" s="12" t="str">
        <x:v>RAFIF &amp; YOGI</x:v>
      </x:c>
      <x:c r="Z951" s="12" t="str">
        <x:v>COAL HAULING</x:v>
      </x:c>
      <x:c r="AA951" s="32" t="n">
        <x:f>IFERROR(VLOOKUP(G951,Master_Unit!$A$2:$N$78,7,FALSE),"")</x:f>
        <x:v>30</x:v>
      </x:c>
      <x:c r="AB951" s="32" t="n">
        <x:f>IF(OR(N951="",AA951=""),"",N951-AA951)</x:f>
        <x:v>-20.704225352111962</x:v>
      </x:c>
      <x:c r="AC951" s="20" t="n">
        <x:f>IF(OR(N951="",AA951="",AA951=0),"",AB951/AA951)</x:f>
        <x:v>-0.6901408450703987</x:v>
      </x:c>
      <x:c r="AD951" t="str">
        <x:f>IF(AA951="","NO STANDARD",IF(AC951&lt;=Config_Status!$B$2,"EFFICIENT",IF(AC951&lt;=Config_Status!$B$3,"NORMAL",IF(AC951&lt;=Config_Status!$B$4,"WARNING","OVER CONSUMPTION"))))</x:f>
        <x:v>EFFICIENT</x:v>
      </x:c>
      <x:c r="AE951" t="str">
        <x:f>IFERROR(VLOOKUP(G951,Master_Unit!$A$2:$N$78,13,FALSE),"UNIT NOT FOUND")</x:f>
        <x:v>Matched</x:v>
      </x:c>
    </x:row>
    <x:row r="952">
      <x:c r="A952" s="12" t="str">
        <x:v>FU-20260615-00951</x:v>
      </x:c>
      <x:c r="B952" s="12" t="n">
        <x:v>1081</x:v>
      </x:c>
      <x:c r="C952" s="14" t="n">
        <x:v>46188</x:v>
      </x:c>
      <x:c r="D952" s="12" t="str">
        <x:v>Senin</x:v>
      </x:c>
      <x:c r="E952" s="12" t="str">
        <x:v>06:55:00</x:v>
      </x:c>
      <x:c r="F952" s="12" t="str">
        <x:v>All Shift Day</x:v>
      </x:c>
      <x:c r="G952" s="12" t="str">
        <x:v>EXVV21G035</x:v>
      </x:c>
      <x:c r="H952" s="12" t="str">
        <x:v>Excavator</x:v>
      </x:c>
      <x:c r="I952" s="12" t="str">
        <x:v>EXCAVATOR VOLVO EC210D</x:v>
      </x:c>
      <x:c r="J952" s="16" t="n">
        <x:v>95</x:v>
      </x:c>
      <x:c r="K952" s="16" t="n">
        <x:v>8455.5</x:v>
      </x:c>
      <x:c r="L952" s="16" t="n">
        <x:v>8464.2</x:v>
      </x:c>
      <x:c r="M952" s="16" t="n">
        <x:v>8.700000000000728</x:v>
      </x:c>
      <x:c r="N952" s="16" t="n">
        <x:v>10.919540229884145</x:v>
      </x:c>
      <x:c r="O952" s="12" t="str">
        <x:v>FTRL44G004</x:v>
      </x:c>
      <x:c r="P952" s="12" t="str">
        <x:v>EXVV21G035</x:v>
      </x:c>
      <x:c r="Q952" s="12" t="str"/>
      <x:c r="R952" s="12" t="str"/>
      <x:c r="S952" s="12" t="str"/>
      <x:c r="T952" s="12" t="str">
        <x:v>ABM</x:v>
      </x:c>
      <x:c r="U952" s="12" t="str"/>
      <x:c r="V952" s="12" t="str"/>
      <x:c r="W952" s="12" t="str"/>
      <x:c r="X952" s="12" t="str">
        <x:v>EXVV21</x:v>
      </x:c>
      <x:c r="Y952" s="12" t="str">
        <x:v>RAFIF &amp; YOGI</x:v>
      </x:c>
      <x:c r="Z952" s="12" t="str">
        <x:v>PIT</x:v>
      </x:c>
      <x:c r="AA952" s="32" t="n">
        <x:f>IFERROR(VLOOKUP(G952,Master_Unit!$A$2:$N$78,7,FALSE),"")</x:f>
        <x:v>20</x:v>
      </x:c>
      <x:c r="AB952" s="32" t="n">
        <x:f>IF(OR(N952="",AA952=""),"",N952-AA952)</x:f>
        <x:v>-9.080459770115855</x:v>
      </x:c>
      <x:c r="AC952" s="20" t="n">
        <x:f>IF(OR(N952="",AA952="",AA952=0),"",AB952/AA952)</x:f>
        <x:v>-0.45402298850579276</x:v>
      </x:c>
      <x:c r="AD952" t="str">
        <x:f>IF(AA952="","NO STANDARD",IF(AC952&lt;=Config_Status!$B$2,"EFFICIENT",IF(AC952&lt;=Config_Status!$B$3,"NORMAL",IF(AC952&lt;=Config_Status!$B$4,"WARNING","OVER CONSUMPTION"))))</x:f>
        <x:v>EFFICIENT</x:v>
      </x:c>
      <x:c r="AE952" t="str">
        <x:f>IFERROR(VLOOKUP(G952,Master_Unit!$A$2:$N$78,13,FALSE),"UNIT NOT FOUND")</x:f>
        <x:v>Matched</x:v>
      </x:c>
    </x:row>
    <x:row r="953">
      <x:c r="A953" s="12" t="str">
        <x:v>FU-20260615-00952</x:v>
      </x:c>
      <x:c r="B953" s="12" t="n">
        <x:v>1082</x:v>
      </x:c>
      <x:c r="C953" s="14" t="n">
        <x:v>46188</x:v>
      </x:c>
      <x:c r="D953" s="12" t="str">
        <x:v>Senin</x:v>
      </x:c>
      <x:c r="E953" s="12" t="str">
        <x:v>07:01:00</x:v>
      </x:c>
      <x:c r="F953" s="12" t="str">
        <x:v>All Shift Day</x:v>
      </x:c>
      <x:c r="G953" s="12" t="str">
        <x:v>TLPT14G003</x:v>
      </x:c>
      <x:c r="H953" s="12" t="str">
        <x:v>Other</x:v>
      </x:c>
      <x:c r="I953" s="12" t="str">
        <x:v>TOWERLAMP PATRIA LS4-1400</x:v>
      </x:c>
      <x:c r="J953" s="16" t="n">
        <x:v>42</x:v>
      </x:c>
      <x:c r="K953" s="16" t="n">
        <x:v>13088.6</x:v>
      </x:c>
      <x:c r="L953" s="16" t="n">
        <x:v>13107.2</x:v>
      </x:c>
      <x:c r="M953" s="16" t="n">
        <x:v>18.600000000000364</x:v>
      </x:c>
      <x:c r="N953" s="16" t="n">
        <x:v>2.258064516128988</x:v>
      </x:c>
      <x:c r="O953" s="12" t="str">
        <x:v>FTRL44G004</x:v>
      </x:c>
      <x:c r="P953" s="12" t="str">
        <x:v>TLPT14G003</x:v>
      </x:c>
      <x:c r="Q953" s="12" t="str"/>
      <x:c r="R953" s="12" t="str"/>
      <x:c r="S953" s="12" t="str"/>
      <x:c r="T953" s="12" t="str">
        <x:v>ABM</x:v>
      </x:c>
      <x:c r="U953" s="12" t="str"/>
      <x:c r="V953" s="12" t="str"/>
      <x:c r="W953" s="12" t="str"/>
      <x:c r="X953" s="12" t="str">
        <x:v>TLPT14</x:v>
      </x:c>
      <x:c r="Y953" s="12" t="str">
        <x:v>RAFIF &amp; YOGI</x:v>
      </x:c>
      <x:c r="Z953" s="12" t="str">
        <x:v>PIT</x:v>
      </x:c>
      <x:c r="AA953" s="32" t="str">
        <x:f>IFERROR(VLOOKUP(G953,Master_Unit!$A$2:$N$78,7,FALSE),"")</x:f>
      </x:c>
      <x:c r="AB953" s="32" t="str">
        <x:f>IF(OR(N953="",AA953=""),"",N953-AA953)</x:f>
      </x:c>
      <x:c r="AC953" s="20" t="str">
        <x:f>IF(OR(N953="",AA953="",AA953=0),"",AB953/AA953)</x:f>
      </x:c>
      <x:c r="AD953" t="str">
        <x:f>IF(AA953="","NO STANDARD",IF(AC953&lt;=Config_Status!$B$2,"EFFICIENT",IF(AC953&lt;=Config_Status!$B$3,"NORMAL",IF(AC953&lt;=Config_Status!$B$4,"WARNING","OVER CONSUMPTION"))))</x:f>
        <x:v>NO STANDARD</x:v>
      </x:c>
      <x:c r="AE953" t="str">
        <x:f>IFERROR(VLOOKUP(G953,Master_Unit!$A$2:$N$78,13,FALSE),"UNIT NOT FOUND")</x:f>
        <x:v>No Standard</x:v>
      </x:c>
    </x:row>
    <x:row r="954">
      <x:c r="A954" s="12" t="str">
        <x:v>FU-20260615-00953</x:v>
      </x:c>
      <x:c r="B954" s="12" t="n">
        <x:v>1083</x:v>
      </x:c>
      <x:c r="C954" s="14" t="n">
        <x:v>46188</x:v>
      </x:c>
      <x:c r="D954" s="12" t="str">
        <x:v>Senin</x:v>
      </x:c>
      <x:c r="E954" s="12" t="str">
        <x:v>07:02:00</x:v>
      </x:c>
      <x:c r="F954" s="12" t="str">
        <x:v>All Shift Day</x:v>
      </x:c>
      <x:c r="G954" s="12" t="str">
        <x:v>VRVV11G013</x:v>
      </x:c>
      <x:c r="H954" s="12" t="str">
        <x:v>Compactor</x:v>
      </x:c>
      <x:c r="I954" s="12" t="str">
        <x:v>VIBRO COMPACTOR VOLVO SD110NE</x:v>
      </x:c>
      <x:c r="J954" s="16" t="n">
        <x:v>47</x:v>
      </x:c>
      <x:c r="K954" s="16" t="n">
        <x:v>3223.9</x:v>
      </x:c>
      <x:c r="L954" s="16" t="n">
        <x:v>3231.9</x:v>
      </x:c>
      <x:c r="M954" s="16" t="n">
        <x:v>8</x:v>
      </x:c>
      <x:c r="N954" s="16" t="n">
        <x:v>5.875</x:v>
      </x:c>
      <x:c r="O954" s="12" t="str">
        <x:v>FTRL44G004</x:v>
      </x:c>
      <x:c r="P954" s="12" t="str">
        <x:v>VRVV11G013</x:v>
      </x:c>
      <x:c r="Q954" s="12" t="str"/>
      <x:c r="R954" s="12" t="str"/>
      <x:c r="S954" s="12" t="str"/>
      <x:c r="T954" s="12" t="str">
        <x:v>ABM</x:v>
      </x:c>
      <x:c r="U954" s="12" t="str"/>
      <x:c r="V954" s="12" t="str"/>
      <x:c r="W954" s="12" t="str"/>
      <x:c r="X954" s="12" t="str">
        <x:v>VRVV11</x:v>
      </x:c>
      <x:c r="Y954" s="12" t="str">
        <x:v>RAFIF &amp; YOGI</x:v>
      </x:c>
      <x:c r="Z954" s="12" t="str">
        <x:v>PIT</x:v>
      </x:c>
      <x:c r="AA954" s="32" t="n">
        <x:f>IFERROR(VLOOKUP(G954,Master_Unit!$A$2:$N$78,7,FALSE),"")</x:f>
        <x:v>15</x:v>
      </x:c>
      <x:c r="AB954" s="32" t="n">
        <x:f>IF(OR(N954="",AA954=""),"",N954-AA954)</x:f>
        <x:v>-9.125</x:v>
      </x:c>
      <x:c r="AC954" s="20" t="n">
        <x:f>IF(OR(N954="",AA954="",AA954=0),"",AB954/AA954)</x:f>
        <x:v>-0.6083333333333333</x:v>
      </x:c>
      <x:c r="AD954" t="str">
        <x:f>IF(AA954="","NO STANDARD",IF(AC954&lt;=Config_Status!$B$2,"EFFICIENT",IF(AC954&lt;=Config_Status!$B$3,"NORMAL",IF(AC954&lt;=Config_Status!$B$4,"WARNING","OVER CONSUMPTION"))))</x:f>
        <x:v>EFFICIENT</x:v>
      </x:c>
      <x:c r="AE954" t="str">
        <x:f>IFERROR(VLOOKUP(G954,Master_Unit!$A$2:$N$78,13,FALSE),"UNIT NOT FOUND")</x:f>
        <x:v>Matched</x:v>
      </x:c>
    </x:row>
    <x:row r="955">
      <x:c r="A955" s="12" t="str">
        <x:v>FU-20260615-00954</x:v>
      </x:c>
      <x:c r="B955" s="12" t="n">
        <x:v>1084</x:v>
      </x:c>
      <x:c r="C955" s="14" t="n">
        <x:v>46188</x:v>
      </x:c>
      <x:c r="D955" s="12" t="str">
        <x:v>Senin</x:v>
      </x:c>
      <x:c r="E955" s="12" t="str">
        <x:v>07:12:00</x:v>
      </x:c>
      <x:c r="F955" s="12" t="str">
        <x:v>All Shift Day</x:v>
      </x:c>
      <x:c r="G955" s="12" t="str">
        <x:v>GSHT10G002</x:v>
      </x:c>
      <x:c r="H955" s="12" t="str">
        <x:v>Genset</x:v>
      </x:c>
      <x:c r="I955" s="12" t="str">
        <x:v>GENSET HARTECH HT-10</x:v>
      </x:c>
      <x:c r="J955" s="16" t="n">
        <x:v>24</x:v>
      </x:c>
      <x:c r="K955" s="16" t="n">
        <x:v>8555.8</x:v>
      </x:c>
      <x:c r="L955" s="16" t="n">
        <x:v>8577.5</x:v>
      </x:c>
      <x:c r="M955" s="16" t="n">
        <x:v>21.700000000000728</x:v>
      </x:c>
      <x:c r="N955" s="16" t="n">
        <x:v>1.1059907834101013</x:v>
      </x:c>
      <x:c r="O955" s="12" t="str">
        <x:v>FTRL44G004</x:v>
      </x:c>
      <x:c r="P955" s="12" t="str">
        <x:v>GSHT10G002</x:v>
      </x:c>
      <x:c r="Q955" s="12" t="str"/>
      <x:c r="R955" s="12" t="str"/>
      <x:c r="S955" s="12" t="str"/>
      <x:c r="T955" s="12" t="str">
        <x:v>ABM</x:v>
      </x:c>
      <x:c r="U955" s="12" t="str"/>
      <x:c r="V955" s="12" t="str"/>
      <x:c r="W955" s="12" t="str"/>
      <x:c r="X955" s="12" t="str">
        <x:v>GSHT10</x:v>
      </x:c>
      <x:c r="Y955" s="12" t="str">
        <x:v>RAFIF &amp; YOGI</x:v>
      </x:c>
      <x:c r="Z955" s="12" t="str">
        <x:v>SUPPORT</x:v>
      </x:c>
      <x:c r="AA955" s="32" t="n">
        <x:f>IFERROR(VLOOKUP(G955,Master_Unit!$A$2:$N$78,7,FALSE),"")</x:f>
        <x:v>3</x:v>
      </x:c>
      <x:c r="AB955" s="32" t="n">
        <x:f>IF(OR(N955="",AA955=""),"",N955-AA955)</x:f>
        <x:v>-1.8940092165898987</x:v>
      </x:c>
      <x:c r="AC955" s="20" t="n">
        <x:f>IF(OR(N955="",AA955="",AA955=0),"",AB955/AA955)</x:f>
        <x:v>-0.6313364055299663</x:v>
      </x:c>
      <x:c r="AD955" t="str">
        <x:f>IF(AA955="","NO STANDARD",IF(AC955&lt;=Config_Status!$B$2,"EFFICIENT",IF(AC955&lt;=Config_Status!$B$3,"NORMAL",IF(AC955&lt;=Config_Status!$B$4,"WARNING","OVER CONSUMPTION"))))</x:f>
        <x:v>EFFICIENT</x:v>
      </x:c>
      <x:c r="AE955" t="str">
        <x:f>IFERROR(VLOOKUP(G955,Master_Unit!$A$2:$N$78,13,FALSE),"UNIT NOT FOUND")</x:f>
        <x:v>Matched</x:v>
      </x:c>
    </x:row>
    <x:row r="956">
      <x:c r="A956" s="12" t="str">
        <x:v>FU-20260615-00955</x:v>
      </x:c>
      <x:c r="B956" s="12" t="n">
        <x:v>1085</x:v>
      </x:c>
      <x:c r="C956" s="14" t="n">
        <x:v>46188</x:v>
      </x:c>
      <x:c r="D956" s="12" t="str">
        <x:v>Senin</x:v>
      </x:c>
      <x:c r="E956" s="12" t="str">
        <x:v>07:25:00</x:v>
      </x:c>
      <x:c r="F956" s="12" t="str">
        <x:v>All Shift Day</x:v>
      </x:c>
      <x:c r="G956" s="12" t="str">
        <x:v>VRVV11G012</x:v>
      </x:c>
      <x:c r="H956" s="12" t="str">
        <x:v>Compactor</x:v>
      </x:c>
      <x:c r="I956" s="12" t="str">
        <x:v>VIBRO COMPACTOR VOLVO SD110NE</x:v>
      </x:c>
      <x:c r="J956" s="16" t="n">
        <x:v>46</x:v>
      </x:c>
      <x:c r="K956" s="16" t="n">
        <x:v>3335.5</x:v>
      </x:c>
      <x:c r="L956" s="16" t="n">
        <x:v>3341.4</x:v>
      </x:c>
      <x:c r="M956" s="16" t="n">
        <x:v>5.900000000000091</x:v>
      </x:c>
      <x:c r="N956" s="16" t="n">
        <x:v>7.796610169491405</x:v>
      </x:c>
      <x:c r="O956" s="12" t="str">
        <x:v>FTRL44G004</x:v>
      </x:c>
      <x:c r="P956" s="12" t="str">
        <x:v>VRVV11G012</x:v>
      </x:c>
      <x:c r="Q956" s="12" t="str"/>
      <x:c r="R956" s="12" t="str"/>
      <x:c r="S956" s="12" t="str"/>
      <x:c r="T956" s="12" t="str">
        <x:v>ABM</x:v>
      </x:c>
      <x:c r="U956" s="12" t="str"/>
      <x:c r="V956" s="12" t="str"/>
      <x:c r="W956" s="12" t="str"/>
      <x:c r="X956" s="12" t="str">
        <x:v>VRVV11</x:v>
      </x:c>
      <x:c r="Y956" s="12" t="str">
        <x:v>RAFIF &amp; YOGI</x:v>
      </x:c>
      <x:c r="Z956" s="12" t="str">
        <x:v>SUPPORT</x:v>
      </x:c>
      <x:c r="AA956" s="32" t="n">
        <x:f>IFERROR(VLOOKUP(G956,Master_Unit!$A$2:$N$78,7,FALSE),"")</x:f>
        <x:v>15</x:v>
      </x:c>
      <x:c r="AB956" s="32" t="n">
        <x:f>IF(OR(N956="",AA956=""),"",N956-AA956)</x:f>
        <x:v>-7.203389830508595</x:v>
      </x:c>
      <x:c r="AC956" s="20" t="n">
        <x:f>IF(OR(N956="",AA956="",AA956=0),"",AB956/AA956)</x:f>
        <x:v>-0.480225988700573</x:v>
      </x:c>
      <x:c r="AD956" t="str">
        <x:f>IF(AA956="","NO STANDARD",IF(AC956&lt;=Config_Status!$B$2,"EFFICIENT",IF(AC956&lt;=Config_Status!$B$3,"NORMAL",IF(AC956&lt;=Config_Status!$B$4,"WARNING","OVER CONSUMPTION"))))</x:f>
        <x:v>EFFICIENT</x:v>
      </x:c>
      <x:c r="AE956" t="str">
        <x:f>IFERROR(VLOOKUP(G956,Master_Unit!$A$2:$N$78,13,FALSE),"UNIT NOT FOUND")</x:f>
        <x:v>Matched</x:v>
      </x:c>
    </x:row>
    <x:row r="957">
      <x:c r="A957" s="12" t="str">
        <x:v>FU-20260615-00956</x:v>
      </x:c>
      <x:c r="B957" s="12" t="n">
        <x:v>1086</x:v>
      </x:c>
      <x:c r="C957" s="14" t="n">
        <x:v>46188</x:v>
      </x:c>
      <x:c r="D957" s="12" t="str">
        <x:v>Senin</x:v>
      </x:c>
      <x:c r="E957" s="12" t="str">
        <x:v>07:27:00</x:v>
      </x:c>
      <x:c r="F957" s="12" t="str">
        <x:v>All Shift Day</x:v>
      </x:c>
      <x:c r="G957" s="12" t="str">
        <x:v>EXVV21G043</x:v>
      </x:c>
      <x:c r="H957" s="12" t="str">
        <x:v>Excavator</x:v>
      </x:c>
      <x:c r="I957" s="12" t="str">
        <x:v>EXCAVATOR VOLVO EC210D</x:v>
      </x:c>
      <x:c r="J957" s="16" t="n">
        <x:v>105</x:v>
      </x:c>
      <x:c r="K957" s="16" t="n">
        <x:v>5378.3</x:v>
      </x:c>
      <x:c r="L957" s="16" t="n">
        <x:v>5380.3</x:v>
      </x:c>
      <x:c r="M957" s="16" t="n">
        <x:v>2</x:v>
      </x:c>
      <x:c r="N957" s="16" t="n">
        <x:v>52.5</x:v>
      </x:c>
      <x:c r="O957" s="12" t="str">
        <x:v>FTRL44G004</x:v>
      </x:c>
      <x:c r="P957" s="12" t="str">
        <x:v>EXVV21G043</x:v>
      </x:c>
      <x:c r="Q957" s="12" t="str"/>
      <x:c r="R957" s="12" t="str"/>
      <x:c r="S957" s="12" t="str"/>
      <x:c r="T957" s="12" t="str">
        <x:v>ABM</x:v>
      </x:c>
      <x:c r="U957" s="12" t="str"/>
      <x:c r="V957" s="12" t="str"/>
      <x:c r="W957" s="12" t="str"/>
      <x:c r="X957" s="12" t="str">
        <x:v>EXVV21</x:v>
      </x:c>
      <x:c r="Y957" s="12" t="str">
        <x:v>RAFIF &amp; YOGI</x:v>
      </x:c>
      <x:c r="Z957" s="12" t="str">
        <x:v>PIT</x:v>
      </x:c>
      <x:c r="AA957" s="32" t="n">
        <x:f>IFERROR(VLOOKUP(G957,Master_Unit!$A$2:$N$78,7,FALSE),"")</x:f>
        <x:v>20</x:v>
      </x:c>
      <x:c r="AB957" s="32" t="n">
        <x:f>IF(OR(N957="",AA957=""),"",N957-AA957)</x:f>
        <x:v>32.5</x:v>
      </x:c>
      <x:c r="AC957" s="20" t="n">
        <x:f>IF(OR(N957="",AA957="",AA957=0),"",AB957/AA957)</x:f>
        <x:v>1.625</x:v>
      </x:c>
      <x:c r="AD957" t="str">
        <x:f>IF(AA957="","NO STANDARD",IF(AC957&lt;=Config_Status!$B$2,"EFFICIENT",IF(AC957&lt;=Config_Status!$B$3,"NORMAL",IF(AC957&lt;=Config_Status!$B$4,"WARNING","OVER CONSUMPTION"))))</x:f>
        <x:v>OVER CONSUMPTION</x:v>
      </x:c>
      <x:c r="AE957" t="str">
        <x:f>IFERROR(VLOOKUP(G957,Master_Unit!$A$2:$N$78,13,FALSE),"UNIT NOT FOUND")</x:f>
        <x:v>Matched</x:v>
      </x:c>
    </x:row>
    <x:row r="958">
      <x:c r="A958" s="12" t="str">
        <x:v>FU-20260615-00957</x:v>
      </x:c>
      <x:c r="B958" s="12" t="n">
        <x:v>1087</x:v>
      </x:c>
      <x:c r="C958" s="14" t="n">
        <x:v>46188</x:v>
      </x:c>
      <x:c r="D958" s="12" t="str">
        <x:v>Senin</x:v>
      </x:c>
      <x:c r="E958" s="12" t="str">
        <x:v>07:30:00</x:v>
      </x:c>
      <x:c r="F958" s="12" t="str">
        <x:v>All Shift Day</x:v>
      </x:c>
      <x:c r="G958" s="12" t="str">
        <x:v>EXVV21G040</x:v>
      </x:c>
      <x:c r="H958" s="12" t="str">
        <x:v>Excavator</x:v>
      </x:c>
      <x:c r="I958" s="12" t="str">
        <x:v>EXCAVATOR VOLVO EC210D</x:v>
      </x:c>
      <x:c r="J958" s="16" t="n">
        <x:v>104</x:v>
      </x:c>
      <x:c r="K958" s="16" t="n">
        <x:v>6633.6</x:v>
      </x:c>
      <x:c r="L958" s="16" t="n">
        <x:v>6643.2</x:v>
      </x:c>
      <x:c r="M958" s="16" t="n">
        <x:v>9.599999999999454</x:v>
      </x:c>
      <x:c r="N958" s="16" t="n">
        <x:v>10.833333333333949</x:v>
      </x:c>
      <x:c r="O958" s="12" t="str">
        <x:v>FTRL44G004</x:v>
      </x:c>
      <x:c r="P958" s="12" t="str">
        <x:v>EXVV21G040</x:v>
      </x:c>
      <x:c r="Q958" s="12" t="str"/>
      <x:c r="R958" s="12" t="str"/>
      <x:c r="S958" s="12" t="str"/>
      <x:c r="T958" s="12" t="str">
        <x:v>ABM</x:v>
      </x:c>
      <x:c r="U958" s="12" t="str"/>
      <x:c r="V958" s="12" t="str"/>
      <x:c r="W958" s="12" t="str"/>
      <x:c r="X958" s="12" t="str">
        <x:v>EXVV21</x:v>
      </x:c>
      <x:c r="Y958" s="12" t="str">
        <x:v>RAFIF &amp; YOGI</x:v>
      </x:c>
      <x:c r="Z958" s="12" t="str">
        <x:v>PIT</x:v>
      </x:c>
      <x:c r="AA958" s="32" t="n">
        <x:f>IFERROR(VLOOKUP(G958,Master_Unit!$A$2:$N$78,7,FALSE),"")</x:f>
        <x:v>20</x:v>
      </x:c>
      <x:c r="AB958" s="32" t="n">
        <x:f>IF(OR(N958="",AA958=""),"",N958-AA958)</x:f>
        <x:v>-9.166666666666051</x:v>
      </x:c>
      <x:c r="AC958" s="20" t="n">
        <x:f>IF(OR(N958="",AA958="",AA958=0),"",AB958/AA958)</x:f>
        <x:v>-0.45833333333330256</x:v>
      </x:c>
      <x:c r="AD958" t="str">
        <x:f>IF(AA958="","NO STANDARD",IF(AC958&lt;=Config_Status!$B$2,"EFFICIENT",IF(AC958&lt;=Config_Status!$B$3,"NORMAL",IF(AC958&lt;=Config_Status!$B$4,"WARNING","OVER CONSUMPTION"))))</x:f>
        <x:v>EFFICIENT</x:v>
      </x:c>
      <x:c r="AE958" t="str">
        <x:f>IFERROR(VLOOKUP(G958,Master_Unit!$A$2:$N$78,13,FALSE),"UNIT NOT FOUND")</x:f>
        <x:v>Matched</x:v>
      </x:c>
    </x:row>
    <x:row r="959">
      <x:c r="A959" s="12" t="str">
        <x:v>FU-20260615-00958</x:v>
      </x:c>
      <x:c r="B959" s="12" t="n">
        <x:v>1088</x:v>
      </x:c>
      <x:c r="C959" s="14" t="n">
        <x:v>46188</x:v>
      </x:c>
      <x:c r="D959" s="12" t="str">
        <x:v>Senin</x:v>
      </x:c>
      <x:c r="E959" s="12" t="str">
        <x:v>07:37:00</x:v>
      </x:c>
      <x:c r="F959" s="12" t="str">
        <x:v>All Shift Day</x:v>
      </x:c>
      <x:c r="G959" s="12" t="str">
        <x:v>LVMP25R005</x:v>
      </x:c>
      <x:c r="H959" s="12" t="str">
        <x:v>Light Vehicle</x:v>
      </x:c>
      <x:c r="I959" s="12" t="str">
        <x:v>LIGHT VEHICLE MITSUBISHI PAJERO</x:v>
      </x:c>
      <x:c r="J959" s="16" t="n">
        <x:v>40</x:v>
      </x:c>
      <x:c r="K959" s="16" t="n">
        <x:v>59776</x:v>
      </x:c>
      <x:c r="L959" s="16" t="n">
        <x:v>60346</x:v>
      </x:c>
      <x:c r="M959" s="16" t="n">
        <x:v>570</x:v>
      </x:c>
      <x:c r="N959" s="16" t="n">
        <x:v>0.07017543859649122</x:v>
      </x:c>
      <x:c r="O959" s="12" t="str">
        <x:v>FTRL44G004</x:v>
      </x:c>
      <x:c r="P959" s="12" t="str">
        <x:v>LVMP25R005</x:v>
      </x:c>
      <x:c r="Q959" s="12" t="str"/>
      <x:c r="R959" s="12" t="str"/>
      <x:c r="S959" s="12" t="str"/>
      <x:c r="T959" s="12" t="str">
        <x:v>ABM</x:v>
      </x:c>
      <x:c r="U959" s="12" t="str"/>
      <x:c r="V959" s="12" t="str"/>
      <x:c r="W959" s="12" t="str"/>
      <x:c r="X959" s="12" t="str">
        <x:v>LVMP25</x:v>
      </x:c>
      <x:c r="Y959" s="12" t="str">
        <x:v>RAFIF &amp; YOGI</x:v>
      </x:c>
      <x:c r="Z959" s="12" t="str">
        <x:v>PIT</x:v>
      </x:c>
      <x:c r="AA959" s="32" t="str">
        <x:f>IFERROR(VLOOKUP(G959,Master_Unit!$A$2:$N$78,7,FALSE),"")</x:f>
      </x:c>
      <x:c r="AB959" s="32" t="str">
        <x:f>IF(OR(N959="",AA959=""),"",N959-AA959)</x:f>
      </x:c>
      <x:c r="AC959" s="20" t="str">
        <x:f>IF(OR(N959="",AA959="",AA959=0),"",AB959/AA959)</x:f>
      </x:c>
      <x:c r="AD959" t="str">
        <x:f>IF(AA959="","NO STANDARD",IF(AC959&lt;=Config_Status!$B$2,"EFFICIENT",IF(AC959&lt;=Config_Status!$B$3,"NORMAL",IF(AC959&lt;=Config_Status!$B$4,"WARNING","OVER CONSUMPTION"))))</x:f>
        <x:v>NO STANDARD</x:v>
      </x:c>
      <x:c r="AE959" t="str">
        <x:f>IFERROR(VLOOKUP(G959,Master_Unit!$A$2:$N$78,13,FALSE),"UNIT NOT FOUND")</x:f>
        <x:v>No Standard</x:v>
      </x:c>
    </x:row>
    <x:row r="960">
      <x:c r="A960" s="12" t="str">
        <x:v>FU-20260615-00959</x:v>
      </x:c>
      <x:c r="B960" s="12" t="n">
        <x:v>1089</x:v>
      </x:c>
      <x:c r="C960" s="14" t="n">
        <x:v>46188</x:v>
      </x:c>
      <x:c r="D960" s="12" t="str">
        <x:v>Senin</x:v>
      </x:c>
      <x:c r="E960" s="12" t="str">
        <x:v>07:41:00</x:v>
      </x:c>
      <x:c r="F960" s="12" t="str">
        <x:v>All Shift Day</x:v>
      </x:c>
      <x:c r="G960" s="12" t="str">
        <x:v>WTRL44G006</x:v>
      </x:c>
      <x:c r="H960" s="12" t="str">
        <x:v>Water Truck</x:v>
      </x:c>
      <x:c r="I960" s="12" t="str">
        <x:v>WATER TRUCK RENAULT KRANGE440-P6X4 A/T</x:v>
      </x:c>
      <x:c r="J960" s="16" t="n">
        <x:v>70</x:v>
      </x:c>
      <x:c r="K960" s="16" t="n">
        <x:v>2050</x:v>
      </x:c>
      <x:c r="L960" s="16" t="n">
        <x:v>2057</x:v>
      </x:c>
      <x:c r="M960" s="16" t="n">
        <x:v>7</x:v>
      </x:c>
      <x:c r="N960" s="16" t="n">
        <x:v>10</x:v>
      </x:c>
      <x:c r="O960" s="12" t="str">
        <x:v>FTRL44G004</x:v>
      </x:c>
      <x:c r="P960" s="12" t="str">
        <x:v>WTRL44G006</x:v>
      </x:c>
      <x:c r="Q960" s="12" t="str"/>
      <x:c r="R960" s="12" t="str"/>
      <x:c r="S960" s="12" t="str"/>
      <x:c r="T960" s="12" t="str">
        <x:v>ABM</x:v>
      </x:c>
      <x:c r="U960" s="12" t="str"/>
      <x:c r="V960" s="12" t="str"/>
      <x:c r="W960" s="12" t="str"/>
      <x:c r="X960" s="12" t="str">
        <x:v>WTRL44</x:v>
      </x:c>
      <x:c r="Y960" s="12" t="str">
        <x:v>RAFIF &amp; YOGI</x:v>
      </x:c>
      <x:c r="Z960" s="12" t="str">
        <x:v>PIT</x:v>
      </x:c>
      <x:c r="AA960" s="32" t="n">
        <x:f>IFERROR(VLOOKUP(G960,Master_Unit!$A$2:$N$78,7,FALSE),"")</x:f>
        <x:v>20</x:v>
      </x:c>
      <x:c r="AB960" s="32" t="n">
        <x:f>IF(OR(N960="",AA960=""),"",N960-AA960)</x:f>
        <x:v>-10</x:v>
      </x:c>
      <x:c r="AC960" s="20" t="n">
        <x:f>IF(OR(N960="",AA960="",AA960=0),"",AB960/AA960)</x:f>
        <x:v>-0.5</x:v>
      </x:c>
      <x:c r="AD960" t="str">
        <x:f>IF(AA960="","NO STANDARD",IF(AC960&lt;=Config_Status!$B$2,"EFFICIENT",IF(AC960&lt;=Config_Status!$B$3,"NORMAL",IF(AC960&lt;=Config_Status!$B$4,"WARNING","OVER CONSUMPTION"))))</x:f>
        <x:v>EFFICIENT</x:v>
      </x:c>
      <x:c r="AE960" t="str">
        <x:f>IFERROR(VLOOKUP(G960,Master_Unit!$A$2:$N$78,13,FALSE),"UNIT NOT FOUND")</x:f>
        <x:v>Matched</x:v>
      </x:c>
    </x:row>
    <x:row r="961">
      <x:c r="A961" s="12" t="str">
        <x:v>FU-20260615-00960</x:v>
      </x:c>
      <x:c r="B961" s="12" t="n">
        <x:v>1090</x:v>
      </x:c>
      <x:c r="C961" s="14" t="n">
        <x:v>46188</x:v>
      </x:c>
      <x:c r="D961" s="12" t="str">
        <x:v>Senin</x:v>
      </x:c>
      <x:c r="E961" s="12" t="str">
        <x:v>07:47:00</x:v>
      </x:c>
      <x:c r="F961" s="12" t="str">
        <x:v>All Shift Day</x:v>
      </x:c>
      <x:c r="G961" s="12" t="str">
        <x:v>MGSD20G007</x:v>
      </x:c>
      <x:c r="H961" s="12" t="str">
        <x:v>Other</x:v>
      </x:c>
      <x:c r="I961" s="12" t="str">
        <x:v>MOTOR GRADER SDLG GD9220F</x:v>
      </x:c>
      <x:c r="J961" s="16" t="n">
        <x:v>80</x:v>
      </x:c>
      <x:c r="K961" s="16" t="n">
        <x:v>3773.4</x:v>
      </x:c>
      <x:c r="L961" s="16" t="n">
        <x:v>3781</x:v>
      </x:c>
      <x:c r="M961" s="16" t="n">
        <x:v>7.599999999999909</x:v>
      </x:c>
      <x:c r="N961" s="16" t="n">
        <x:v>10.52631578947381</x:v>
      </x:c>
      <x:c r="O961" s="12" t="str">
        <x:v>FTRL44G004</x:v>
      </x:c>
      <x:c r="P961" s="12" t="str">
        <x:v>MGSD20G007</x:v>
      </x:c>
      <x:c r="Q961" s="12" t="str"/>
      <x:c r="R961" s="12" t="str"/>
      <x:c r="S961" s="12" t="str"/>
      <x:c r="T961" s="12" t="str">
        <x:v>ABM</x:v>
      </x:c>
      <x:c r="U961" s="12" t="str"/>
      <x:c r="V961" s="12" t="str"/>
      <x:c r="W961" s="12" t="str"/>
      <x:c r="X961" s="12" t="str">
        <x:v>MGSD20</x:v>
      </x:c>
      <x:c r="Y961" s="12" t="str">
        <x:v>RAFIF &amp; YOGI</x:v>
      </x:c>
      <x:c r="Z961" s="12" t="str">
        <x:v>SUPPORT</x:v>
      </x:c>
      <x:c r="AA961" s="32" t="n">
        <x:f>IFERROR(VLOOKUP(G961,Master_Unit!$A$2:$N$78,7,FALSE),"")</x:f>
        <x:v>20</x:v>
      </x:c>
      <x:c r="AB961" s="32" t="n">
        <x:f>IF(OR(N961="",AA961=""),"",N961-AA961)</x:f>
        <x:v>-9.47368421052619</x:v>
      </x:c>
      <x:c r="AC961" s="20" t="n">
        <x:f>IF(OR(N961="",AA961="",AA961=0),"",AB961/AA961)</x:f>
        <x:v>-0.47368421052630955</x:v>
      </x:c>
      <x:c r="AD961" t="str">
        <x:f>IF(AA961="","NO STANDARD",IF(AC961&lt;=Config_Status!$B$2,"EFFICIENT",IF(AC961&lt;=Config_Status!$B$3,"NORMAL",IF(AC961&lt;=Config_Status!$B$4,"WARNING","OVER CONSUMPTION"))))</x:f>
        <x:v>EFFICIENT</x:v>
      </x:c>
      <x:c r="AE961" t="str">
        <x:f>IFERROR(VLOOKUP(G961,Master_Unit!$A$2:$N$78,13,FALSE),"UNIT NOT FOUND")</x:f>
        <x:v>Matched</x:v>
      </x:c>
    </x:row>
    <x:row r="962">
      <x:c r="A962" s="12" t="str">
        <x:v>FU-20260615-00961</x:v>
      </x:c>
      <x:c r="B962" s="12" t="n">
        <x:v>1091</x:v>
      </x:c>
      <x:c r="C962" s="14" t="n">
        <x:v>46188</x:v>
      </x:c>
      <x:c r="D962" s="12" t="str">
        <x:v>Senin</x:v>
      </x:c>
      <x:c r="E962" s="12" t="str">
        <x:v>07:50:00</x:v>
      </x:c>
      <x:c r="F962" s="12" t="str">
        <x:v>All Shift Day</x:v>
      </x:c>
      <x:c r="G962" s="12" t="str">
        <x:v>LVTH24R036</x:v>
      </x:c>
      <x:c r="H962" s="12" t="str">
        <x:v>Light Vehicle</x:v>
      </x:c>
      <x:c r="I962" s="12" t="str">
        <x:v>LIGHT VEHICLE TOYOTA HILUX</x:v>
      </x:c>
      <x:c r="J962" s="16" t="n">
        <x:v>20</x:v>
      </x:c>
      <x:c r="K962" s="16" t="n">
        <x:v>63058</x:v>
      </x:c>
      <x:c r="L962" s="16" t="n">
        <x:v>63273</x:v>
      </x:c>
      <x:c r="M962" s="16" t="n">
        <x:v>215</x:v>
      </x:c>
      <x:c r="N962" s="16" t="n">
        <x:v>0.09302325581395349</x:v>
      </x:c>
      <x:c r="O962" s="12" t="str">
        <x:v>FTRL44G004</x:v>
      </x:c>
      <x:c r="P962" s="12" t="str">
        <x:v>LVTH24R036</x:v>
      </x:c>
      <x:c r="Q962" s="12" t="str"/>
      <x:c r="R962" s="12" t="str"/>
      <x:c r="S962" s="12" t="str"/>
      <x:c r="T962" s="12" t="str">
        <x:v>ABM</x:v>
      </x:c>
      <x:c r="U962" s="12" t="str"/>
      <x:c r="V962" s="12" t="str"/>
      <x:c r="W962" s="12" t="str"/>
      <x:c r="X962" s="12" t="str">
        <x:v>LVTH24</x:v>
      </x:c>
      <x:c r="Y962" s="12" t="str">
        <x:v>RAFIF &amp; YOGI</x:v>
      </x:c>
      <x:c r="Z962" s="12" t="str">
        <x:v>EFO</x:v>
      </x:c>
      <x:c r="AA962" s="32" t="n">
        <x:f>IFERROR(VLOOKUP(G962,Master_Unit!$A$2:$N$78,7,FALSE),"")</x:f>
        <x:v>0.2</x:v>
      </x:c>
      <x:c r="AB962" s="32" t="n">
        <x:f>IF(OR(N962="",AA962=""),"",N962-AA962)</x:f>
        <x:v>-0.10697674418604652</x:v>
      </x:c>
      <x:c r="AC962" s="20" t="n">
        <x:f>IF(OR(N962="",AA962="",AA962=0),"",AB962/AA962)</x:f>
        <x:v>-0.5348837209302326</x:v>
      </x:c>
      <x:c r="AD962" t="str">
        <x:f>IF(AA962="","NO STANDARD",IF(AC962&lt;=Config_Status!$B$2,"EFFICIENT",IF(AC962&lt;=Config_Status!$B$3,"NORMAL",IF(AC962&lt;=Config_Status!$B$4,"WARNING","OVER CONSUMPTION"))))</x:f>
        <x:v>EFFICIENT</x:v>
      </x:c>
      <x:c r="AE962" t="str">
        <x:f>IFERROR(VLOOKUP(G962,Master_Unit!$A$2:$N$78,13,FALSE),"UNIT NOT FOUND")</x:f>
        <x:v>Matched</x:v>
      </x:c>
    </x:row>
    <x:row r="963">
      <x:c r="A963" s="12" t="str">
        <x:v>FU-20260615-00962</x:v>
      </x:c>
      <x:c r="B963" s="12" t="n">
        <x:v>1092</x:v>
      </x:c>
      <x:c r="C963" s="14" t="n">
        <x:v>46188</x:v>
      </x:c>
      <x:c r="D963" s="12" t="str">
        <x:v>Senin</x:v>
      </x:c>
      <x:c r="E963" s="12" t="str">
        <x:v>07:54:00</x:v>
      </x:c>
      <x:c r="F963" s="12" t="str">
        <x:v>All Shift Day</x:v>
      </x:c>
      <x:c r="G963" s="12" t="str">
        <x:v>LVTH24R023</x:v>
      </x:c>
      <x:c r="H963" s="12" t="str">
        <x:v>Light Vehicle</x:v>
      </x:c>
      <x:c r="I963" s="12" t="str">
        <x:v>LIGHT VEHICLE TOYOTA HILUX</x:v>
      </x:c>
      <x:c r="J963" s="16" t="n">
        <x:v>20</x:v>
      </x:c>
      <x:c r="K963" s="16" t="n">
        <x:v>49347</x:v>
      </x:c>
      <x:c r="L963" s="16" t="n">
        <x:v>49441</x:v>
      </x:c>
      <x:c r="M963" s="16" t="n">
        <x:v>94</x:v>
      </x:c>
      <x:c r="N963" s="16" t="n">
        <x:v>0.2127659574468085</x:v>
      </x:c>
      <x:c r="O963" s="12" t="str">
        <x:v>FTRL44G004</x:v>
      </x:c>
      <x:c r="P963" s="12" t="str">
        <x:v>LVTH24R023</x:v>
      </x:c>
      <x:c r="Q963" s="12" t="str"/>
      <x:c r="R963" s="12" t="str"/>
      <x:c r="S963" s="12" t="str"/>
      <x:c r="T963" s="12" t="str">
        <x:v>ABM</x:v>
      </x:c>
      <x:c r="U963" s="12" t="str"/>
      <x:c r="V963" s="12" t="str"/>
      <x:c r="W963" s="12" t="str"/>
      <x:c r="X963" s="12" t="str">
        <x:v>LVTH24</x:v>
      </x:c>
      <x:c r="Y963" s="12" t="str">
        <x:v>RAFIF &amp; YOGI</x:v>
      </x:c>
      <x:c r="Z963" s="12" t="str">
        <x:v>EFO</x:v>
      </x:c>
      <x:c r="AA963" s="32" t="n">
        <x:f>IFERROR(VLOOKUP(G963,Master_Unit!$A$2:$N$78,7,FALSE),"")</x:f>
        <x:v>0.2</x:v>
      </x:c>
      <x:c r="AB963" s="32" t="n">
        <x:f>IF(OR(N963="",AA963=""),"",N963-AA963)</x:f>
        <x:v>0.012765957446808501</x:v>
      </x:c>
      <x:c r="AC963" s="20" t="n">
        <x:f>IF(OR(N963="",AA963="",AA963=0),"",AB963/AA963)</x:f>
        <x:v>0.0638297872340425</x:v>
      </x:c>
      <x:c r="AD963" t="str">
        <x:f>IF(AA963="","NO STANDARD",IF(AC963&lt;=Config_Status!$B$2,"EFFICIENT",IF(AC963&lt;=Config_Status!$B$3,"NORMAL",IF(AC963&lt;=Config_Status!$B$4,"WARNING","OVER CONSUMPTION"))))</x:f>
        <x:v>NORMAL</x:v>
      </x:c>
      <x:c r="AE963" t="str">
        <x:f>IFERROR(VLOOKUP(G963,Master_Unit!$A$2:$N$78,13,FALSE),"UNIT NOT FOUND")</x:f>
        <x:v>Matched</x:v>
      </x:c>
    </x:row>
    <x:row r="964">
      <x:c r="A964" s="12" t="str">
        <x:v>FU-20260615-00963</x:v>
      </x:c>
      <x:c r="B964" s="12" t="n">
        <x:v>1093</x:v>
      </x:c>
      <x:c r="C964" s="14" t="n">
        <x:v>46188</x:v>
      </x:c>
      <x:c r="D964" s="12" t="str">
        <x:v>Senin</x:v>
      </x:c>
      <x:c r="E964" s="12" t="str">
        <x:v>07:57:00</x:v>
      </x:c>
      <x:c r="F964" s="12" t="str">
        <x:v>All Shift Day</x:v>
      </x:c>
      <x:c r="G964" s="12" t="str">
        <x:v>LVTH24R035</x:v>
      </x:c>
      <x:c r="H964" s="12" t="str">
        <x:v>Light Vehicle</x:v>
      </x:c>
      <x:c r="I964" s="12" t="str">
        <x:v>LIGHT VEHICLE TOYOTA HILUX</x:v>
      </x:c>
      <x:c r="J964" s="16" t="n">
        <x:v>30</x:v>
      </x:c>
      <x:c r="K964" s="16" t="n">
        <x:v>70648</x:v>
      </x:c>
      <x:c r="L964" s="16" t="n">
        <x:v>70825</x:v>
      </x:c>
      <x:c r="M964" s="16" t="n">
        <x:v>177</x:v>
      </x:c>
      <x:c r="N964" s="16" t="n">
        <x:v>0.1694915254237288</x:v>
      </x:c>
      <x:c r="O964" s="12" t="str">
        <x:v>FTRL44G004</x:v>
      </x:c>
      <x:c r="P964" s="12" t="str">
        <x:v>LVTH24R035</x:v>
      </x:c>
      <x:c r="Q964" s="12" t="str"/>
      <x:c r="R964" s="12" t="str"/>
      <x:c r="S964" s="12" t="str"/>
      <x:c r="T964" s="12" t="str">
        <x:v>ABM</x:v>
      </x:c>
      <x:c r="U964" s="12" t="str"/>
      <x:c r="V964" s="12" t="str"/>
      <x:c r="W964" s="12" t="str"/>
      <x:c r="X964" s="12" t="str">
        <x:v>LVTH24</x:v>
      </x:c>
      <x:c r="Y964" s="12" t="str">
        <x:v>RAFIF &amp; YOGI</x:v>
      </x:c>
      <x:c r="Z964" s="12" t="str">
        <x:v>ETO</x:v>
      </x:c>
      <x:c r="AA964" s="32" t="n">
        <x:f>IFERROR(VLOOKUP(G964,Master_Unit!$A$2:$N$78,7,FALSE),"")</x:f>
        <x:v>0.2</x:v>
      </x:c>
      <x:c r="AB964" s="32" t="n">
        <x:f>IF(OR(N964="",AA964=""),"",N964-AA964)</x:f>
        <x:v>-0.030508474576271205</x:v>
      </x:c>
      <x:c r="AC964" s="20" t="n">
        <x:f>IF(OR(N964="",AA964="",AA964=0),"",AB964/AA964)</x:f>
        <x:v>-0.15254237288135603</x:v>
      </x:c>
      <x:c r="AD964" t="str">
        <x:f>IF(AA964="","NO STANDARD",IF(AC964&lt;=Config_Status!$B$2,"EFFICIENT",IF(AC964&lt;=Config_Status!$B$3,"NORMAL",IF(AC964&lt;=Config_Status!$B$4,"WARNING","OVER CONSUMPTION"))))</x:f>
        <x:v>EFFICIENT</x:v>
      </x:c>
      <x:c r="AE964" t="str">
        <x:f>IFERROR(VLOOKUP(G964,Master_Unit!$A$2:$N$78,13,FALSE),"UNIT NOT FOUND")</x:f>
        <x:v>Matched</x:v>
      </x:c>
    </x:row>
    <x:row r="965">
      <x:c r="A965" s="12" t="str">
        <x:v>FU-20260615-00964</x:v>
      </x:c>
      <x:c r="B965" s="12" t="n">
        <x:v>1094</x:v>
      </x:c>
      <x:c r="C965" s="14" t="n">
        <x:v>46188</x:v>
      </x:c>
      <x:c r="D965" s="12" t="str">
        <x:v>Senin</x:v>
      </x:c>
      <x:c r="E965" s="12" t="str">
        <x:v>07:58:00</x:v>
      </x:c>
      <x:c r="F965" s="12" t="str">
        <x:v>All Shift Day</x:v>
      </x:c>
      <x:c r="G965" s="12" t="str">
        <x:v>LVTH24R034</x:v>
      </x:c>
      <x:c r="H965" s="12" t="str">
        <x:v>Light Vehicle</x:v>
      </x:c>
      <x:c r="I965" s="12" t="str">
        <x:v>LIGHT VEHICLE TOYOTA HILUX</x:v>
      </x:c>
      <x:c r="J965" s="16" t="n">
        <x:v>30</x:v>
      </x:c>
      <x:c r="K965" s="16" t="n">
        <x:v>49177</x:v>
      </x:c>
      <x:c r="L965" s="16" t="n">
        <x:v>49343</x:v>
      </x:c>
      <x:c r="M965" s="16" t="n">
        <x:v>166</x:v>
      </x:c>
      <x:c r="N965" s="16" t="n">
        <x:v>0.18072289156626506</x:v>
      </x:c>
      <x:c r="O965" s="12" t="str">
        <x:v>FTRL44G004</x:v>
      </x:c>
      <x:c r="P965" s="12" t="str">
        <x:v>LVTH24R034</x:v>
      </x:c>
      <x:c r="Q965" s="12" t="str"/>
      <x:c r="R965" s="12" t="str"/>
      <x:c r="S965" s="12" t="str"/>
      <x:c r="T965" s="12" t="str">
        <x:v>ABM</x:v>
      </x:c>
      <x:c r="U965" s="12" t="str"/>
      <x:c r="V965" s="12" t="str"/>
      <x:c r="W965" s="12" t="str"/>
      <x:c r="X965" s="12" t="str">
        <x:v>LVTH24</x:v>
      </x:c>
      <x:c r="Y965" s="12" t="str">
        <x:v>RAFIF &amp; YOGI</x:v>
      </x:c>
      <x:c r="Z965" s="12" t="str">
        <x:v>SUPPORT</x:v>
      </x:c>
      <x:c r="AA965" s="32" t="n">
        <x:f>IFERROR(VLOOKUP(G965,Master_Unit!$A$2:$N$78,7,FALSE),"")</x:f>
        <x:v>0.2</x:v>
      </x:c>
      <x:c r="AB965" s="32" t="n">
        <x:f>IF(OR(N965="",AA965=""),"",N965-AA965)</x:f>
        <x:v>-0.019277108433734952</x:v>
      </x:c>
      <x:c r="AC965" s="20" t="n">
        <x:f>IF(OR(N965="",AA965="",AA965=0),"",AB965/AA965)</x:f>
        <x:v>-0.09638554216867476</x:v>
      </x:c>
      <x:c r="AD965" t="str">
        <x:f>IF(AA965="","NO STANDARD",IF(AC965&lt;=Config_Status!$B$2,"EFFICIENT",IF(AC965&lt;=Config_Status!$B$3,"NORMAL",IF(AC965&lt;=Config_Status!$B$4,"WARNING","OVER CONSUMPTION"))))</x:f>
        <x:v>NORMAL</x:v>
      </x:c>
      <x:c r="AE965" t="str">
        <x:f>IFERROR(VLOOKUP(G965,Master_Unit!$A$2:$N$78,13,FALSE),"UNIT NOT FOUND")</x:f>
        <x:v>Matched</x:v>
      </x:c>
    </x:row>
    <x:row r="966">
      <x:c r="A966" s="12" t="str">
        <x:v>FU-20260615-00965</x:v>
      </x:c>
      <x:c r="B966" s="12" t="n">
        <x:v>1095</x:v>
      </x:c>
      <x:c r="C966" s="14" t="n">
        <x:v>46188</x:v>
      </x:c>
      <x:c r="D966" s="12" t="str">
        <x:v>Senin</x:v>
      </x:c>
      <x:c r="E966" s="12" t="str">
        <x:v>08:03:00</x:v>
      </x:c>
      <x:c r="F966" s="12" t="str">
        <x:v>All Shift Day</x:v>
      </x:c>
      <x:c r="G966" s="12" t="str">
        <x:v>STRL44G140</x:v>
      </x:c>
      <x:c r="H966" s="12" t="str">
        <x:v>Dump Truck</x:v>
      </x:c>
      <x:c r="I966" s="12" t="str">
        <x:v>DUMP TRUCK RENAULT KRANGE440-P6X4 A/T</x:v>
      </x:c>
      <x:c r="J966" s="16" t="n">
        <x:v>195</x:v>
      </x:c>
      <x:c r="K966" s="16" t="n">
        <x:v>5154</x:v>
      </x:c>
      <x:c r="L966" s="16" t="n">
        <x:v>5171</x:v>
      </x:c>
      <x:c r="M966" s="16" t="n">
        <x:v>17</x:v>
      </x:c>
      <x:c r="N966" s="16" t="n">
        <x:v>11.470588235294118</x:v>
      </x:c>
      <x:c r="O966" s="12" t="str">
        <x:v>FTRL44G004</x:v>
      </x:c>
      <x:c r="P966" s="12" t="str">
        <x:v>STRL44G140</x:v>
      </x:c>
      <x:c r="Q966" s="12" t="str"/>
      <x:c r="R966" s="12" t="str"/>
      <x:c r="S966" s="12" t="str"/>
      <x:c r="T966" s="12" t="str">
        <x:v>ABM</x:v>
      </x:c>
      <x:c r="U966" s="12" t="str"/>
      <x:c r="V966" s="12" t="str"/>
      <x:c r="W966" s="12" t="str"/>
      <x:c r="X966" s="12" t="str">
        <x:v>STRL44</x:v>
      </x:c>
      <x:c r="Y966" s="12" t="str">
        <x:v>RAFIF &amp; YOGI</x:v>
      </x:c>
      <x:c r="Z966" s="12" t="str">
        <x:v>SUPPORT</x:v>
      </x:c>
      <x:c r="AA966" s="32" t="n">
        <x:f>IFERROR(VLOOKUP(G966,Master_Unit!$A$2:$N$78,7,FALSE),"")</x:f>
        <x:v>20</x:v>
      </x:c>
      <x:c r="AB966" s="32" t="n">
        <x:f>IF(OR(N966="",AA966=""),"",N966-AA966)</x:f>
        <x:v>-8.529411764705882</x:v>
      </x:c>
      <x:c r="AC966" s="20" t="n">
        <x:f>IF(OR(N966="",AA966="",AA966=0),"",AB966/AA966)</x:f>
        <x:v>-0.4264705882352941</x:v>
      </x:c>
      <x:c r="AD966" t="str">
        <x:f>IF(AA966="","NO STANDARD",IF(AC966&lt;=Config_Status!$B$2,"EFFICIENT",IF(AC966&lt;=Config_Status!$B$3,"NORMAL",IF(AC966&lt;=Config_Status!$B$4,"WARNING","OVER CONSUMPTION"))))</x:f>
        <x:v>EFFICIENT</x:v>
      </x:c>
      <x:c r="AE966" t="str">
        <x:f>IFERROR(VLOOKUP(G966,Master_Unit!$A$2:$N$78,13,FALSE),"UNIT NOT FOUND")</x:f>
        <x:v>Matched</x:v>
      </x:c>
    </x:row>
    <x:row r="967">
      <x:c r="A967" s="12" t="str">
        <x:v>FU-20260615-00966</x:v>
      </x:c>
      <x:c r="B967" s="12" t="n">
        <x:v>1096</x:v>
      </x:c>
      <x:c r="C967" s="14" t="n">
        <x:v>46188</x:v>
      </x:c>
      <x:c r="D967" s="12" t="str">
        <x:v>Senin</x:v>
      </x:c>
      <x:c r="E967" s="12" t="str">
        <x:v>08:03:00</x:v>
      </x:c>
      <x:c r="F967" s="12" t="str">
        <x:v>All Shift Day</x:v>
      </x:c>
      <x:c r="G967" s="12" t="str">
        <x:v>STRL44G144</x:v>
      </x:c>
      <x:c r="H967" s="12" t="str">
        <x:v>Dump Truck</x:v>
      </x:c>
      <x:c r="I967" s="12" t="str">
        <x:v>DUMP TRUCK RENAULT KRANGE440-P6X4 A/T</x:v>
      </x:c>
      <x:c r="J967" s="16" t="n">
        <x:v>213</x:v>
      </x:c>
      <x:c r="K967" s="16" t="n">
        <x:v>1582</x:v>
      </x:c>
      <x:c r="L967" s="16" t="n">
        <x:v>1589</x:v>
      </x:c>
      <x:c r="M967" s="16" t="n">
        <x:v>7</x:v>
      </x:c>
      <x:c r="N967" s="16" t="n">
        <x:v>30.428571428571427</x:v>
      </x:c>
      <x:c r="O967" s="12" t="str">
        <x:v>FTRL44G004</x:v>
      </x:c>
      <x:c r="P967" s="12" t="str">
        <x:v>STRL44G144</x:v>
      </x:c>
      <x:c r="Q967" s="12" t="str"/>
      <x:c r="R967" s="12" t="str"/>
      <x:c r="S967" s="12" t="str"/>
      <x:c r="T967" s="12" t="str">
        <x:v>ABM</x:v>
      </x:c>
      <x:c r="U967" s="12" t="str"/>
      <x:c r="V967" s="12" t="str"/>
      <x:c r="W967" s="12" t="str"/>
      <x:c r="X967" s="12" t="str">
        <x:v>STRL44</x:v>
      </x:c>
      <x:c r="Y967" s="12" t="str">
        <x:v>RAFIF &amp; YOGI</x:v>
      </x:c>
      <x:c r="Z967" s="12" t="str">
        <x:v>SUPPORT</x:v>
      </x:c>
      <x:c r="AA967" s="32" t="n">
        <x:f>IFERROR(VLOOKUP(G967,Master_Unit!$A$2:$N$78,7,FALSE),"")</x:f>
        <x:v>20</x:v>
      </x:c>
      <x:c r="AB967" s="32" t="n">
        <x:f>IF(OR(N967="",AA967=""),"",N967-AA967)</x:f>
        <x:v>10.428571428571427</x:v>
      </x:c>
      <x:c r="AC967" s="20" t="n">
        <x:f>IF(OR(N967="",AA967="",AA967=0),"",AB967/AA967)</x:f>
        <x:v>0.5214285714285714</x:v>
      </x:c>
      <x:c r="AD967" t="str">
        <x:f>IF(AA967="","NO STANDARD",IF(AC967&lt;=Config_Status!$B$2,"EFFICIENT",IF(AC967&lt;=Config_Status!$B$3,"NORMAL",IF(AC967&lt;=Config_Status!$B$4,"WARNING","OVER CONSUMPTION"))))</x:f>
        <x:v>OVER CONSUMPTION</x:v>
      </x:c>
      <x:c r="AE967" t="str">
        <x:f>IFERROR(VLOOKUP(G967,Master_Unit!$A$2:$N$78,13,FALSE),"UNIT NOT FOUND")</x:f>
        <x:v>Matched</x:v>
      </x:c>
    </x:row>
    <x:row r="968">
      <x:c r="A968" s="12" t="str">
        <x:v>FU-20260615-00967</x:v>
      </x:c>
      <x:c r="B968" s="12" t="n">
        <x:v>1097</x:v>
      </x:c>
      <x:c r="C968" s="14" t="n">
        <x:v>46188</x:v>
      </x:c>
      <x:c r="D968" s="12" t="str">
        <x:v>Senin</x:v>
      </x:c>
      <x:c r="E968" s="12" t="str">
        <x:v>08:05:00</x:v>
      </x:c>
      <x:c r="F968" s="12" t="str">
        <x:v>All Shift Day</x:v>
      </x:c>
      <x:c r="G968" s="12" t="str">
        <x:v>STRL44G141</x:v>
      </x:c>
      <x:c r="H968" s="12" t="str">
        <x:v>Dump Truck</x:v>
      </x:c>
      <x:c r="I968" s="12" t="str">
        <x:v>DUMP TRUCK RENAULT KRANGE440-P6X4 A/T</x:v>
      </x:c>
      <x:c r="J968" s="16" t="n">
        <x:v>104</x:v>
      </x:c>
      <x:c r="K968" s="16" t="n">
        <x:v>3219</x:v>
      </x:c>
      <x:c r="L968" s="16" t="n">
        <x:v>3233</x:v>
      </x:c>
      <x:c r="M968" s="16" t="n">
        <x:v>14</x:v>
      </x:c>
      <x:c r="N968" s="16" t="n">
        <x:v>7.428571428571429</x:v>
      </x:c>
      <x:c r="O968" s="12" t="str">
        <x:v>FTRL44G004</x:v>
      </x:c>
      <x:c r="P968" s="12" t="str">
        <x:v>STRL44G141</x:v>
      </x:c>
      <x:c r="Q968" s="12" t="str"/>
      <x:c r="R968" s="12" t="str"/>
      <x:c r="S968" s="12" t="str"/>
      <x:c r="T968" s="12" t="str">
        <x:v>ABM</x:v>
      </x:c>
      <x:c r="U968" s="12" t="str"/>
      <x:c r="V968" s="12" t="str"/>
      <x:c r="W968" s="12" t="str"/>
      <x:c r="X968" s="12" t="str">
        <x:v>STRL44</x:v>
      </x:c>
      <x:c r="Y968" s="12" t="str">
        <x:v>RAFIF &amp; YOGI</x:v>
      </x:c>
      <x:c r="Z968" s="12" t="str">
        <x:v>SUPPORT</x:v>
      </x:c>
      <x:c r="AA968" s="32" t="n">
        <x:f>IFERROR(VLOOKUP(G968,Master_Unit!$A$2:$N$78,7,FALSE),"")</x:f>
        <x:v>20</x:v>
      </x:c>
      <x:c r="AB968" s="32" t="n">
        <x:f>IF(OR(N968="",AA968=""),"",N968-AA968)</x:f>
        <x:v>-12.571428571428571</x:v>
      </x:c>
      <x:c r="AC968" s="20" t="n">
        <x:f>IF(OR(N968="",AA968="",AA968=0),"",AB968/AA968)</x:f>
        <x:v>-0.6285714285714286</x:v>
      </x:c>
      <x:c r="AD968" t="str">
        <x:f>IF(AA968="","NO STANDARD",IF(AC968&lt;=Config_Status!$B$2,"EFFICIENT",IF(AC968&lt;=Config_Status!$B$3,"NORMAL",IF(AC968&lt;=Config_Status!$B$4,"WARNING","OVER CONSUMPTION"))))</x:f>
        <x:v>EFFICIENT</x:v>
      </x:c>
      <x:c r="AE968" t="str">
        <x:f>IFERROR(VLOOKUP(G968,Master_Unit!$A$2:$N$78,13,FALSE),"UNIT NOT FOUND")</x:f>
        <x:v>Matched</x:v>
      </x:c>
    </x:row>
    <x:row r="969">
      <x:c r="A969" s="12" t="str">
        <x:v>FU-20260615-00968</x:v>
      </x:c>
      <x:c r="B969" s="12" t="n">
        <x:v>1098</x:v>
      </x:c>
      <x:c r="C969" s="14" t="n">
        <x:v>46188</x:v>
      </x:c>
      <x:c r="D969" s="12" t="str">
        <x:v>Senin</x:v>
      </x:c>
      <x:c r="E969" s="12" t="str">
        <x:v>08:17:00</x:v>
      </x:c>
      <x:c r="F969" s="12" t="str">
        <x:v>All Shift Day</x:v>
      </x:c>
      <x:c r="G969" s="12" t="str">
        <x:v>STRL44G134</x:v>
      </x:c>
      <x:c r="H969" s="12" t="str">
        <x:v>Dump Truck</x:v>
      </x:c>
      <x:c r="I969" s="12" t="str">
        <x:v>DUMP TRUCK RENAULT KRANGE440-P6X4 A/T</x:v>
      </x:c>
      <x:c r="J969" s="16" t="n">
        <x:v>52</x:v>
      </x:c>
      <x:c r="K969" s="16" t="n">
        <x:v>5736</x:v>
      </x:c>
      <x:c r="L969" s="16" t="n">
        <x:v>5745</x:v>
      </x:c>
      <x:c r="M969" s="16" t="n">
        <x:v>9</x:v>
      </x:c>
      <x:c r="N969" s="16" t="n">
        <x:v>5.777777777777778</x:v>
      </x:c>
      <x:c r="O969" s="12" t="str">
        <x:v>FTRL44G004</x:v>
      </x:c>
      <x:c r="P969" s="12" t="str">
        <x:v>STRL44G134</x:v>
      </x:c>
      <x:c r="Q969" s="12" t="str"/>
      <x:c r="R969" s="12" t="str"/>
      <x:c r="S969" s="12" t="str"/>
      <x:c r="T969" s="12" t="str">
        <x:v>ABM</x:v>
      </x:c>
      <x:c r="U969" s="12" t="str"/>
      <x:c r="V969" s="12" t="str"/>
      <x:c r="W969" s="12" t="str"/>
      <x:c r="X969" s="12" t="str">
        <x:v>STRL44</x:v>
      </x:c>
      <x:c r="Y969" s="12" t="str">
        <x:v>RAFIF &amp; YOGI</x:v>
      </x:c>
      <x:c r="Z969" s="12" t="str">
        <x:v>SUPPORT</x:v>
      </x:c>
      <x:c r="AA969" s="32" t="n">
        <x:f>IFERROR(VLOOKUP(G969,Master_Unit!$A$2:$N$78,7,FALSE),"")</x:f>
        <x:v>20</x:v>
      </x:c>
      <x:c r="AB969" s="32" t="n">
        <x:f>IF(OR(N969="",AA969=""),"",N969-AA969)</x:f>
        <x:v>-14.222222222222221</x:v>
      </x:c>
      <x:c r="AC969" s="20" t="n">
        <x:f>IF(OR(N969="",AA969="",AA969=0),"",AB969/AA969)</x:f>
        <x:v>-0.711111111111111</x:v>
      </x:c>
      <x:c r="AD969" t="str">
        <x:f>IF(AA969="","NO STANDARD",IF(AC969&lt;=Config_Status!$B$2,"EFFICIENT",IF(AC969&lt;=Config_Status!$B$3,"NORMAL",IF(AC969&lt;=Config_Status!$B$4,"WARNING","OVER CONSUMPTION"))))</x:f>
        <x:v>EFFICIENT</x:v>
      </x:c>
      <x:c r="AE969" t="str">
        <x:f>IFERROR(VLOOKUP(G969,Master_Unit!$A$2:$N$78,13,FALSE),"UNIT NOT FOUND")</x:f>
        <x:v>Matched</x:v>
      </x:c>
    </x:row>
    <x:row r="970">
      <x:c r="A970" s="12" t="str">
        <x:v>FU-20260615-00969</x:v>
      </x:c>
      <x:c r="B970" s="12" t="n">
        <x:v>1099</x:v>
      </x:c>
      <x:c r="C970" s="14" t="n">
        <x:v>46188</x:v>
      </x:c>
      <x:c r="D970" s="12" t="str">
        <x:v>Senin</x:v>
      </x:c>
      <x:c r="E970" s="12" t="str">
        <x:v>08:20:00</x:v>
      </x:c>
      <x:c r="F970" s="12" t="str">
        <x:v>All Shift Day</x:v>
      </x:c>
      <x:c r="G970" s="12" t="str">
        <x:v>STRL44G135</x:v>
      </x:c>
      <x:c r="H970" s="12" t="str">
        <x:v>Dump Truck</x:v>
      </x:c>
      <x:c r="I970" s="12" t="str">
        <x:v>DUMP TRUCK RENAULT KRANGE440-P6X4 A/T</x:v>
      </x:c>
      <x:c r="J970" s="16" t="n">
        <x:v>91</x:v>
      </x:c>
      <x:c r="K970" s="16" t="n">
        <x:v>5893</x:v>
      </x:c>
      <x:c r="L970" s="16" t="n">
        <x:v>5903</x:v>
      </x:c>
      <x:c r="M970" s="16" t="n">
        <x:v>10</x:v>
      </x:c>
      <x:c r="N970" s="16" t="n">
        <x:v>9.1</x:v>
      </x:c>
      <x:c r="O970" s="12" t="str">
        <x:v>FTRL44G004</x:v>
      </x:c>
      <x:c r="P970" s="12" t="str">
        <x:v>STRL44G135</x:v>
      </x:c>
      <x:c r="Q970" s="12" t="str"/>
      <x:c r="R970" s="12" t="str"/>
      <x:c r="S970" s="12" t="str"/>
      <x:c r="T970" s="12" t="str">
        <x:v>ABM</x:v>
      </x:c>
      <x:c r="U970" s="12" t="str"/>
      <x:c r="V970" s="12" t="str"/>
      <x:c r="W970" s="12" t="str"/>
      <x:c r="X970" s="12" t="str">
        <x:v>STRL44</x:v>
      </x:c>
      <x:c r="Y970" s="12" t="str">
        <x:v>RAFIF &amp; YOGI</x:v>
      </x:c>
      <x:c r="Z970" s="12" t="str">
        <x:v>SUPPORT</x:v>
      </x:c>
      <x:c r="AA970" s="32" t="n">
        <x:f>IFERROR(VLOOKUP(G970,Master_Unit!$A$2:$N$78,7,FALSE),"")</x:f>
        <x:v>20</x:v>
      </x:c>
      <x:c r="AB970" s="32" t="n">
        <x:f>IF(OR(N970="",AA970=""),"",N970-AA970)</x:f>
        <x:v>-10.9</x:v>
      </x:c>
      <x:c r="AC970" s="20" t="n">
        <x:f>IF(OR(N970="",AA970="",AA970=0),"",AB970/AA970)</x:f>
        <x:v>-0.545</x:v>
      </x:c>
      <x:c r="AD970" t="str">
        <x:f>IF(AA970="","NO STANDARD",IF(AC970&lt;=Config_Status!$B$2,"EFFICIENT",IF(AC970&lt;=Config_Status!$B$3,"NORMAL",IF(AC970&lt;=Config_Status!$B$4,"WARNING","OVER CONSUMPTION"))))</x:f>
        <x:v>EFFICIENT</x:v>
      </x:c>
      <x:c r="AE970" t="str">
        <x:f>IFERROR(VLOOKUP(G970,Master_Unit!$A$2:$N$78,13,FALSE),"UNIT NOT FOUND")</x:f>
        <x:v>Matched</x:v>
      </x:c>
    </x:row>
    <x:row r="971">
      <x:c r="A971" s="12" t="str">
        <x:v>FU-20260615-00970</x:v>
      </x:c>
      <x:c r="B971" s="12" t="n">
        <x:v>1100</x:v>
      </x:c>
      <x:c r="C971" s="14" t="n">
        <x:v>46188</x:v>
      </x:c>
      <x:c r="D971" s="12" t="str">
        <x:v>Senin</x:v>
      </x:c>
      <x:c r="E971" s="12" t="str">
        <x:v>08:28:00</x:v>
      </x:c>
      <x:c r="F971" s="12" t="str">
        <x:v>All Shift Day</x:v>
      </x:c>
      <x:c r="G971" s="12" t="str">
        <x:v>LVTH24R026</x:v>
      </x:c>
      <x:c r="H971" s="12" t="str">
        <x:v>Light Vehicle</x:v>
      </x:c>
      <x:c r="I971" s="12" t="str">
        <x:v>LIGHT VEHICLE TOYOTA HILUX</x:v>
      </x:c>
      <x:c r="J971" s="16" t="n">
        <x:v>20</x:v>
      </x:c>
      <x:c r="K971" s="16" t="n">
        <x:v>59760</x:v>
      </x:c>
      <x:c r="L971" s="16" t="n">
        <x:v>59871</x:v>
      </x:c>
      <x:c r="M971" s="16" t="n">
        <x:v>111</x:v>
      </x:c>
      <x:c r="N971" s="16" t="n">
        <x:v>0.18018018018018017</x:v>
      </x:c>
      <x:c r="O971" s="12" t="str">
        <x:v>FTRL44G004</x:v>
      </x:c>
      <x:c r="P971" s="12" t="str">
        <x:v>LVTH24R026</x:v>
      </x:c>
      <x:c r="Q971" s="12" t="str"/>
      <x:c r="R971" s="12" t="str"/>
      <x:c r="S971" s="12" t="str"/>
      <x:c r="T971" s="12" t="str">
        <x:v>ABM</x:v>
      </x:c>
      <x:c r="U971" s="12" t="str"/>
      <x:c r="V971" s="12" t="str"/>
      <x:c r="W971" s="12" t="str"/>
      <x:c r="X971" s="12" t="str">
        <x:v>LVTH24</x:v>
      </x:c>
      <x:c r="Y971" s="12" t="str">
        <x:v>RAFIF &amp; YOGI</x:v>
      </x:c>
      <x:c r="Z971" s="12" t="str">
        <x:v>PIT</x:v>
      </x:c>
      <x:c r="AA971" s="32" t="n">
        <x:f>IFERROR(VLOOKUP(G971,Master_Unit!$A$2:$N$78,7,FALSE),"")</x:f>
        <x:v>0.2</x:v>
      </x:c>
      <x:c r="AB971" s="32" t="n">
        <x:f>IF(OR(N971="",AA971=""),"",N971-AA971)</x:f>
        <x:v>-0.01981981981981984</x:v>
      </x:c>
      <x:c r="AC971" s="20" t="n">
        <x:f>IF(OR(N971="",AA971="",AA971=0),"",AB971/AA971)</x:f>
        <x:v>-0.0990990990990992</x:v>
      </x:c>
      <x:c r="AD971" t="str">
        <x:f>IF(AA971="","NO STANDARD",IF(AC971&lt;=Config_Status!$B$2,"EFFICIENT",IF(AC971&lt;=Config_Status!$B$3,"NORMAL",IF(AC971&lt;=Config_Status!$B$4,"WARNING","OVER CONSUMPTION"))))</x:f>
        <x:v>NORMAL</x:v>
      </x:c>
      <x:c r="AE971" t="str">
        <x:f>IFERROR(VLOOKUP(G971,Master_Unit!$A$2:$N$78,13,FALSE),"UNIT NOT FOUND")</x:f>
        <x:v>Matched</x:v>
      </x:c>
    </x:row>
    <x:row r="972">
      <x:c r="A972" s="12" t="str">
        <x:v>FU-20260615-00971</x:v>
      </x:c>
      <x:c r="B972" s="12" t="n">
        <x:v>1101</x:v>
      </x:c>
      <x:c r="C972" s="14" t="n">
        <x:v>46188</x:v>
      </x:c>
      <x:c r="D972" s="12" t="str">
        <x:v>Senin</x:v>
      </x:c>
      <x:c r="E972" s="12" t="str">
        <x:v>08:35:00</x:v>
      </x:c>
      <x:c r="F972" s="12" t="str">
        <x:v>All Shift Day</x:v>
      </x:c>
      <x:c r="G972" s="12" t="str">
        <x:v>STRL44G152</x:v>
      </x:c>
      <x:c r="H972" s="12" t="str">
        <x:v>Dump Truck</x:v>
      </x:c>
      <x:c r="I972" s="12" t="str">
        <x:v>DUMP TRUCK RENAULT KRANGE440-P6X4 A/T</x:v>
      </x:c>
      <x:c r="J972" s="16" t="n">
        <x:v>145</x:v>
      </x:c>
      <x:c r="K972" s="16" t="n">
        <x:v>3752</x:v>
      </x:c>
      <x:c r="L972" s="16" t="n">
        <x:v>3759</x:v>
      </x:c>
      <x:c r="M972" s="16" t="n">
        <x:v>7</x:v>
      </x:c>
      <x:c r="N972" s="16" t="n">
        <x:v>20.714285714285715</x:v>
      </x:c>
      <x:c r="O972" s="12" t="str">
        <x:v>FTRL44G004</x:v>
      </x:c>
      <x:c r="P972" s="12" t="str">
        <x:v>STRL44G152</x:v>
      </x:c>
      <x:c r="Q972" s="12" t="str"/>
      <x:c r="R972" s="12" t="str"/>
      <x:c r="S972" s="12" t="str"/>
      <x:c r="T972" s="12" t="str">
        <x:v>ABM</x:v>
      </x:c>
      <x:c r="U972" s="12" t="str"/>
      <x:c r="V972" s="12" t="str"/>
      <x:c r="W972" s="12" t="str"/>
      <x:c r="X972" s="12" t="str">
        <x:v>STRL44</x:v>
      </x:c>
      <x:c r="Y972" s="12" t="str">
        <x:v>RAFIF &amp; YOGI</x:v>
      </x:c>
      <x:c r="Z972" s="12" t="str">
        <x:v>PIT</x:v>
      </x:c>
      <x:c r="AA972" s="32" t="n">
        <x:f>IFERROR(VLOOKUP(G972,Master_Unit!$A$2:$N$78,7,FALSE),"")</x:f>
        <x:v>20</x:v>
      </x:c>
      <x:c r="AB972" s="32" t="n">
        <x:f>IF(OR(N972="",AA972=""),"",N972-AA972)</x:f>
        <x:v>0.7142857142857153</x:v>
      </x:c>
      <x:c r="AC972" s="20" t="n">
        <x:f>IF(OR(N972="",AA972="",AA972=0),"",AB972/AA972)</x:f>
        <x:v>0.03571428571428577</x:v>
      </x:c>
      <x:c r="AD972" t="str">
        <x:f>IF(AA972="","NO STANDARD",IF(AC972&lt;=Config_Status!$B$2,"EFFICIENT",IF(AC972&lt;=Config_Status!$B$3,"NORMAL",IF(AC972&lt;=Config_Status!$B$4,"WARNING","OVER CONSUMPTION"))))</x:f>
        <x:v>NORMAL</x:v>
      </x:c>
      <x:c r="AE972" t="str">
        <x:f>IFERROR(VLOOKUP(G972,Master_Unit!$A$2:$N$78,13,FALSE),"UNIT NOT FOUND")</x:f>
        <x:v>Matched</x:v>
      </x:c>
    </x:row>
    <x:row r="973">
      <x:c r="A973" s="12" t="str">
        <x:v>FU-20260615-00972</x:v>
      </x:c>
      <x:c r="B973" s="12" t="n">
        <x:v>1102</x:v>
      </x:c>
      <x:c r="C973" s="14" t="n">
        <x:v>46188</x:v>
      </x:c>
      <x:c r="D973" s="12" t="str">
        <x:v>Senin</x:v>
      </x:c>
      <x:c r="E973" s="12" t="str">
        <x:v>08:44:00</x:v>
      </x:c>
      <x:c r="F973" s="12" t="str">
        <x:v>All Shift Day</x:v>
      </x:c>
      <x:c r="G973" s="12" t="str">
        <x:v>SLRL48G001</x:v>
      </x:c>
      <x:c r="H973" s="12" t="str">
        <x:v>Self Loader</x:v>
      </x:c>
      <x:c r="I973" s="12" t="str">
        <x:v>SELF LOADER RENAULT KRANGE480-P8X4 A/T</x:v>
      </x:c>
      <x:c r="J973" s="16" t="n">
        <x:v>40</x:v>
      </x:c>
      <x:c r="K973" s="16" t="n">
        <x:v>178</x:v>
      </x:c>
      <x:c r="L973" s="16" t="n">
        <x:v>181</x:v>
      </x:c>
      <x:c r="M973" s="16" t="n">
        <x:v>3</x:v>
      </x:c>
      <x:c r="N973" s="16" t="n">
        <x:v>13.333333333333334</x:v>
      </x:c>
      <x:c r="O973" s="12" t="str">
        <x:v>FTRL44G004</x:v>
      </x:c>
      <x:c r="P973" s="12" t="str">
        <x:v>SLRL48G001</x:v>
      </x:c>
      <x:c r="Q973" s="12" t="str"/>
      <x:c r="R973" s="12" t="str"/>
      <x:c r="S973" s="12" t="str"/>
      <x:c r="T973" s="12" t="str">
        <x:v>ABM</x:v>
      </x:c>
      <x:c r="U973" s="12" t="str"/>
      <x:c r="V973" s="12" t="str"/>
      <x:c r="W973" s="12" t="str"/>
      <x:c r="X973" s="12" t="str">
        <x:v>SLRL48</x:v>
      </x:c>
      <x:c r="Y973" s="12" t="str">
        <x:v>RAFIF &amp; YOGI</x:v>
      </x:c>
      <x:c r="Z973" s="12" t="str">
        <x:v>SUPPORT</x:v>
      </x:c>
      <x:c r="AA973" s="32" t="n">
        <x:f>IFERROR(VLOOKUP(G973,Master_Unit!$A$2:$N$78,7,FALSE),"")</x:f>
        <x:v>20</x:v>
      </x:c>
      <x:c r="AB973" s="32" t="n">
        <x:f>IF(OR(N973="",AA973=""),"",N973-AA973)</x:f>
        <x:v>-6.666666666666666</x:v>
      </x:c>
      <x:c r="AC973" s="20" t="n">
        <x:f>IF(OR(N973="",AA973="",AA973=0),"",AB973/AA973)</x:f>
        <x:v>-0.3333333333333333</x:v>
      </x:c>
      <x:c r="AD973" t="str">
        <x:f>IF(AA973="","NO STANDARD",IF(AC973&lt;=Config_Status!$B$2,"EFFICIENT",IF(AC973&lt;=Config_Status!$B$3,"NORMAL",IF(AC973&lt;=Config_Status!$B$4,"WARNING","OVER CONSUMPTION"))))</x:f>
        <x:v>EFFICIENT</x:v>
      </x:c>
      <x:c r="AE973" t="str">
        <x:f>IFERROR(VLOOKUP(G973,Master_Unit!$A$2:$N$78,13,FALSE),"UNIT NOT FOUND")</x:f>
        <x:v>Matched</x:v>
      </x:c>
    </x:row>
    <x:row r="974">
      <x:c r="A974" s="12" t="str">
        <x:v>FU-20260615-00973</x:v>
      </x:c>
      <x:c r="B974" s="12" t="n">
        <x:v>1103</x:v>
      </x:c>
      <x:c r="C974" s="14" t="n">
        <x:v>46188</x:v>
      </x:c>
      <x:c r="D974" s="12" t="str">
        <x:v>Senin</x:v>
      </x:c>
      <x:c r="E974" s="12" t="str">
        <x:v>08:53:00</x:v>
      </x:c>
      <x:c r="F974" s="12" t="str">
        <x:v>All Shift Day</x:v>
      </x:c>
      <x:c r="G974" s="12" t="str">
        <x:v>LVTH24R024</x:v>
      </x:c>
      <x:c r="H974" s="12" t="str">
        <x:v>Light Vehicle</x:v>
      </x:c>
      <x:c r="I974" s="12" t="str">
        <x:v>LIGHT VEHICLE TOYOTA HILUX</x:v>
      </x:c>
      <x:c r="J974" s="16" t="n">
        <x:v>20</x:v>
      </x:c>
      <x:c r="K974" s="16" t="n">
        <x:v>46733</x:v>
      </x:c>
      <x:c r="L974" s="16" t="n">
        <x:v>46785</x:v>
      </x:c>
      <x:c r="M974" s="16" t="n">
        <x:v>52</x:v>
      </x:c>
      <x:c r="N974" s="16" t="n">
        <x:v>0.38461538461538464</x:v>
      </x:c>
      <x:c r="O974" s="12" t="str">
        <x:v>FTRL44G004</x:v>
      </x:c>
      <x:c r="P974" s="12" t="str">
        <x:v>LVTH24R024</x:v>
      </x:c>
      <x:c r="Q974" s="12" t="str"/>
      <x:c r="R974" s="12" t="str"/>
      <x:c r="S974" s="12" t="str"/>
      <x:c r="T974" s="12" t="str">
        <x:v>ABM</x:v>
      </x:c>
      <x:c r="U974" s="12" t="str"/>
      <x:c r="V974" s="12" t="str"/>
      <x:c r="W974" s="12" t="str"/>
      <x:c r="X974" s="12" t="str">
        <x:v>LVTH24</x:v>
      </x:c>
      <x:c r="Y974" s="12" t="str">
        <x:v>RAFIF &amp; YOGI</x:v>
      </x:c>
      <x:c r="Z974" s="12" t="str">
        <x:v>PIT</x:v>
      </x:c>
      <x:c r="AA974" s="32" t="n">
        <x:f>IFERROR(VLOOKUP(G974,Master_Unit!$A$2:$N$78,7,FALSE),"")</x:f>
        <x:v>0.2</x:v>
      </x:c>
      <x:c r="AB974" s="32" t="n">
        <x:f>IF(OR(N974="",AA974=""),"",N974-AA974)</x:f>
        <x:v>0.18461538461538463</x:v>
      </x:c>
      <x:c r="AC974" s="20" t="n">
        <x:f>IF(OR(N974="",AA974="",AA974=0),"",AB974/AA974)</x:f>
        <x:v>0.9230769230769231</x:v>
      </x:c>
      <x:c r="AD974" t="str">
        <x:f>IF(AA974="","NO STANDARD",IF(AC974&lt;=Config_Status!$B$2,"EFFICIENT",IF(AC974&lt;=Config_Status!$B$3,"NORMAL",IF(AC974&lt;=Config_Status!$B$4,"WARNING","OVER CONSUMPTION"))))</x:f>
        <x:v>OVER CONSUMPTION</x:v>
      </x:c>
      <x:c r="AE974" t="str">
        <x:f>IFERROR(VLOOKUP(G974,Master_Unit!$A$2:$N$78,13,FALSE),"UNIT NOT FOUND")</x:f>
        <x:v>Matched</x:v>
      </x:c>
    </x:row>
    <x:row r="975">
      <x:c r="A975" s="12" t="str">
        <x:v>FU-20260615-00974</x:v>
      </x:c>
      <x:c r="B975" s="12" t="n">
        <x:v>1104</x:v>
      </x:c>
      <x:c r="C975" s="14" t="n">
        <x:v>46188</x:v>
      </x:c>
      <x:c r="D975" s="12" t="str">
        <x:v>Senin</x:v>
      </x:c>
      <x:c r="E975" s="12" t="str">
        <x:v>08:56:00</x:v>
      </x:c>
      <x:c r="F975" s="12" t="str">
        <x:v>All Shift Day</x:v>
      </x:c>
      <x:c r="G975" s="12" t="str">
        <x:v>STRL44G142</x:v>
      </x:c>
      <x:c r="H975" s="12" t="str">
        <x:v>Dump Truck</x:v>
      </x:c>
      <x:c r="I975" s="12" t="str">
        <x:v>DUMP TRUCK RENAULT KRANGE440-P6X4 A/T</x:v>
      </x:c>
      <x:c r="J975" s="16" t="n">
        <x:v>74</x:v>
      </x:c>
      <x:c r="K975" s="16" t="n">
        <x:v>3404</x:v>
      </x:c>
      <x:c r="L975" s="16" t="n">
        <x:v>3413</x:v>
      </x:c>
      <x:c r="M975" s="16" t="n">
        <x:v>9</x:v>
      </x:c>
      <x:c r="N975" s="16" t="n">
        <x:v>8.222222222222221</x:v>
      </x:c>
      <x:c r="O975" s="12" t="str">
        <x:v>FTRL44G004</x:v>
      </x:c>
      <x:c r="P975" s="12" t="str">
        <x:v>STRL44G142</x:v>
      </x:c>
      <x:c r="Q975" s="12" t="str"/>
      <x:c r="R975" s="12" t="str"/>
      <x:c r="S975" s="12" t="str"/>
      <x:c r="T975" s="12" t="str">
        <x:v>ABM</x:v>
      </x:c>
      <x:c r="U975" s="12" t="str"/>
      <x:c r="V975" s="12" t="str"/>
      <x:c r="W975" s="12" t="str"/>
      <x:c r="X975" s="12" t="str">
        <x:v>STRL44</x:v>
      </x:c>
      <x:c r="Y975" s="12" t="str">
        <x:v>RAFIF &amp; YOGI</x:v>
      </x:c>
      <x:c r="Z975" s="12" t="str">
        <x:v>PIT</x:v>
      </x:c>
      <x:c r="AA975" s="32" t="n">
        <x:f>IFERROR(VLOOKUP(G975,Master_Unit!$A$2:$N$78,7,FALSE),"")</x:f>
        <x:v>20</x:v>
      </x:c>
      <x:c r="AB975" s="32" t="n">
        <x:f>IF(OR(N975="",AA975=""),"",N975-AA975)</x:f>
        <x:v>-11.777777777777779</x:v>
      </x:c>
      <x:c r="AC975" s="20" t="n">
        <x:f>IF(OR(N975="",AA975="",AA975=0),"",AB975/AA975)</x:f>
        <x:v>-0.5888888888888889</x:v>
      </x:c>
      <x:c r="AD975" t="str">
        <x:f>IF(AA975="","NO STANDARD",IF(AC975&lt;=Config_Status!$B$2,"EFFICIENT",IF(AC975&lt;=Config_Status!$B$3,"NORMAL",IF(AC975&lt;=Config_Status!$B$4,"WARNING","OVER CONSUMPTION"))))</x:f>
        <x:v>EFFICIENT</x:v>
      </x:c>
      <x:c r="AE975" t="str">
        <x:f>IFERROR(VLOOKUP(G975,Master_Unit!$A$2:$N$78,13,FALSE),"UNIT NOT FOUND")</x:f>
        <x:v>Matched</x:v>
      </x:c>
    </x:row>
    <x:row r="976">
      <x:c r="A976" s="12" t="str">
        <x:v>FU-20260615-00975</x:v>
      </x:c>
      <x:c r="B976" s="12" t="n">
        <x:v>1105</x:v>
      </x:c>
      <x:c r="C976" s="14" t="n">
        <x:v>46188</x:v>
      </x:c>
      <x:c r="D976" s="12" t="str">
        <x:v>Senin</x:v>
      </x:c>
      <x:c r="E976" s="12" t="str">
        <x:v>09:11:00</x:v>
      </x:c>
      <x:c r="F976" s="12" t="str">
        <x:v>All Shift Day</x:v>
      </x:c>
      <x:c r="G976" s="12" t="str">
        <x:v>TLYM50G017</x:v>
      </x:c>
      <x:c r="H976" s="12" t="str">
        <x:v>Other</x:v>
      </x:c>
      <x:c r="I976" s="12" t="str">
        <x:v>TOWERLAMP YAMAGEN YDG5001SE-D-TLD4</x:v>
      </x:c>
      <x:c r="J976" s="16" t="n">
        <x:v>10</x:v>
      </x:c>
      <x:c r="K976" s="16" t="n">
        <x:v>3404.25</x:v>
      </x:c>
      <x:c r="L976" s="16" t="n">
        <x:v>3414.12</x:v>
      </x:c>
      <x:c r="M976" s="16" t="n">
        <x:v>9.86999999999989</x:v>
      </x:c>
      <x:c r="N976" s="16" t="n">
        <x:v>1.0131712259371946</x:v>
      </x:c>
      <x:c r="O976" s="12" t="str">
        <x:v>FTRL44G004</x:v>
      </x:c>
      <x:c r="P976" s="12" t="str">
        <x:v>TLYM50G017</x:v>
      </x:c>
      <x:c r="Q976" s="12" t="str"/>
      <x:c r="R976" s="12" t="str"/>
      <x:c r="S976" s="12" t="str"/>
      <x:c r="T976" s="12" t="str">
        <x:v>ABM</x:v>
      </x:c>
      <x:c r="U976" s="12" t="str"/>
      <x:c r="V976" s="12" t="str"/>
      <x:c r="W976" s="12" t="str"/>
      <x:c r="X976" s="12" t="str">
        <x:v>TLYM50</x:v>
      </x:c>
      <x:c r="Y976" s="12" t="str">
        <x:v>RAFIF &amp; YOGI</x:v>
      </x:c>
      <x:c r="Z976" s="12" t="str">
        <x:v>SUPPORT</x:v>
      </x:c>
      <x:c r="AA976" s="32" t="n">
        <x:f>IFERROR(VLOOKUP(G976,Master_Unit!$A$2:$N$78,7,FALSE),"")</x:f>
        <x:v>2</x:v>
      </x:c>
      <x:c r="AB976" s="32" t="n">
        <x:f>IF(OR(N976="",AA976=""),"",N976-AA976)</x:f>
        <x:v>-0.9868287740628054</x:v>
      </x:c>
      <x:c r="AC976" s="20" t="n">
        <x:f>IF(OR(N976="",AA976="",AA976=0),"",AB976/AA976)</x:f>
        <x:v>-0.4934143870314027</x:v>
      </x:c>
      <x:c r="AD976" t="str">
        <x:f>IF(AA976="","NO STANDARD",IF(AC976&lt;=Config_Status!$B$2,"EFFICIENT",IF(AC976&lt;=Config_Status!$B$3,"NORMAL",IF(AC976&lt;=Config_Status!$B$4,"WARNING","OVER CONSUMPTION"))))</x:f>
        <x:v>EFFICIENT</x:v>
      </x:c>
      <x:c r="AE976" t="str">
        <x:f>IFERROR(VLOOKUP(G976,Master_Unit!$A$2:$N$78,13,FALSE),"UNIT NOT FOUND")</x:f>
        <x:v>Matched</x:v>
      </x:c>
    </x:row>
    <x:row r="977">
      <x:c r="A977" s="12" t="str">
        <x:v>FU-20260615-00976</x:v>
      </x:c>
      <x:c r="B977" s="12" t="n">
        <x:v>1106</x:v>
      </x:c>
      <x:c r="C977" s="14" t="n">
        <x:v>46188</x:v>
      </x:c>
      <x:c r="D977" s="12" t="str">
        <x:v>Senin</x:v>
      </x:c>
      <x:c r="E977" s="12" t="str">
        <x:v>09:15:00</x:v>
      </x:c>
      <x:c r="F977" s="12" t="str">
        <x:v>All Shift Day</x:v>
      </x:c>
      <x:c r="G977" s="12" t="str">
        <x:v>STRL44G136</x:v>
      </x:c>
      <x:c r="H977" s="12" t="str">
        <x:v>Dump Truck</x:v>
      </x:c>
      <x:c r="I977" s="12" t="str">
        <x:v>DUMP TRUCK RENAULT KRANGE440-P6X4 A/T</x:v>
      </x:c>
      <x:c r="J977" s="16" t="n">
        <x:v>78</x:v>
      </x:c>
      <x:c r="K977" s="16" t="n">
        <x:v>5882</x:v>
      </x:c>
      <x:c r="L977" s="16" t="n">
        <x:v>5892</x:v>
      </x:c>
      <x:c r="M977" s="16" t="n">
        <x:v>10</x:v>
      </x:c>
      <x:c r="N977" s="16" t="n">
        <x:v>7.8</x:v>
      </x:c>
      <x:c r="O977" s="12" t="str">
        <x:v>FTRL44G004</x:v>
      </x:c>
      <x:c r="P977" s="12" t="str">
        <x:v>STRL44G136</x:v>
      </x:c>
      <x:c r="Q977" s="12" t="str"/>
      <x:c r="R977" s="12" t="str"/>
      <x:c r="S977" s="12" t="str"/>
      <x:c r="T977" s="12" t="str">
        <x:v>ABM</x:v>
      </x:c>
      <x:c r="U977" s="12" t="str"/>
      <x:c r="V977" s="12" t="str"/>
      <x:c r="W977" s="12" t="str"/>
      <x:c r="X977" s="12" t="str">
        <x:v>STRL44</x:v>
      </x:c>
      <x:c r="Y977" s="12" t="str">
        <x:v>RAFIF &amp; YOGI</x:v>
      </x:c>
      <x:c r="Z977" s="12" t="str">
        <x:v>SUPPORT</x:v>
      </x:c>
      <x:c r="AA977" s="32" t="n">
        <x:f>IFERROR(VLOOKUP(G977,Master_Unit!$A$2:$N$78,7,FALSE),"")</x:f>
        <x:v>20</x:v>
      </x:c>
      <x:c r="AB977" s="32" t="n">
        <x:f>IF(OR(N977="",AA977=""),"",N977-AA977)</x:f>
        <x:v>-12.2</x:v>
      </x:c>
      <x:c r="AC977" s="20" t="n">
        <x:f>IF(OR(N977="",AA977="",AA977=0),"",AB977/AA977)</x:f>
        <x:v>-0.61</x:v>
      </x:c>
      <x:c r="AD977" t="str">
        <x:f>IF(AA977="","NO STANDARD",IF(AC977&lt;=Config_Status!$B$2,"EFFICIENT",IF(AC977&lt;=Config_Status!$B$3,"NORMAL",IF(AC977&lt;=Config_Status!$B$4,"WARNING","OVER CONSUMPTION"))))</x:f>
        <x:v>EFFICIENT</x:v>
      </x:c>
      <x:c r="AE977" t="str">
        <x:f>IFERROR(VLOOKUP(G977,Master_Unit!$A$2:$N$78,13,FALSE),"UNIT NOT FOUND")</x:f>
        <x:v>Matched</x:v>
      </x:c>
    </x:row>
    <x:row r="978">
      <x:c r="A978" s="12" t="str">
        <x:v>FU-20260615-00977</x:v>
      </x:c>
      <x:c r="B978" s="12" t="n">
        <x:v>1107</x:v>
      </x:c>
      <x:c r="C978" s="14" t="n">
        <x:v>46188</x:v>
      </x:c>
      <x:c r="D978" s="12" t="str">
        <x:v>Senin</x:v>
      </x:c>
      <x:c r="E978" s="12" t="str">
        <x:v>09:18:00</x:v>
      </x:c>
      <x:c r="F978" s="12" t="str">
        <x:v>All Shift Day</x:v>
      </x:c>
      <x:c r="G978" s="12" t="str">
        <x:v>STRL44G138</x:v>
      </x:c>
      <x:c r="H978" s="12" t="str">
        <x:v>Dump Truck</x:v>
      </x:c>
      <x:c r="I978" s="12" t="str">
        <x:v>DUMP TRUCK RENAULT KRANGE440-P6X4 A/T</x:v>
      </x:c>
      <x:c r="J978" s="16" t="n">
        <x:v>61</x:v>
      </x:c>
      <x:c r="K978" s="16" t="n">
        <x:v>5357</x:v>
      </x:c>
      <x:c r="L978" s="16" t="n">
        <x:v>5366</x:v>
      </x:c>
      <x:c r="M978" s="16" t="n">
        <x:v>9</x:v>
      </x:c>
      <x:c r="N978" s="16" t="n">
        <x:v>6.777777777777778</x:v>
      </x:c>
      <x:c r="O978" s="12" t="str">
        <x:v>FTRL44G004</x:v>
      </x:c>
      <x:c r="P978" s="12" t="str">
        <x:v>STRL44G138</x:v>
      </x:c>
      <x:c r="Q978" s="12" t="str"/>
      <x:c r="R978" s="12" t="str"/>
      <x:c r="S978" s="12" t="str"/>
      <x:c r="T978" s="12" t="str">
        <x:v>ABM</x:v>
      </x:c>
      <x:c r="U978" s="12" t="str"/>
      <x:c r="V978" s="12" t="str"/>
      <x:c r="W978" s="12" t="str"/>
      <x:c r="X978" s="12" t="str">
        <x:v>STRL44</x:v>
      </x:c>
      <x:c r="Y978" s="12" t="str">
        <x:v>RAFIF &amp; YOGI</x:v>
      </x:c>
      <x:c r="Z978" s="12" t="str">
        <x:v>PIT</x:v>
      </x:c>
      <x:c r="AA978" s="32" t="n">
        <x:f>IFERROR(VLOOKUP(G978,Master_Unit!$A$2:$N$78,7,FALSE),"")</x:f>
        <x:v>20</x:v>
      </x:c>
      <x:c r="AB978" s="32" t="n">
        <x:f>IF(OR(N978="",AA978=""),"",N978-AA978)</x:f>
        <x:v>-13.222222222222221</x:v>
      </x:c>
      <x:c r="AC978" s="20" t="n">
        <x:f>IF(OR(N978="",AA978="",AA978=0),"",AB978/AA978)</x:f>
        <x:v>-0.6611111111111111</x:v>
      </x:c>
      <x:c r="AD978" t="str">
        <x:f>IF(AA978="","NO STANDARD",IF(AC978&lt;=Config_Status!$B$2,"EFFICIENT",IF(AC978&lt;=Config_Status!$B$3,"NORMAL",IF(AC978&lt;=Config_Status!$B$4,"WARNING","OVER CONSUMPTION"))))</x:f>
        <x:v>EFFICIENT</x:v>
      </x:c>
      <x:c r="AE978" t="str">
        <x:f>IFERROR(VLOOKUP(G978,Master_Unit!$A$2:$N$78,13,FALSE),"UNIT NOT FOUND")</x:f>
        <x:v>Matched</x:v>
      </x:c>
    </x:row>
    <x:row r="979">
      <x:c r="A979" s="12" t="str">
        <x:v>FU-20260615-00978</x:v>
      </x:c>
      <x:c r="B979" s="12" t="n">
        <x:v>1108</x:v>
      </x:c>
      <x:c r="C979" s="14" t="n">
        <x:v>46188</x:v>
      </x:c>
      <x:c r="D979" s="12" t="str">
        <x:v>Senin</x:v>
      </x:c>
      <x:c r="E979" s="12" t="str">
        <x:v>09:22:00</x:v>
      </x:c>
      <x:c r="F979" s="12" t="str">
        <x:v>All Shift Day</x:v>
      </x:c>
      <x:c r="G979" s="12" t="str">
        <x:v>TLPT14G001</x:v>
      </x:c>
      <x:c r="H979" s="12" t="str">
        <x:v>Other</x:v>
      </x:c>
      <x:c r="I979" s="12" t="str">
        <x:v>TOWERLAMP PATRIA LS4-1400</x:v>
      </x:c>
      <x:c r="J979" s="16" t="n">
        <x:v>34</x:v>
      </x:c>
      <x:c r="K979" s="16" t="n">
        <x:v>17783.9</x:v>
      </x:c>
      <x:c r="L979" s="16" t="n">
        <x:v>17819.3</x:v>
      </x:c>
      <x:c r="M979" s="16" t="n">
        <x:v>35.39999999999782</x:v>
      </x:c>
      <x:c r="N979" s="16" t="n">
        <x:v>0.9604519774011891</x:v>
      </x:c>
      <x:c r="O979" s="12" t="str">
        <x:v>FTRL44G004</x:v>
      </x:c>
      <x:c r="P979" s="12" t="str">
        <x:v>TLPT14G001</x:v>
      </x:c>
      <x:c r="Q979" s="12" t="str"/>
      <x:c r="R979" s="12" t="str"/>
      <x:c r="S979" s="12" t="str"/>
      <x:c r="T979" s="12" t="str">
        <x:v>ABM</x:v>
      </x:c>
      <x:c r="U979" s="12" t="str"/>
      <x:c r="V979" s="12" t="str"/>
      <x:c r="W979" s="12" t="str"/>
      <x:c r="X979" s="12" t="str">
        <x:v>TLPT14</x:v>
      </x:c>
      <x:c r="Y979" s="12" t="str">
        <x:v>RAFIF &amp; YOGI</x:v>
      </x:c>
      <x:c r="Z979" s="12" t="str">
        <x:v>PIT</x:v>
      </x:c>
      <x:c r="AA979" s="32" t="str">
        <x:f>IFERROR(VLOOKUP(G979,Master_Unit!$A$2:$N$78,7,FALSE),"")</x:f>
      </x:c>
      <x:c r="AB979" s="32" t="str">
        <x:f>IF(OR(N979="",AA979=""),"",N979-AA979)</x:f>
      </x:c>
      <x:c r="AC979" s="20" t="str">
        <x:f>IF(OR(N979="",AA979="",AA979=0),"",AB979/AA979)</x:f>
      </x:c>
      <x:c r="AD979" t="str">
        <x:f>IF(AA979="","NO STANDARD",IF(AC979&lt;=Config_Status!$B$2,"EFFICIENT",IF(AC979&lt;=Config_Status!$B$3,"NORMAL",IF(AC979&lt;=Config_Status!$B$4,"WARNING","OVER CONSUMPTION"))))</x:f>
        <x:v>NO STANDARD</x:v>
      </x:c>
      <x:c r="AE979" t="str">
        <x:f>IFERROR(VLOOKUP(G979,Master_Unit!$A$2:$N$78,13,FALSE),"UNIT NOT FOUND")</x:f>
        <x:v>No Standard</x:v>
      </x:c>
    </x:row>
    <x:row r="980">
      <x:c r="A980" s="12" t="str">
        <x:v>FU-20260615-00979</x:v>
      </x:c>
      <x:c r="B980" s="12" t="n">
        <x:v>1109</x:v>
      </x:c>
      <x:c r="C980" s="14" t="n">
        <x:v>46188</x:v>
      </x:c>
      <x:c r="D980" s="12" t="str">
        <x:v>Senin</x:v>
      </x:c>
      <x:c r="E980" s="12" t="str">
        <x:v>09:31:00</x:v>
      </x:c>
      <x:c r="F980" s="12" t="str">
        <x:v>All Shift Day</x:v>
      </x:c>
      <x:c r="G980" s="12" t="str">
        <x:v>EXVV21G037</x:v>
      </x:c>
      <x:c r="H980" s="12" t="str">
        <x:v>Excavator</x:v>
      </x:c>
      <x:c r="I980" s="12" t="str">
        <x:v>EXCAVATOR VOLVO EC210D</x:v>
      </x:c>
      <x:c r="J980" s="16" t="n">
        <x:v>105</x:v>
      </x:c>
      <x:c r="K980" s="16" t="n">
        <x:v>6924.6</x:v>
      </x:c>
      <x:c r="L980" s="16" t="n">
        <x:v>6931.5</x:v>
      </x:c>
      <x:c r="M980" s="16" t="n">
        <x:v>6.899999999999636</x:v>
      </x:c>
      <x:c r="N980" s="16" t="n">
        <x:v>15.217391304348629</x:v>
      </x:c>
      <x:c r="O980" s="12" t="str">
        <x:v>FTRL44G004</x:v>
      </x:c>
      <x:c r="P980" s="12" t="str">
        <x:v>EXVV21G037</x:v>
      </x:c>
      <x:c r="Q980" s="12" t="str"/>
      <x:c r="R980" s="12" t="str"/>
      <x:c r="S980" s="12" t="str"/>
      <x:c r="T980" s="12" t="str">
        <x:v>ABM</x:v>
      </x:c>
      <x:c r="U980" s="12" t="str"/>
      <x:c r="V980" s="12" t="str"/>
      <x:c r="W980" s="12" t="str"/>
      <x:c r="X980" s="12" t="str">
        <x:v>EXVV21</x:v>
      </x:c>
      <x:c r="Y980" s="12" t="str">
        <x:v>RAFIF &amp; YOGI</x:v>
      </x:c>
      <x:c r="Z980" s="12" t="str">
        <x:v>PIT</x:v>
      </x:c>
      <x:c r="AA980" s="32" t="n">
        <x:f>IFERROR(VLOOKUP(G980,Master_Unit!$A$2:$N$78,7,FALSE),"")</x:f>
        <x:v>20</x:v>
      </x:c>
      <x:c r="AB980" s="32" t="n">
        <x:f>IF(OR(N980="",AA980=""),"",N980-AA980)</x:f>
        <x:v>-4.782608695651371</x:v>
      </x:c>
      <x:c r="AC980" s="20" t="n">
        <x:f>IF(OR(N980="",AA980="",AA980=0),"",AB980/AA980)</x:f>
        <x:v>-0.23913043478256854</x:v>
      </x:c>
      <x:c r="AD980" t="str">
        <x:f>IF(AA980="","NO STANDARD",IF(AC980&lt;=Config_Status!$B$2,"EFFICIENT",IF(AC980&lt;=Config_Status!$B$3,"NORMAL",IF(AC980&lt;=Config_Status!$B$4,"WARNING","OVER CONSUMPTION"))))</x:f>
        <x:v>EFFICIENT</x:v>
      </x:c>
      <x:c r="AE980" t="str">
        <x:f>IFERROR(VLOOKUP(G980,Master_Unit!$A$2:$N$78,13,FALSE),"UNIT NOT FOUND")</x:f>
        <x:v>Matched</x:v>
      </x:c>
    </x:row>
    <x:row r="981">
      <x:c r="A981" s="12" t="str">
        <x:v>FU-20260615-00980</x:v>
      </x:c>
      <x:c r="B981" s="12" t="n">
        <x:v>1110</x:v>
      </x:c>
      <x:c r="C981" s="14" t="n">
        <x:v>46188</x:v>
      </x:c>
      <x:c r="D981" s="12" t="str">
        <x:v>Senin</x:v>
      </x:c>
      <x:c r="E981" s="12" t="str">
        <x:v>06:25:00</x:v>
      </x:c>
      <x:c r="F981" s="12" t="str">
        <x:v>All Shift Day</x:v>
      </x:c>
      <x:c r="G981" s="12" t="str">
        <x:v>FTRL44G005</x:v>
      </x:c>
      <x:c r="H981" s="12" t="str">
        <x:v>Fuel Truck</x:v>
      </x:c>
      <x:c r="I981" s="12" t="str">
        <x:v>FUEL TRUCK RENAULT KRANGE440-P6X4 A/T</x:v>
      </x:c>
      <x:c r="J981" s="16" t="n">
        <x:v>80</x:v>
      </x:c>
      <x:c r="K981" s="16" t="n">
        <x:v>3680</x:v>
      </x:c>
      <x:c r="L981" s="16" t="n">
        <x:v>3694</x:v>
      </x:c>
      <x:c r="M981" s="16" t="n">
        <x:v>14</x:v>
      </x:c>
      <x:c r="N981" s="16" t="n">
        <x:v>5.714285714285714</x:v>
      </x:c>
      <x:c r="O981" s="12" t="str">
        <x:v>FTRL44G005</x:v>
      </x:c>
      <x:c r="P981" s="12" t="str">
        <x:v>FTRL44G005</x:v>
      </x:c>
      <x:c r="Q981" s="12" t="str"/>
      <x:c r="R981" s="12" t="str"/>
      <x:c r="S981" s="12" t="str"/>
      <x:c r="T981" s="12" t="str">
        <x:v>ABM</x:v>
      </x:c>
      <x:c r="U981" s="12" t="str"/>
      <x:c r="V981" s="12" t="str"/>
      <x:c r="W981" s="12" t="str"/>
      <x:c r="X981" s="12" t="str">
        <x:v>FTRL44</x:v>
      </x:c>
      <x:c r="Y981" s="12" t="str">
        <x:v>BADRI &amp; KAMRAN</x:v>
      </x:c>
      <x:c r="Z981" s="12" t="str">
        <x:v>SUPPORT</x:v>
      </x:c>
      <x:c r="AA981" s="32" t="n">
        <x:f>IFERROR(VLOOKUP(G981,Master_Unit!$A$2:$N$78,7,FALSE),"")</x:f>
        <x:v>13</x:v>
      </x:c>
      <x:c r="AB981" s="32" t="n">
        <x:f>IF(OR(N981="",AA981=""),"",N981-AA981)</x:f>
        <x:v>-7.285714285714286</x:v>
      </x:c>
      <x:c r="AC981" s="20" t="n">
        <x:f>IF(OR(N981="",AA981="",AA981=0),"",AB981/AA981)</x:f>
        <x:v>-0.5604395604395604</x:v>
      </x:c>
      <x:c r="AD981" t="str">
        <x:f>IF(AA981="","NO STANDARD",IF(AC981&lt;=Config_Status!$B$2,"EFFICIENT",IF(AC981&lt;=Config_Status!$B$3,"NORMAL",IF(AC981&lt;=Config_Status!$B$4,"WARNING","OVER CONSUMPTION"))))</x:f>
        <x:v>EFFICIENT</x:v>
      </x:c>
      <x:c r="AE981" t="str">
        <x:f>IFERROR(VLOOKUP(G981,Master_Unit!$A$2:$N$78,13,FALSE),"UNIT NOT FOUND")</x:f>
        <x:v>Matched</x:v>
      </x:c>
    </x:row>
    <x:row r="982">
      <x:c r="A982" s="12" t="str">
        <x:v>FU-20260615-00981</x:v>
      </x:c>
      <x:c r="B982" s="12" t="n">
        <x:v>1111</x:v>
      </x:c>
      <x:c r="C982" s="14" t="n">
        <x:v>46188</x:v>
      </x:c>
      <x:c r="D982" s="12" t="str">
        <x:v>Senin</x:v>
      </x:c>
      <x:c r="E982" s="12" t="str">
        <x:v>06:40:00</x:v>
      </x:c>
      <x:c r="F982" s="12" t="str">
        <x:v>All Shift Day</x:v>
      </x:c>
      <x:c r="G982" s="12" t="str">
        <x:v>EXVV35G006</x:v>
      </x:c>
      <x:c r="H982" s="12" t="str">
        <x:v>Excavator</x:v>
      </x:c>
      <x:c r="I982" s="12" t="str">
        <x:v>EXCAVATOR VOLVO EC350D</x:v>
      </x:c>
      <x:c r="J982" s="16" t="n">
        <x:v>283</x:v>
      </x:c>
      <x:c r="K982" s="16" t="n">
        <x:v>3220.4</x:v>
      </x:c>
      <x:c r="L982" s="16" t="n">
        <x:v>3224.4</x:v>
      </x:c>
      <x:c r="M982" s="16" t="n">
        <x:v>4</x:v>
      </x:c>
      <x:c r="N982" s="16" t="n">
        <x:v>70.75</x:v>
      </x:c>
      <x:c r="O982" s="12" t="str">
        <x:v>FTRL44G005</x:v>
      </x:c>
      <x:c r="P982" s="12" t="str">
        <x:v>EXVV35G006</x:v>
      </x:c>
      <x:c r="Q982" s="12" t="str"/>
      <x:c r="R982" s="12" t="str"/>
      <x:c r="S982" s="12" t="str"/>
      <x:c r="T982" s="12" t="str">
        <x:v>ABM</x:v>
      </x:c>
      <x:c r="U982" s="12" t="str"/>
      <x:c r="V982" s="12" t="str"/>
      <x:c r="W982" s="12" t="str"/>
      <x:c r="X982" s="12" t="str">
        <x:v>EXVV35</x:v>
      </x:c>
      <x:c r="Y982" s="12" t="str">
        <x:v>BADRI &amp; KAMRAN</x:v>
      </x:c>
      <x:c r="Z982" s="12" t="str">
        <x:v>SUPPORT</x:v>
      </x:c>
      <x:c r="AA982" s="32" t="n">
        <x:f>IFERROR(VLOOKUP(G982,Master_Unit!$A$2:$N$78,7,FALSE),"")</x:f>
        <x:v>25</x:v>
      </x:c>
      <x:c r="AB982" s="32" t="n">
        <x:f>IF(OR(N982="",AA982=""),"",N982-AA982)</x:f>
        <x:v>45.75</x:v>
      </x:c>
      <x:c r="AC982" s="20" t="n">
        <x:f>IF(OR(N982="",AA982="",AA982=0),"",AB982/AA982)</x:f>
        <x:v>1.83</x:v>
      </x:c>
      <x:c r="AD982" t="str">
        <x:f>IF(AA982="","NO STANDARD",IF(AC982&lt;=Config_Status!$B$2,"EFFICIENT",IF(AC982&lt;=Config_Status!$B$3,"NORMAL",IF(AC982&lt;=Config_Status!$B$4,"WARNING","OVER CONSUMPTION"))))</x:f>
        <x:v>OVER CONSUMPTION</x:v>
      </x:c>
      <x:c r="AE982" t="str">
        <x:f>IFERROR(VLOOKUP(G982,Master_Unit!$A$2:$N$78,13,FALSE),"UNIT NOT FOUND")</x:f>
        <x:v>Matched</x:v>
      </x:c>
    </x:row>
    <x:row r="983">
      <x:c r="A983" s="12" t="str">
        <x:v>FU-20260615-00982</x:v>
      </x:c>
      <x:c r="B983" s="12" t="n">
        <x:v>1112</x:v>
      </x:c>
      <x:c r="C983" s="14" t="n">
        <x:v>46188</x:v>
      </x:c>
      <x:c r="D983" s="12" t="str">
        <x:v>Senin</x:v>
      </x:c>
      <x:c r="E983" s="12" t="str">
        <x:v>06:47:00</x:v>
      </x:c>
      <x:c r="F983" s="12" t="str">
        <x:v>All Shift Day</x:v>
      </x:c>
      <x:c r="G983" s="12" t="str">
        <x:v>TLYM50G019</x:v>
      </x:c>
      <x:c r="H983" s="12" t="str">
        <x:v>Other</x:v>
      </x:c>
      <x:c r="I983" s="12" t="str">
        <x:v>TOWERLAMP YAMAGEN YDG5001SE-D-TLD4</x:v>
      </x:c>
      <x:c r="J983" s="16" t="n">
        <x:v>13</x:v>
      </x:c>
      <x:c r="K983" s="16" t="n">
        <x:v>4713.009999999999</x:v>
      </x:c>
      <x:c r="L983" s="16" t="n">
        <x:v>4723.01</x:v>
      </x:c>
      <x:c r="M983" s="16" t="n">
        <x:v>10.00000000000091</x:v>
      </x:c>
      <x:c r="N983" s="16" t="n">
        <x:v>1.2999999999998817</x:v>
      </x:c>
      <x:c r="O983" s="12" t="str">
        <x:v>FTRL44G005</x:v>
      </x:c>
      <x:c r="P983" s="12" t="str">
        <x:v>TLYM50G019</x:v>
      </x:c>
      <x:c r="Q983" s="12" t="str"/>
      <x:c r="R983" s="12" t="str"/>
      <x:c r="S983" s="12" t="str"/>
      <x:c r="T983" s="12" t="str">
        <x:v>ABM</x:v>
      </x:c>
      <x:c r="U983" s="12" t="str"/>
      <x:c r="V983" s="12" t="str"/>
      <x:c r="W983" s="12" t="str"/>
      <x:c r="X983" s="12" t="str">
        <x:v>TLYM50</x:v>
      </x:c>
      <x:c r="Y983" s="12" t="str">
        <x:v>BADRI &amp; KAMRAN</x:v>
      </x:c>
      <x:c r="Z983" s="12" t="str">
        <x:v>SUPPORT</x:v>
      </x:c>
      <x:c r="AA983" s="32" t="n">
        <x:f>IFERROR(VLOOKUP(G983,Master_Unit!$A$2:$N$78,7,FALSE),"")</x:f>
        <x:v>2</x:v>
      </x:c>
      <x:c r="AB983" s="32" t="n">
        <x:f>IF(OR(N983="",AA983=""),"",N983-AA983)</x:f>
        <x:v>-0.7000000000001183</x:v>
      </x:c>
      <x:c r="AC983" s="20" t="n">
        <x:f>IF(OR(N983="",AA983="",AA983=0),"",AB983/AA983)</x:f>
        <x:v>-0.35000000000005915</x:v>
      </x:c>
      <x:c r="AD983" t="str">
        <x:f>IF(AA983="","NO STANDARD",IF(AC983&lt;=Config_Status!$B$2,"EFFICIENT",IF(AC983&lt;=Config_Status!$B$3,"NORMAL",IF(AC983&lt;=Config_Status!$B$4,"WARNING","OVER CONSUMPTION"))))</x:f>
        <x:v>EFFICIENT</x:v>
      </x:c>
      <x:c r="AE983" t="str">
        <x:f>IFERROR(VLOOKUP(G983,Master_Unit!$A$2:$N$78,13,FALSE),"UNIT NOT FOUND")</x:f>
        <x:v>Matched</x:v>
      </x:c>
    </x:row>
    <x:row r="984">
      <x:c r="A984" s="12" t="str">
        <x:v>FU-20260615-00983</x:v>
      </x:c>
      <x:c r="B984" s="12" t="n">
        <x:v>1113</x:v>
      </x:c>
      <x:c r="C984" s="14" t="n">
        <x:v>46188</x:v>
      </x:c>
      <x:c r="D984" s="12" t="str">
        <x:v>Senin</x:v>
      </x:c>
      <x:c r="E984" s="12" t="str">
        <x:v>06:51:00</x:v>
      </x:c>
      <x:c r="F984" s="12" t="str">
        <x:v>All Shift Day</x:v>
      </x:c>
      <x:c r="G984" s="12" t="str">
        <x:v>TLYM50G020</x:v>
      </x:c>
      <x:c r="H984" s="12" t="str">
        <x:v>Other</x:v>
      </x:c>
      <x:c r="I984" s="12" t="str">
        <x:v>TOWERLAMP YAMAGEN YDG5001SE-D-TLD4</x:v>
      </x:c>
      <x:c r="J984" s="16" t="n">
        <x:v>10</x:v>
      </x:c>
      <x:c r="K984" s="16" t="n">
        <x:v>4571.74</x:v>
      </x:c>
      <x:c r="L984" s="16" t="n">
        <x:v>4573.99</x:v>
      </x:c>
      <x:c r="M984" s="16" t="n">
        <x:v>2.25</x:v>
      </x:c>
      <x:c r="N984" s="16" t="n">
        <x:v>4.444444444444445</x:v>
      </x:c>
      <x:c r="O984" s="12" t="str">
        <x:v>FTRL44G005</x:v>
      </x:c>
      <x:c r="P984" s="12" t="str">
        <x:v>TLYM50G020</x:v>
      </x:c>
      <x:c r="Q984" s="12" t="str"/>
      <x:c r="R984" s="12" t="str"/>
      <x:c r="S984" s="12" t="str"/>
      <x:c r="T984" s="12" t="str">
        <x:v>ABM</x:v>
      </x:c>
      <x:c r="U984" s="12" t="str"/>
      <x:c r="V984" s="12" t="str"/>
      <x:c r="W984" s="12" t="str"/>
      <x:c r="X984" s="12" t="str">
        <x:v>TLYM50</x:v>
      </x:c>
      <x:c r="Y984" s="12" t="str">
        <x:v>BADRI &amp; KAMRAN</x:v>
      </x:c>
      <x:c r="Z984" s="12" t="str">
        <x:v>PIT</x:v>
      </x:c>
      <x:c r="AA984" s="32" t="n">
        <x:f>IFERROR(VLOOKUP(G984,Master_Unit!$A$2:$N$78,7,FALSE),"")</x:f>
        <x:v>2</x:v>
      </x:c>
      <x:c r="AB984" s="32" t="n">
        <x:f>IF(OR(N984="",AA984=""),"",N984-AA984)</x:f>
        <x:v>2.4444444444444446</x:v>
      </x:c>
      <x:c r="AC984" s="20" t="n">
        <x:f>IF(OR(N984="",AA984="",AA984=0),"",AB984/AA984)</x:f>
        <x:v>1.2222222222222223</x:v>
      </x:c>
      <x:c r="AD984" t="str">
        <x:f>IF(AA984="","NO STANDARD",IF(AC984&lt;=Config_Status!$B$2,"EFFICIENT",IF(AC984&lt;=Config_Status!$B$3,"NORMAL",IF(AC984&lt;=Config_Status!$B$4,"WARNING","OVER CONSUMPTION"))))</x:f>
        <x:v>OVER CONSUMPTION</x:v>
      </x:c>
      <x:c r="AE984" t="str">
        <x:f>IFERROR(VLOOKUP(G984,Master_Unit!$A$2:$N$78,13,FALSE),"UNIT NOT FOUND")</x:f>
        <x:v>Matched</x:v>
      </x:c>
    </x:row>
    <x:row r="985">
      <x:c r="A985" s="12" t="str">
        <x:v>FU-20260615-00984</x:v>
      </x:c>
      <x:c r="B985" s="12" t="n">
        <x:v>1114</x:v>
      </x:c>
      <x:c r="C985" s="14" t="n">
        <x:v>46188</x:v>
      </x:c>
      <x:c r="D985" s="12" t="str">
        <x:v>Senin</x:v>
      </x:c>
      <x:c r="E985" s="12" t="str">
        <x:v>06:59:00</x:v>
      </x:c>
      <x:c r="F985" s="12" t="str">
        <x:v>All Shift Day</x:v>
      </x:c>
      <x:c r="G985" s="12" t="str">
        <x:v>EXVV21G036</x:v>
      </x:c>
      <x:c r="H985" s="12" t="str">
        <x:v>Excavator</x:v>
      </x:c>
      <x:c r="I985" s="12" t="str">
        <x:v>EXCAVATOR VOLVO EC210D</x:v>
      </x:c>
      <x:c r="J985" s="16" t="n">
        <x:v>112</x:v>
      </x:c>
      <x:c r="K985" s="16" t="n">
        <x:v>7626.3</x:v>
      </x:c>
      <x:c r="L985" s="16" t="n">
        <x:v>7633.2</x:v>
      </x:c>
      <x:c r="M985" s="16" t="n">
        <x:v>6.899999999999636</x:v>
      </x:c>
      <x:c r="N985" s="16" t="n">
        <x:v>16.23188405797187</x:v>
      </x:c>
      <x:c r="O985" s="12" t="str">
        <x:v>FTRL44G005</x:v>
      </x:c>
      <x:c r="P985" s="12" t="str">
        <x:v>EXVV21G036</x:v>
      </x:c>
      <x:c r="Q985" s="12" t="str"/>
      <x:c r="R985" s="12" t="str"/>
      <x:c r="S985" s="12" t="str"/>
      <x:c r="T985" s="12" t="str">
        <x:v>ABM</x:v>
      </x:c>
      <x:c r="U985" s="12" t="str"/>
      <x:c r="V985" s="12" t="str"/>
      <x:c r="W985" s="12" t="str"/>
      <x:c r="X985" s="12" t="str">
        <x:v>EXVV21</x:v>
      </x:c>
      <x:c r="Y985" s="12" t="str">
        <x:v>BADRI &amp; KAMRAN</x:v>
      </x:c>
      <x:c r="Z985" s="12" t="str">
        <x:v>SUPPORT</x:v>
      </x:c>
      <x:c r="AA985" s="32" t="n">
        <x:f>IFERROR(VLOOKUP(G985,Master_Unit!$A$2:$N$78,7,FALSE),"")</x:f>
        <x:v>20</x:v>
      </x:c>
      <x:c r="AB985" s="32" t="n">
        <x:f>IF(OR(N985="",AA985=""),"",N985-AA985)</x:f>
        <x:v>-3.7681159420281283</x:v>
      </x:c>
      <x:c r="AC985" s="20" t="n">
        <x:f>IF(OR(N985="",AA985="",AA985=0),"",AB985/AA985)</x:f>
        <x:v>-0.18840579710140642</x:v>
      </x:c>
      <x:c r="AD985" t="str">
        <x:f>IF(AA985="","NO STANDARD",IF(AC985&lt;=Config_Status!$B$2,"EFFICIENT",IF(AC985&lt;=Config_Status!$B$3,"NORMAL",IF(AC985&lt;=Config_Status!$B$4,"WARNING","OVER CONSUMPTION"))))</x:f>
        <x:v>EFFICIENT</x:v>
      </x:c>
      <x:c r="AE985" t="str">
        <x:f>IFERROR(VLOOKUP(G985,Master_Unit!$A$2:$N$78,13,FALSE),"UNIT NOT FOUND")</x:f>
        <x:v>Matched</x:v>
      </x:c>
    </x:row>
    <x:row r="986">
      <x:c r="A986" s="12" t="str">
        <x:v>FU-20260615-00985</x:v>
      </x:c>
      <x:c r="B986" s="12" t="n">
        <x:v>1115</x:v>
      </x:c>
      <x:c r="C986" s="14" t="n">
        <x:v>46188</x:v>
      </x:c>
      <x:c r="D986" s="12" t="str">
        <x:v>Senin</x:v>
      </x:c>
      <x:c r="E986" s="12" t="str">
        <x:v>07:45:00</x:v>
      </x:c>
      <x:c r="F986" s="12" t="str">
        <x:v>All Shift Day</x:v>
      </x:c>
      <x:c r="G986" s="12" t="str">
        <x:v>EXVV21G041</x:v>
      </x:c>
      <x:c r="H986" s="12" t="str">
        <x:v>Excavator</x:v>
      </x:c>
      <x:c r="I986" s="12" t="str">
        <x:v>EXCAVATOR VOLVO EC210D</x:v>
      </x:c>
      <x:c r="J986" s="16" t="n">
        <x:v>219</x:v>
      </x:c>
      <x:c r="K986" s="16" t="n">
        <x:v>4574.3</x:v>
      </x:c>
      <x:c r="L986" s="16" t="n">
        <x:v>4583.5</x:v>
      </x:c>
      <x:c r="M986" s="16" t="n">
        <x:v>9.199999999999818</x:v>
      </x:c>
      <x:c r="N986" s="16" t="n">
        <x:v>23.804347826087426</x:v>
      </x:c>
      <x:c r="O986" s="12" t="str">
        <x:v>FTRL44G005</x:v>
      </x:c>
      <x:c r="P986" s="12" t="str">
        <x:v>EXVV21G041</x:v>
      </x:c>
      <x:c r="Q986" s="12" t="str"/>
      <x:c r="R986" s="12" t="str"/>
      <x:c r="S986" s="12" t="str"/>
      <x:c r="T986" s="12" t="str">
        <x:v>ABM</x:v>
      </x:c>
      <x:c r="U986" s="12" t="str"/>
      <x:c r="V986" s="12" t="str"/>
      <x:c r="W986" s="12" t="str"/>
      <x:c r="X986" s="12" t="str">
        <x:v>EXVV21</x:v>
      </x:c>
      <x:c r="Y986" s="12" t="str">
        <x:v>BADRI &amp; KAMRAN</x:v>
      </x:c>
      <x:c r="Z986" s="12" t="str">
        <x:v>PIT</x:v>
      </x:c>
      <x:c r="AA986" s="32" t="n">
        <x:f>IFERROR(VLOOKUP(G986,Master_Unit!$A$2:$N$78,7,FALSE),"")</x:f>
        <x:v>20</x:v>
      </x:c>
      <x:c r="AB986" s="32" t="n">
        <x:f>IF(OR(N986="",AA986=""),"",N986-AA986)</x:f>
        <x:v>3.804347826087426</x:v>
      </x:c>
      <x:c r="AC986" s="20" t="n">
        <x:f>IF(OR(N986="",AA986="",AA986=0),"",AB986/AA986)</x:f>
        <x:v>0.1902173913043713</x:v>
      </x:c>
      <x:c r="AD986" t="str">
        <x:f>IF(AA986="","NO STANDARD",IF(AC986&lt;=Config_Status!$B$2,"EFFICIENT",IF(AC986&lt;=Config_Status!$B$3,"NORMAL",IF(AC986&lt;=Config_Status!$B$4,"WARNING","OVER CONSUMPTION"))))</x:f>
        <x:v>WARNING</x:v>
      </x:c>
      <x:c r="AE986" t="str">
        <x:f>IFERROR(VLOOKUP(G986,Master_Unit!$A$2:$N$78,13,FALSE),"UNIT NOT FOUND")</x:f>
        <x:v>Matched</x:v>
      </x:c>
    </x:row>
    <x:row r="987">
      <x:c r="A987" s="12" t="str">
        <x:v>FU-20260615-00986</x:v>
      </x:c>
      <x:c r="B987" s="12" t="n">
        <x:v>1116</x:v>
      </x:c>
      <x:c r="C987" s="14" t="n">
        <x:v>46188</x:v>
      </x:c>
      <x:c r="D987" s="12" t="str">
        <x:v>Senin</x:v>
      </x:c>
      <x:c r="E987" s="12" t="str">
        <x:v>07:51:00</x:v>
      </x:c>
      <x:c r="F987" s="12" t="str">
        <x:v>All Shift Day</x:v>
      </x:c>
      <x:c r="G987" s="12" t="str">
        <x:v>STRL44G154</x:v>
      </x:c>
      <x:c r="H987" s="12" t="str">
        <x:v>Dump Truck</x:v>
      </x:c>
      <x:c r="I987" s="12" t="str">
        <x:v>DUMP TRUCK RENAULT KRANGE440-P6X4 A/T</x:v>
      </x:c>
      <x:c r="J987" s="16" t="n">
        <x:v>214</x:v>
      </x:c>
      <x:c r="K987" s="16" t="n">
        <x:v>4145</x:v>
      </x:c>
      <x:c r="L987" s="16" t="n">
        <x:v>4151</x:v>
      </x:c>
      <x:c r="M987" s="16" t="n">
        <x:v>6</x:v>
      </x:c>
      <x:c r="N987" s="16" t="n">
        <x:v>35.666666666666664</x:v>
      </x:c>
      <x:c r="O987" s="12" t="str">
        <x:v>FTRL44G005</x:v>
      </x:c>
      <x:c r="P987" s="12" t="str">
        <x:v>STRL44G154</x:v>
      </x:c>
      <x:c r="Q987" s="12" t="str"/>
      <x:c r="R987" s="12" t="str"/>
      <x:c r="S987" s="12" t="str"/>
      <x:c r="T987" s="12" t="str">
        <x:v>ABM</x:v>
      </x:c>
      <x:c r="U987" s="12" t="str"/>
      <x:c r="V987" s="12" t="str"/>
      <x:c r="W987" s="12" t="str"/>
      <x:c r="X987" s="12" t="str">
        <x:v>STRL44</x:v>
      </x:c>
      <x:c r="Y987" s="12" t="str">
        <x:v>BADRI &amp; KAMRAN</x:v>
      </x:c>
      <x:c r="Z987" s="12" t="str">
        <x:v>PIT</x:v>
      </x:c>
      <x:c r="AA987" s="32" t="n">
        <x:f>IFERROR(VLOOKUP(G987,Master_Unit!$A$2:$N$78,7,FALSE),"")</x:f>
        <x:v>20</x:v>
      </x:c>
      <x:c r="AB987" s="32" t="n">
        <x:f>IF(OR(N987="",AA987=""),"",N987-AA987)</x:f>
        <x:v>15.666666666666664</x:v>
      </x:c>
      <x:c r="AC987" s="20" t="n">
        <x:f>IF(OR(N987="",AA987="",AA987=0),"",AB987/AA987)</x:f>
        <x:v>0.7833333333333332</x:v>
      </x:c>
      <x:c r="AD987" t="str">
        <x:f>IF(AA987="","NO STANDARD",IF(AC987&lt;=Config_Status!$B$2,"EFFICIENT",IF(AC987&lt;=Config_Status!$B$3,"NORMAL",IF(AC987&lt;=Config_Status!$B$4,"WARNING","OVER CONSUMPTION"))))</x:f>
        <x:v>OVER CONSUMPTION</x:v>
      </x:c>
      <x:c r="AE987" t="str">
        <x:f>IFERROR(VLOOKUP(G987,Master_Unit!$A$2:$N$78,13,FALSE),"UNIT NOT FOUND")</x:f>
        <x:v>Matched</x:v>
      </x:c>
    </x:row>
    <x:row r="988">
      <x:c r="A988" s="12" t="str">
        <x:v>FU-20260615-00987</x:v>
      </x:c>
      <x:c r="B988" s="12" t="n">
        <x:v>1117</x:v>
      </x:c>
      <x:c r="C988" s="14" t="n">
        <x:v>46188</x:v>
      </x:c>
      <x:c r="D988" s="12" t="str">
        <x:v>Senin</x:v>
      </x:c>
      <x:c r="E988" s="12" t="str">
        <x:v>08:10:00</x:v>
      </x:c>
      <x:c r="F988" s="12" t="str">
        <x:v>All Shift Day</x:v>
      </x:c>
      <x:c r="G988" s="12" t="str">
        <x:v>STRL44G146</x:v>
      </x:c>
      <x:c r="H988" s="12" t="str">
        <x:v>Dump Truck</x:v>
      </x:c>
      <x:c r="I988" s="12" t="str">
        <x:v>DUMP TRUCK RENAULT KRANGE440-P6X4 A/T</x:v>
      </x:c>
      <x:c r="J988" s="16" t="n">
        <x:v>213</x:v>
      </x:c>
      <x:c r="K988" s="16" t="n">
        <x:v>4992</x:v>
      </x:c>
      <x:c r="L988" s="16" t="n">
        <x:v>4999</x:v>
      </x:c>
      <x:c r="M988" s="16" t="n">
        <x:v>7</x:v>
      </x:c>
      <x:c r="N988" s="16" t="n">
        <x:v>30.428571428571427</x:v>
      </x:c>
      <x:c r="O988" s="12" t="str">
        <x:v>FTRL44G005</x:v>
      </x:c>
      <x:c r="P988" s="12" t="str">
        <x:v>STRL44G146</x:v>
      </x:c>
      <x:c r="Q988" s="12" t="str"/>
      <x:c r="R988" s="12" t="str"/>
      <x:c r="S988" s="12" t="str"/>
      <x:c r="T988" s="12" t="str">
        <x:v>ABM</x:v>
      </x:c>
      <x:c r="U988" s="12" t="str"/>
      <x:c r="V988" s="12" t="str"/>
      <x:c r="W988" s="12" t="str"/>
      <x:c r="X988" s="12" t="str">
        <x:v>STRL44</x:v>
      </x:c>
      <x:c r="Y988" s="12" t="str">
        <x:v>BADRI &amp; KAMRAN</x:v>
      </x:c>
      <x:c r="Z988" s="12" t="str">
        <x:v>PIT</x:v>
      </x:c>
      <x:c r="AA988" s="32" t="n">
        <x:f>IFERROR(VLOOKUP(G988,Master_Unit!$A$2:$N$78,7,FALSE),"")</x:f>
        <x:v>20</x:v>
      </x:c>
      <x:c r="AB988" s="32" t="n">
        <x:f>IF(OR(N988="",AA988=""),"",N988-AA988)</x:f>
        <x:v>10.428571428571427</x:v>
      </x:c>
      <x:c r="AC988" s="20" t="n">
        <x:f>IF(OR(N988="",AA988="",AA988=0),"",AB988/AA988)</x:f>
        <x:v>0.5214285714285714</x:v>
      </x:c>
      <x:c r="AD988" t="str">
        <x:f>IF(AA988="","NO STANDARD",IF(AC988&lt;=Config_Status!$B$2,"EFFICIENT",IF(AC988&lt;=Config_Status!$B$3,"NORMAL",IF(AC988&lt;=Config_Status!$B$4,"WARNING","OVER CONSUMPTION"))))</x:f>
        <x:v>OVER CONSUMPTION</x:v>
      </x:c>
      <x:c r="AE988" t="str">
        <x:f>IFERROR(VLOOKUP(G988,Master_Unit!$A$2:$N$78,13,FALSE),"UNIT NOT FOUND")</x:f>
        <x:v>Matched</x:v>
      </x:c>
    </x:row>
    <x:row r="989">
      <x:c r="A989" s="12" t="str">
        <x:v>FU-20260615-00988</x:v>
      </x:c>
      <x:c r="B989" s="12" t="n">
        <x:v>1118</x:v>
      </x:c>
      <x:c r="C989" s="14" t="n">
        <x:v>46188</x:v>
      </x:c>
      <x:c r="D989" s="12" t="str">
        <x:v>Senin</x:v>
      </x:c>
      <x:c r="E989" s="12" t="str">
        <x:v>08:15:00</x:v>
      </x:c>
      <x:c r="F989" s="12" t="str">
        <x:v>All Shift Day</x:v>
      </x:c>
      <x:c r="G989" s="12" t="str">
        <x:v>STRL44G145</x:v>
      </x:c>
      <x:c r="H989" s="12" t="str">
        <x:v>Dump Truck</x:v>
      </x:c>
      <x:c r="I989" s="12" t="str">
        <x:v>DUMP TRUCK RENAULT KRANGE440-P6X4 A/T</x:v>
      </x:c>
      <x:c r="J989" s="16" t="n">
        <x:v>213</x:v>
      </x:c>
      <x:c r="K989" s="16" t="n">
        <x:v>4996</x:v>
      </x:c>
      <x:c r="L989" s="16" t="n">
        <x:v>5007</x:v>
      </x:c>
      <x:c r="M989" s="16" t="n">
        <x:v>11</x:v>
      </x:c>
      <x:c r="N989" s="16" t="n">
        <x:v>19.363636363636363</x:v>
      </x:c>
      <x:c r="O989" s="12" t="str">
        <x:v>FTRL44G005</x:v>
      </x:c>
      <x:c r="P989" s="12" t="str">
        <x:v>STRL44G145</x:v>
      </x:c>
      <x:c r="Q989" s="12" t="str"/>
      <x:c r="R989" s="12" t="str"/>
      <x:c r="S989" s="12" t="str"/>
      <x:c r="T989" s="12" t="str">
        <x:v>ABM</x:v>
      </x:c>
      <x:c r="U989" s="12" t="str"/>
      <x:c r="V989" s="12" t="str"/>
      <x:c r="W989" s="12" t="str"/>
      <x:c r="X989" s="12" t="str">
        <x:v>STRL44</x:v>
      </x:c>
      <x:c r="Y989" s="12" t="str">
        <x:v>BADRI &amp; KAMRAN</x:v>
      </x:c>
      <x:c r="Z989" s="12" t="str">
        <x:v>PIT</x:v>
      </x:c>
      <x:c r="AA989" s="32" t="n">
        <x:f>IFERROR(VLOOKUP(G989,Master_Unit!$A$2:$N$78,7,FALSE),"")</x:f>
        <x:v>20</x:v>
      </x:c>
      <x:c r="AB989" s="32" t="n">
        <x:f>IF(OR(N989="",AA989=""),"",N989-AA989)</x:f>
        <x:v>-0.6363636363636367</x:v>
      </x:c>
      <x:c r="AC989" s="20" t="n">
        <x:f>IF(OR(N989="",AA989="",AA989=0),"",AB989/AA989)</x:f>
        <x:v>-0.031818181818181836</x:v>
      </x:c>
      <x:c r="AD989" t="str">
        <x:f>IF(AA989="","NO STANDARD",IF(AC989&lt;=Config_Status!$B$2,"EFFICIENT",IF(AC989&lt;=Config_Status!$B$3,"NORMAL",IF(AC989&lt;=Config_Status!$B$4,"WARNING","OVER CONSUMPTION"))))</x:f>
        <x:v>NORMAL</x:v>
      </x:c>
      <x:c r="AE989" t="str">
        <x:f>IFERROR(VLOOKUP(G989,Master_Unit!$A$2:$N$78,13,FALSE),"UNIT NOT FOUND")</x:f>
        <x:v>Matched</x:v>
      </x:c>
    </x:row>
    <x:row r="990">
      <x:c r="A990" s="12" t="str">
        <x:v>FU-20260615-00989</x:v>
      </x:c>
      <x:c r="B990" s="12" t="n">
        <x:v>1119</x:v>
      </x:c>
      <x:c r="C990" s="14" t="n">
        <x:v>46188</x:v>
      </x:c>
      <x:c r="D990" s="12" t="str">
        <x:v>Senin</x:v>
      </x:c>
      <x:c r="E990" s="12" t="str">
        <x:v>08:23:00</x:v>
      </x:c>
      <x:c r="F990" s="12" t="str">
        <x:v>All Shift Day</x:v>
      </x:c>
      <x:c r="G990" s="12" t="str">
        <x:v>STRL44G156</x:v>
      </x:c>
      <x:c r="H990" s="12" t="str">
        <x:v>Dump Truck</x:v>
      </x:c>
      <x:c r="I990" s="12" t="str">
        <x:v>DUMP TRUCK RENAULT KRANGE440-P6X4 A/T</x:v>
      </x:c>
      <x:c r="J990" s="16" t="n">
        <x:v>213</x:v>
      </x:c>
      <x:c r="K990" s="16" t="n">
        <x:v>3826</x:v>
      </x:c>
      <x:c r="L990" s="16" t="n">
        <x:v>3835</x:v>
      </x:c>
      <x:c r="M990" s="16" t="n">
        <x:v>9</x:v>
      </x:c>
      <x:c r="N990" s="16" t="n">
        <x:v>23.666666666666668</x:v>
      </x:c>
      <x:c r="O990" s="12" t="str">
        <x:v>FTRL44G005</x:v>
      </x:c>
      <x:c r="P990" s="12" t="str">
        <x:v>STRL44G156</x:v>
      </x:c>
      <x:c r="Q990" s="12" t="str"/>
      <x:c r="R990" s="12" t="str"/>
      <x:c r="S990" s="12" t="str"/>
      <x:c r="T990" s="12" t="str">
        <x:v>ABM</x:v>
      </x:c>
      <x:c r="U990" s="12" t="str"/>
      <x:c r="V990" s="12" t="str"/>
      <x:c r="W990" s="12" t="str"/>
      <x:c r="X990" s="12" t="str">
        <x:v>STRL44</x:v>
      </x:c>
      <x:c r="Y990" s="12" t="str">
        <x:v>BADRI &amp; KAMRAN</x:v>
      </x:c>
      <x:c r="Z990" s="12" t="str">
        <x:v>PIT</x:v>
      </x:c>
      <x:c r="AA990" s="32" t="n">
        <x:f>IFERROR(VLOOKUP(G990,Master_Unit!$A$2:$N$78,7,FALSE),"")</x:f>
        <x:v>20</x:v>
      </x:c>
      <x:c r="AB990" s="32" t="n">
        <x:f>IF(OR(N990="",AA990=""),"",N990-AA990)</x:f>
        <x:v>3.666666666666668</x:v>
      </x:c>
      <x:c r="AC990" s="20" t="n">
        <x:f>IF(OR(N990="",AA990="",AA990=0),"",AB990/AA990)</x:f>
        <x:v>0.1833333333333334</x:v>
      </x:c>
      <x:c r="AD990" t="str">
        <x:f>IF(AA990="","NO STANDARD",IF(AC990&lt;=Config_Status!$B$2,"EFFICIENT",IF(AC990&lt;=Config_Status!$B$3,"NORMAL",IF(AC990&lt;=Config_Status!$B$4,"WARNING","OVER CONSUMPTION"))))</x:f>
        <x:v>WARNING</x:v>
      </x:c>
      <x:c r="AE990" t="str">
        <x:f>IFERROR(VLOOKUP(G990,Master_Unit!$A$2:$N$78,13,FALSE),"UNIT NOT FOUND")</x:f>
        <x:v>Matched</x:v>
      </x:c>
    </x:row>
    <x:row r="991">
      <x:c r="A991" s="12" t="str">
        <x:v>FU-20260615-00990</x:v>
      </x:c>
      <x:c r="B991" s="12" t="n">
        <x:v>1120</x:v>
      </x:c>
      <x:c r="C991" s="14" t="n">
        <x:v>46188</x:v>
      </x:c>
      <x:c r="D991" s="12" t="str">
        <x:v>Senin</x:v>
      </x:c>
      <x:c r="E991" s="12" t="str">
        <x:v>08:30:00</x:v>
      </x:c>
      <x:c r="F991" s="12" t="str">
        <x:v>All Shift Day</x:v>
      </x:c>
      <x:c r="G991" s="12" t="str">
        <x:v>STRL44G157</x:v>
      </x:c>
      <x:c r="H991" s="12" t="str">
        <x:v>Dump Truck</x:v>
      </x:c>
      <x:c r="I991" s="12" t="str">
        <x:v>DUMP TRUCK RENAULT KRANGE440-P6X4 A/T</x:v>
      </x:c>
      <x:c r="J991" s="16" t="n">
        <x:v>213</x:v>
      </x:c>
      <x:c r="K991" s="16" t="n">
        <x:v>4119</x:v>
      </x:c>
      <x:c r="L991" s="16" t="n">
        <x:v>4127</x:v>
      </x:c>
      <x:c r="M991" s="16" t="n">
        <x:v>8</x:v>
      </x:c>
      <x:c r="N991" s="16" t="n">
        <x:v>26.625</x:v>
      </x:c>
      <x:c r="O991" s="12" t="str">
        <x:v>FTRL44G005</x:v>
      </x:c>
      <x:c r="P991" s="12" t="str">
        <x:v>STRL44G157</x:v>
      </x:c>
      <x:c r="Q991" s="12" t="str"/>
      <x:c r="R991" s="12" t="str"/>
      <x:c r="S991" s="12" t="str"/>
      <x:c r="T991" s="12" t="str">
        <x:v>ABM</x:v>
      </x:c>
      <x:c r="U991" s="12" t="str"/>
      <x:c r="V991" s="12" t="str"/>
      <x:c r="W991" s="12" t="str"/>
      <x:c r="X991" s="12" t="str">
        <x:v>STRL44</x:v>
      </x:c>
      <x:c r="Y991" s="12" t="str">
        <x:v>BADRI &amp; KAMRAN</x:v>
      </x:c>
      <x:c r="Z991" s="12" t="str">
        <x:v>SUPPORT</x:v>
      </x:c>
      <x:c r="AA991" s="32" t="n">
        <x:f>IFERROR(VLOOKUP(G991,Master_Unit!$A$2:$N$78,7,FALSE),"")</x:f>
        <x:v>20</x:v>
      </x:c>
      <x:c r="AB991" s="32" t="n">
        <x:f>IF(OR(N991="",AA991=""),"",N991-AA991)</x:f>
        <x:v>6.625</x:v>
      </x:c>
      <x:c r="AC991" s="20" t="n">
        <x:f>IF(OR(N991="",AA991="",AA991=0),"",AB991/AA991)</x:f>
        <x:v>0.33125</x:v>
      </x:c>
      <x:c r="AD991" t="str">
        <x:f>IF(AA991="","NO STANDARD",IF(AC991&lt;=Config_Status!$B$2,"EFFICIENT",IF(AC991&lt;=Config_Status!$B$3,"NORMAL",IF(AC991&lt;=Config_Status!$B$4,"WARNING","OVER CONSUMPTION"))))</x:f>
        <x:v>OVER CONSUMPTION</x:v>
      </x:c>
      <x:c r="AE991" t="str">
        <x:f>IFERROR(VLOOKUP(G991,Master_Unit!$A$2:$N$78,13,FALSE),"UNIT NOT FOUND")</x:f>
        <x:v>Matched</x:v>
      </x:c>
    </x:row>
    <x:row r="992">
      <x:c r="A992" s="12" t="str">
        <x:v>FU-20260615-00991</x:v>
      </x:c>
      <x:c r="B992" s="12" t="n">
        <x:v>1121</x:v>
      </x:c>
      <x:c r="C992" s="14" t="n">
        <x:v>46188</x:v>
      </x:c>
      <x:c r="D992" s="12" t="str">
        <x:v>Senin</x:v>
      </x:c>
      <x:c r="E992" s="12" t="str">
        <x:v>08:43:00</x:v>
      </x:c>
      <x:c r="F992" s="12" t="str">
        <x:v>All Shift Day</x:v>
      </x:c>
      <x:c r="G992" s="12" t="str">
        <x:v>STRL44G143</x:v>
      </x:c>
      <x:c r="H992" s="12" t="str">
        <x:v>Dump Truck</x:v>
      </x:c>
      <x:c r="I992" s="12" t="str">
        <x:v>DUMP TRUCK RENAULT KRANGE440-P6X4 A/T</x:v>
      </x:c>
      <x:c r="J992" s="16" t="n">
        <x:v>213</x:v>
      </x:c>
      <x:c r="K992" s="16" t="n">
        <x:v>5289</x:v>
      </x:c>
      <x:c r="L992" s="16" t="n">
        <x:v>5298</x:v>
      </x:c>
      <x:c r="M992" s="16" t="n">
        <x:v>9</x:v>
      </x:c>
      <x:c r="N992" s="16" t="n">
        <x:v>23.666666666666668</x:v>
      </x:c>
      <x:c r="O992" s="12" t="str">
        <x:v>FTRL44G005</x:v>
      </x:c>
      <x:c r="P992" s="12" t="str">
        <x:v>STRL44G143</x:v>
      </x:c>
      <x:c r="Q992" s="12" t="str"/>
      <x:c r="R992" s="12" t="str"/>
      <x:c r="S992" s="12" t="str"/>
      <x:c r="T992" s="12" t="str">
        <x:v>ABM</x:v>
      </x:c>
      <x:c r="U992" s="12" t="str"/>
      <x:c r="V992" s="12" t="str"/>
      <x:c r="W992" s="12" t="str"/>
      <x:c r="X992" s="12" t="str">
        <x:v>STRL44</x:v>
      </x:c>
      <x:c r="Y992" s="12" t="str">
        <x:v>BADRI &amp; KAMRAN</x:v>
      </x:c>
      <x:c r="Z992" s="12" t="str">
        <x:v>PIT</x:v>
      </x:c>
      <x:c r="AA992" s="32" t="n">
        <x:f>IFERROR(VLOOKUP(G992,Master_Unit!$A$2:$N$78,7,FALSE),"")</x:f>
        <x:v>20</x:v>
      </x:c>
      <x:c r="AB992" s="32" t="n">
        <x:f>IF(OR(N992="",AA992=""),"",N992-AA992)</x:f>
        <x:v>3.666666666666668</x:v>
      </x:c>
      <x:c r="AC992" s="20" t="n">
        <x:f>IF(OR(N992="",AA992="",AA992=0),"",AB992/AA992)</x:f>
        <x:v>0.1833333333333334</x:v>
      </x:c>
      <x:c r="AD992" t="str">
        <x:f>IF(AA992="","NO STANDARD",IF(AC992&lt;=Config_Status!$B$2,"EFFICIENT",IF(AC992&lt;=Config_Status!$B$3,"NORMAL",IF(AC992&lt;=Config_Status!$B$4,"WARNING","OVER CONSUMPTION"))))</x:f>
        <x:v>WARNING</x:v>
      </x:c>
      <x:c r="AE992" t="str">
        <x:f>IFERROR(VLOOKUP(G992,Master_Unit!$A$2:$N$78,13,FALSE),"UNIT NOT FOUND")</x:f>
        <x:v>Matched</x:v>
      </x:c>
    </x:row>
    <x:row r="993">
      <x:c r="A993" s="12" t="str">
        <x:v>FU-20260615-00992</x:v>
      </x:c>
      <x:c r="B993" s="12" t="n">
        <x:v>1122</x:v>
      </x:c>
      <x:c r="C993" s="14" t="n">
        <x:v>46188</x:v>
      </x:c>
      <x:c r="D993" s="12" t="str">
        <x:v>Senin</x:v>
      </x:c>
      <x:c r="E993" s="12" t="str">
        <x:v>08:51:00</x:v>
      </x:c>
      <x:c r="F993" s="12" t="str">
        <x:v>All Shift Day</x:v>
      </x:c>
      <x:c r="G993" s="12" t="str">
        <x:v>STRL44G149</x:v>
      </x:c>
      <x:c r="H993" s="12" t="str">
        <x:v>Dump Truck</x:v>
      </x:c>
      <x:c r="I993" s="12" t="str">
        <x:v>DUMP TRUCK RENAULT KRANGE440-P6X4 A/T</x:v>
      </x:c>
      <x:c r="J993" s="16" t="n">
        <x:v>213</x:v>
      </x:c>
      <x:c r="K993" s="16" t="n">
        <x:v>4349</x:v>
      </x:c>
      <x:c r="L993" s="16" t="n">
        <x:v>4357</x:v>
      </x:c>
      <x:c r="M993" s="16" t="n">
        <x:v>8</x:v>
      </x:c>
      <x:c r="N993" s="16" t="n">
        <x:v>26.625</x:v>
      </x:c>
      <x:c r="O993" s="12" t="str">
        <x:v>FTRL44G005</x:v>
      </x:c>
      <x:c r="P993" s="12" t="str">
        <x:v>STRL44G149</x:v>
      </x:c>
      <x:c r="Q993" s="12" t="str"/>
      <x:c r="R993" s="12" t="str"/>
      <x:c r="S993" s="12" t="str"/>
      <x:c r="T993" s="12" t="str">
        <x:v>ABM</x:v>
      </x:c>
      <x:c r="U993" s="12" t="str"/>
      <x:c r="V993" s="12" t="str"/>
      <x:c r="W993" s="12" t="str"/>
      <x:c r="X993" s="12" t="str">
        <x:v>STRL44</x:v>
      </x:c>
      <x:c r="Y993" s="12" t="str">
        <x:v>BADRI &amp; KAMRAN</x:v>
      </x:c>
      <x:c r="Z993" s="12" t="str">
        <x:v>PIT</x:v>
      </x:c>
      <x:c r="AA993" s="32" t="n">
        <x:f>IFERROR(VLOOKUP(G993,Master_Unit!$A$2:$N$78,7,FALSE),"")</x:f>
        <x:v>20</x:v>
      </x:c>
      <x:c r="AB993" s="32" t="n">
        <x:f>IF(OR(N993="",AA993=""),"",N993-AA993)</x:f>
        <x:v>6.625</x:v>
      </x:c>
      <x:c r="AC993" s="20" t="n">
        <x:f>IF(OR(N993="",AA993="",AA993=0),"",AB993/AA993)</x:f>
        <x:v>0.33125</x:v>
      </x:c>
      <x:c r="AD993" t="str">
        <x:f>IF(AA993="","NO STANDARD",IF(AC993&lt;=Config_Status!$B$2,"EFFICIENT",IF(AC993&lt;=Config_Status!$B$3,"NORMAL",IF(AC993&lt;=Config_Status!$B$4,"WARNING","OVER CONSUMPTION"))))</x:f>
        <x:v>OVER CONSUMPTION</x:v>
      </x:c>
      <x:c r="AE993" t="str">
        <x:f>IFERROR(VLOOKUP(G993,Master_Unit!$A$2:$N$78,13,FALSE),"UNIT NOT FOUND")</x:f>
        <x:v>Matched</x:v>
      </x:c>
    </x:row>
    <x:row r="994">
      <x:c r="A994" s="12" t="str">
        <x:v>FU-20260615-00993</x:v>
      </x:c>
      <x:c r="B994" s="12" t="n">
        <x:v>1123</x:v>
      </x:c>
      <x:c r="C994" s="14" t="n">
        <x:v>46188</x:v>
      </x:c>
      <x:c r="D994" s="12" t="str">
        <x:v>Senin</x:v>
      </x:c>
      <x:c r="E994" s="12" t="str">
        <x:v>08:58:00</x:v>
      </x:c>
      <x:c r="F994" s="12" t="str">
        <x:v>All Shift Day</x:v>
      </x:c>
      <x:c r="G994" s="12" t="str">
        <x:v>STRL44G155</x:v>
      </x:c>
      <x:c r="H994" s="12" t="str">
        <x:v>Dump Truck</x:v>
      </x:c>
      <x:c r="I994" s="12" t="str">
        <x:v>DUMP TRUCK RENAULT KRANGE440-P6X4 A/T</x:v>
      </x:c>
      <x:c r="J994" s="16" t="n">
        <x:v>214</x:v>
      </x:c>
      <x:c r="K994" s="16" t="n">
        <x:v>4017</x:v>
      </x:c>
      <x:c r="L994" s="16" t="n">
        <x:v>4025</x:v>
      </x:c>
      <x:c r="M994" s="16" t="n">
        <x:v>8</x:v>
      </x:c>
      <x:c r="N994" s="16" t="n">
        <x:v>26.75</x:v>
      </x:c>
      <x:c r="O994" s="12" t="str">
        <x:v>FTRL44G005</x:v>
      </x:c>
      <x:c r="P994" s="12" t="str">
        <x:v>STRL44G155</x:v>
      </x:c>
      <x:c r="Q994" s="12" t="str"/>
      <x:c r="R994" s="12" t="str"/>
      <x:c r="S994" s="12" t="str"/>
      <x:c r="T994" s="12" t="str">
        <x:v>ABM</x:v>
      </x:c>
      <x:c r="U994" s="12" t="str"/>
      <x:c r="V994" s="12" t="str"/>
      <x:c r="W994" s="12" t="str"/>
      <x:c r="X994" s="12" t="str">
        <x:v>STRL44</x:v>
      </x:c>
      <x:c r="Y994" s="12" t="str">
        <x:v>BADRI &amp; KAMRAN</x:v>
      </x:c>
      <x:c r="Z994" s="12" t="str">
        <x:v>PIT</x:v>
      </x:c>
      <x:c r="AA994" s="32" t="n">
        <x:f>IFERROR(VLOOKUP(G994,Master_Unit!$A$2:$N$78,7,FALSE),"")</x:f>
        <x:v>20</x:v>
      </x:c>
      <x:c r="AB994" s="32" t="n">
        <x:f>IF(OR(N994="",AA994=""),"",N994-AA994)</x:f>
        <x:v>6.75</x:v>
      </x:c>
      <x:c r="AC994" s="20" t="n">
        <x:f>IF(OR(N994="",AA994="",AA994=0),"",AB994/AA994)</x:f>
        <x:v>0.3375</x:v>
      </x:c>
      <x:c r="AD994" t="str">
        <x:f>IF(AA994="","NO STANDARD",IF(AC994&lt;=Config_Status!$B$2,"EFFICIENT",IF(AC994&lt;=Config_Status!$B$3,"NORMAL",IF(AC994&lt;=Config_Status!$B$4,"WARNING","OVER CONSUMPTION"))))</x:f>
        <x:v>OVER CONSUMPTION</x:v>
      </x:c>
      <x:c r="AE994" t="str">
        <x:f>IFERROR(VLOOKUP(G994,Master_Unit!$A$2:$N$78,13,FALSE),"UNIT NOT FOUND")</x:f>
        <x:v>Matched</x:v>
      </x:c>
    </x:row>
    <x:row r="995">
      <x:c r="A995" s="12" t="str">
        <x:v>FU-20260615-00994</x:v>
      </x:c>
      <x:c r="B995" s="12" t="n">
        <x:v>1124</x:v>
      </x:c>
      <x:c r="C995" s="14" t="n">
        <x:v>46188</x:v>
      </x:c>
      <x:c r="D995" s="12" t="str">
        <x:v>Senin</x:v>
      </x:c>
      <x:c r="E995" s="12" t="str">
        <x:v>09:04:00</x:v>
      </x:c>
      <x:c r="F995" s="12" t="str">
        <x:v>All Shift Day</x:v>
      </x:c>
      <x:c r="G995" s="12" t="str">
        <x:v>STRL44G153</x:v>
      </x:c>
      <x:c r="H995" s="12" t="str">
        <x:v>Dump Truck</x:v>
      </x:c>
      <x:c r="I995" s="12" t="str">
        <x:v>DUMP TRUCK RENAULT KRANGE440-P6X4 A/T</x:v>
      </x:c>
      <x:c r="J995" s="16" t="n">
        <x:v>213</x:v>
      </x:c>
      <x:c r="K995" s="16" t="n">
        <x:v>4045</x:v>
      </x:c>
      <x:c r="L995" s="16" t="n">
        <x:v>4054</x:v>
      </x:c>
      <x:c r="M995" s="16" t="n">
        <x:v>9</x:v>
      </x:c>
      <x:c r="N995" s="16" t="n">
        <x:v>23.666666666666668</x:v>
      </x:c>
      <x:c r="O995" s="12" t="str">
        <x:v>FTRL44G005</x:v>
      </x:c>
      <x:c r="P995" s="12" t="str">
        <x:v>STRL44G153</x:v>
      </x:c>
      <x:c r="Q995" s="12" t="str"/>
      <x:c r="R995" s="12" t="str"/>
      <x:c r="S995" s="12" t="str"/>
      <x:c r="T995" s="12" t="str">
        <x:v>ABM</x:v>
      </x:c>
      <x:c r="U995" s="12" t="str"/>
      <x:c r="V995" s="12" t="str"/>
      <x:c r="W995" s="12" t="str"/>
      <x:c r="X995" s="12" t="str">
        <x:v>STRL44</x:v>
      </x:c>
      <x:c r="Y995" s="12" t="str">
        <x:v>BADRI &amp; KAMRAN</x:v>
      </x:c>
      <x:c r="Z995" s="12" t="str">
        <x:v>SUPPORT</x:v>
      </x:c>
      <x:c r="AA995" s="32" t="n">
        <x:f>IFERROR(VLOOKUP(G995,Master_Unit!$A$2:$N$78,7,FALSE),"")</x:f>
        <x:v>20</x:v>
      </x:c>
      <x:c r="AB995" s="32" t="n">
        <x:f>IF(OR(N995="",AA995=""),"",N995-AA995)</x:f>
        <x:v>3.666666666666668</x:v>
      </x:c>
      <x:c r="AC995" s="20" t="n">
        <x:f>IF(OR(N995="",AA995="",AA995=0),"",AB995/AA995)</x:f>
        <x:v>0.1833333333333334</x:v>
      </x:c>
      <x:c r="AD995" t="str">
        <x:f>IF(AA995="","NO STANDARD",IF(AC995&lt;=Config_Status!$B$2,"EFFICIENT",IF(AC995&lt;=Config_Status!$B$3,"NORMAL",IF(AC995&lt;=Config_Status!$B$4,"WARNING","OVER CONSUMPTION"))))</x:f>
        <x:v>WARNING</x:v>
      </x:c>
      <x:c r="AE995" t="str">
        <x:f>IFERROR(VLOOKUP(G995,Master_Unit!$A$2:$N$78,13,FALSE),"UNIT NOT FOUND")</x:f>
        <x:v>Matched</x:v>
      </x:c>
    </x:row>
    <x:row r="996">
      <x:c r="A996" s="12" t="str">
        <x:v>FU-20260615-00995</x:v>
      </x:c>
      <x:c r="B996" s="12" t="n">
        <x:v>1125</x:v>
      </x:c>
      <x:c r="C996" s="14" t="n">
        <x:v>46188</x:v>
      </x:c>
      <x:c r="D996" s="12" t="str">
        <x:v>Senin</x:v>
      </x:c>
      <x:c r="E996" s="12" t="str">
        <x:v>09:13:00</x:v>
      </x:c>
      <x:c r="F996" s="12" t="str">
        <x:v>All Shift Day</x:v>
      </x:c>
      <x:c r="G996" s="12" t="str">
        <x:v>STRL44G147</x:v>
      </x:c>
      <x:c r="H996" s="12" t="str">
        <x:v>Dump Truck</x:v>
      </x:c>
      <x:c r="I996" s="12" t="str">
        <x:v>DUMP TRUCK RENAULT KRANGE440-P6X4 A/T</x:v>
      </x:c>
      <x:c r="J996" s="16" t="n">
        <x:v>201</x:v>
      </x:c>
      <x:c r="K996" s="16" t="n">
        <x:v>5066</x:v>
      </x:c>
      <x:c r="L996" s="16" t="n">
        <x:v>5076</x:v>
      </x:c>
      <x:c r="M996" s="16" t="n">
        <x:v>10</x:v>
      </x:c>
      <x:c r="N996" s="16" t="n">
        <x:v>20.1</x:v>
      </x:c>
      <x:c r="O996" s="12" t="str">
        <x:v>FTRL44G005</x:v>
      </x:c>
      <x:c r="P996" s="12" t="str">
        <x:v>STRL44G147</x:v>
      </x:c>
      <x:c r="Q996" s="12" t="str"/>
      <x:c r="R996" s="12" t="str"/>
      <x:c r="S996" s="12" t="str"/>
      <x:c r="T996" s="12" t="str">
        <x:v>ABM</x:v>
      </x:c>
      <x:c r="U996" s="12" t="str"/>
      <x:c r="V996" s="12" t="str"/>
      <x:c r="W996" s="12" t="str"/>
      <x:c r="X996" s="12" t="str">
        <x:v>STRL44</x:v>
      </x:c>
      <x:c r="Y996" s="12" t="str">
        <x:v>BADRI &amp; KAMRAN</x:v>
      </x:c>
      <x:c r="Z996" s="12" t="str">
        <x:v>SUPPORT</x:v>
      </x:c>
      <x:c r="AA996" s="32" t="n">
        <x:f>IFERROR(VLOOKUP(G996,Master_Unit!$A$2:$N$78,7,FALSE),"")</x:f>
        <x:v>20</x:v>
      </x:c>
      <x:c r="AB996" s="32" t="n">
        <x:f>IF(OR(N996="",AA996=""),"",N996-AA996)</x:f>
        <x:v>0.10000000000000142</x:v>
      </x:c>
      <x:c r="AC996" s="20" t="n">
        <x:f>IF(OR(N996="",AA996="",AA996=0),"",AB996/AA996)</x:f>
        <x:v>0.005000000000000071</x:v>
      </x:c>
      <x:c r="AD996" t="str">
        <x:f>IF(AA996="","NO STANDARD",IF(AC996&lt;=Config_Status!$B$2,"EFFICIENT",IF(AC996&lt;=Config_Status!$B$3,"NORMAL",IF(AC996&lt;=Config_Status!$B$4,"WARNING","OVER CONSUMPTION"))))</x:f>
        <x:v>NORMAL</x:v>
      </x:c>
      <x:c r="AE996" t="str">
        <x:f>IFERROR(VLOOKUP(G996,Master_Unit!$A$2:$N$78,13,FALSE),"UNIT NOT FOUND")</x:f>
        <x:v>Matched</x:v>
      </x:c>
    </x:row>
    <x:row r="997">
      <x:c r="A997" s="12" t="str">
        <x:v>FU-20260615-00996</x:v>
      </x:c>
      <x:c r="B997" s="12" t="n">
        <x:v>1126</x:v>
      </x:c>
      <x:c r="C997" s="14" t="n">
        <x:v>46188</x:v>
      </x:c>
      <x:c r="D997" s="12" t="str">
        <x:v>Senin</x:v>
      </x:c>
      <x:c r="E997" s="12" t="str">
        <x:v>11:28:00</x:v>
      </x:c>
      <x:c r="F997" s="12" t="str">
        <x:v>All Shift Day</x:v>
      </x:c>
      <x:c r="G997" s="12" t="str">
        <x:v>EXVV21G038</x:v>
      </x:c>
      <x:c r="H997" s="12" t="str">
        <x:v>Excavator</x:v>
      </x:c>
      <x:c r="I997" s="12" t="str">
        <x:v>EXCAVATOR VOLVO EC210D</x:v>
      </x:c>
      <x:c r="J997" s="16" t="n">
        <x:v>206</x:v>
      </x:c>
      <x:c r="K997" s="16" t="n">
        <x:v>4270.3</x:v>
      </x:c>
      <x:c r="L997" s="16" t="n">
        <x:v>4283.3</x:v>
      </x:c>
      <x:c r="M997" s="16" t="n">
        <x:v>13</x:v>
      </x:c>
      <x:c r="N997" s="16" t="n">
        <x:v>15.846153846153847</x:v>
      </x:c>
      <x:c r="O997" s="12" t="str">
        <x:v>FTRL44G005</x:v>
      </x:c>
      <x:c r="P997" s="12" t="str">
        <x:v>EXVV21G038</x:v>
      </x:c>
      <x:c r="Q997" s="12" t="str"/>
      <x:c r="R997" s="12" t="str"/>
      <x:c r="S997" s="12" t="str"/>
      <x:c r="T997" s="12" t="str">
        <x:v>ABM</x:v>
      </x:c>
      <x:c r="U997" s="12" t="str"/>
      <x:c r="V997" s="12" t="str"/>
      <x:c r="W997" s="12" t="str"/>
      <x:c r="X997" s="12" t="str">
        <x:v>EXVV21</x:v>
      </x:c>
      <x:c r="Y997" s="12" t="str">
        <x:v>BADRI &amp; KAMRAN</x:v>
      </x:c>
      <x:c r="Z997" s="12" t="str">
        <x:v>PIT</x:v>
      </x:c>
      <x:c r="AA997" s="32" t="n">
        <x:f>IFERROR(VLOOKUP(G997,Master_Unit!$A$2:$N$78,7,FALSE),"")</x:f>
        <x:v>20</x:v>
      </x:c>
      <x:c r="AB997" s="32" t="n">
        <x:f>IF(OR(N997="",AA997=""),"",N997-AA997)</x:f>
        <x:v>-4.153846153846153</x:v>
      </x:c>
      <x:c r="AC997" s="20" t="n">
        <x:f>IF(OR(N997="",AA997="",AA997=0),"",AB997/AA997)</x:f>
        <x:v>-0.20769230769230768</x:v>
      </x:c>
      <x:c r="AD997" t="str">
        <x:f>IF(AA997="","NO STANDARD",IF(AC997&lt;=Config_Status!$B$2,"EFFICIENT",IF(AC997&lt;=Config_Status!$B$3,"NORMAL",IF(AC997&lt;=Config_Status!$B$4,"WARNING","OVER CONSUMPTION"))))</x:f>
        <x:v>EFFICIENT</x:v>
      </x:c>
      <x:c r="AE997" t="str">
        <x:f>IFERROR(VLOOKUP(G997,Master_Unit!$A$2:$N$78,13,FALSE),"UNIT NOT FOUND")</x:f>
        <x:v>Matched</x:v>
      </x:c>
    </x:row>
    <x:row r="998">
      <x:c r="A998" s="12" t="str">
        <x:v>FU-20260615-00997</x:v>
      </x:c>
      <x:c r="B998" s="12" t="n">
        <x:v>1127</x:v>
      </x:c>
      <x:c r="C998" s="14" t="n">
        <x:v>46188</x:v>
      </x:c>
      <x:c r="D998" s="12" t="str">
        <x:v>Senin</x:v>
      </x:c>
      <x:c r="E998" s="12" t="str">
        <x:v>11:51:00</x:v>
      </x:c>
      <x:c r="F998" s="12" t="str">
        <x:v>All Shift Day</x:v>
      </x:c>
      <x:c r="G998" s="12" t="str">
        <x:v>LVTH24R033</x:v>
      </x:c>
      <x:c r="H998" s="12" t="str">
        <x:v>Light Vehicle</x:v>
      </x:c>
      <x:c r="I998" s="12" t="str">
        <x:v>LIGHT VEHICLE TOYOTA HILUX</x:v>
      </x:c>
      <x:c r="J998" s="16" t="n">
        <x:v>21</x:v>
      </x:c>
      <x:c r="K998" s="16" t="n">
        <x:v>139670</x:v>
      </x:c>
      <x:c r="L998" s="16" t="n">
        <x:v>139801</x:v>
      </x:c>
      <x:c r="M998" s="16" t="n">
        <x:v>131</x:v>
      </x:c>
      <x:c r="N998" s="16" t="n">
        <x:v>0.16030534351145037</x:v>
      </x:c>
      <x:c r="O998" s="12" t="str">
        <x:v>FTRL44G005</x:v>
      </x:c>
      <x:c r="P998" s="12" t="str">
        <x:v>LVTH24R033</x:v>
      </x:c>
      <x:c r="Q998" s="12" t="str"/>
      <x:c r="R998" s="12" t="str"/>
      <x:c r="S998" s="12" t="str"/>
      <x:c r="T998" s="12" t="str">
        <x:v>ABM</x:v>
      </x:c>
      <x:c r="U998" s="12" t="str"/>
      <x:c r="V998" s="12" t="str"/>
      <x:c r="W998" s="12" t="str"/>
      <x:c r="X998" s="12" t="str">
        <x:v>LVTH24</x:v>
      </x:c>
      <x:c r="Y998" s="12" t="str">
        <x:v>BADRI &amp; KAMRAN</x:v>
      </x:c>
      <x:c r="Z998" s="12" t="str">
        <x:v>PIT</x:v>
      </x:c>
      <x:c r="AA998" s="32" t="n">
        <x:f>IFERROR(VLOOKUP(G998,Master_Unit!$A$2:$N$78,7,FALSE),"")</x:f>
        <x:v>0.2</x:v>
      </x:c>
      <x:c r="AB998" s="32" t="n">
        <x:f>IF(OR(N998="",AA998=""),"",N998-AA998)</x:f>
        <x:v>-0.03969465648854964</x:v>
      </x:c>
      <x:c r="AC998" s="20" t="n">
        <x:f>IF(OR(N998="",AA998="",AA998=0),"",AB998/AA998)</x:f>
        <x:v>-0.1984732824427482</x:v>
      </x:c>
      <x:c r="AD998" t="str">
        <x:f>IF(AA998="","NO STANDARD",IF(AC998&lt;=Config_Status!$B$2,"EFFICIENT",IF(AC998&lt;=Config_Status!$B$3,"NORMAL",IF(AC998&lt;=Config_Status!$B$4,"WARNING","OVER CONSUMPTION"))))</x:f>
        <x:v>EFFICIENT</x:v>
      </x:c>
      <x:c r="AE998" t="str">
        <x:f>IFERROR(VLOOKUP(G998,Master_Unit!$A$2:$N$78,13,FALSE),"UNIT NOT FOUND")</x:f>
        <x:v>Matched</x:v>
      </x:c>
    </x:row>
    <x:row r="999">
      <x:c r="A999" s="12" t="str">
        <x:v>FU-20260615-00998</x:v>
      </x:c>
      <x:c r="B999" s="12" t="n">
        <x:v>1128</x:v>
      </x:c>
      <x:c r="C999" s="14" t="n">
        <x:v>46188</x:v>
      </x:c>
      <x:c r="D999" s="12" t="str">
        <x:v>Senin</x:v>
      </x:c>
      <x:c r="E999" s="12" t="str">
        <x:v>00:05:00</x:v>
      </x:c>
      <x:c r="F999" s="12" t="str">
        <x:v>All Shift Night</x:v>
      </x:c>
      <x:c r="G999" s="12" t="str">
        <x:v>EXVV21G036</x:v>
      </x:c>
      <x:c r="H999" s="12" t="str">
        <x:v>Excavator</x:v>
      </x:c>
      <x:c r="I999" s="12" t="str">
        <x:v>EXCAVATOR VOLVO EC210D</x:v>
      </x:c>
      <x:c r="J999" s="16" t="n">
        <x:v>112</x:v>
      </x:c>
      <x:c r="K999" s="16" t="n">
        <x:v>7633.2</x:v>
      </x:c>
      <x:c r="L999" s="16" t="n">
        <x:v>7646.9</x:v>
      </x:c>
      <x:c r="M999" s="16" t="n">
        <x:v>13.699999999999818</x:v>
      </x:c>
      <x:c r="N999" s="16" t="n">
        <x:v>8.175182481751934</x:v>
      </x:c>
      <x:c r="O999" s="12" t="str">
        <x:v>FTRL44G004</x:v>
      </x:c>
      <x:c r="P999" s="12" t="str">
        <x:v>EXVV21G036</x:v>
      </x:c>
      <x:c r="Q999" s="12" t="str"/>
      <x:c r="R999" s="12" t="str"/>
      <x:c r="S999" s="12" t="str"/>
      <x:c r="T999" s="12" t="str">
        <x:v>ABM</x:v>
      </x:c>
      <x:c r="U999" s="12" t="str"/>
      <x:c r="V999" s="12" t="str"/>
      <x:c r="W999" s="12" t="str"/>
      <x:c r="X999" s="12" t="str">
        <x:v>EXVV21</x:v>
      </x:c>
      <x:c r="Y999" s="12" t="str">
        <x:v>ANDI &amp; ANGGI</x:v>
      </x:c>
      <x:c r="Z999" s="12" t="str">
        <x:v>PIT</x:v>
      </x:c>
      <x:c r="AA999" s="32" t="n">
        <x:f>IFERROR(VLOOKUP(G999,Master_Unit!$A$2:$N$78,7,FALSE),"")</x:f>
        <x:v>20</x:v>
      </x:c>
      <x:c r="AB999" s="32" t="n">
        <x:f>IF(OR(N999="",AA999=""),"",N999-AA999)</x:f>
        <x:v>-11.824817518248066</x:v>
      </x:c>
      <x:c r="AC999" s="20" t="n">
        <x:f>IF(OR(N999="",AA999="",AA999=0),"",AB999/AA999)</x:f>
        <x:v>-0.5912408759124033</x:v>
      </x:c>
      <x:c r="AD999" t="str">
        <x:f>IF(AA999="","NO STANDARD",IF(AC999&lt;=Config_Status!$B$2,"EFFICIENT",IF(AC999&lt;=Config_Status!$B$3,"NORMAL",IF(AC999&lt;=Config_Status!$B$4,"WARNING","OVER CONSUMPTION"))))</x:f>
        <x:v>EFFICIENT</x:v>
      </x:c>
      <x:c r="AE999" t="str">
        <x:f>IFERROR(VLOOKUP(G999,Master_Unit!$A$2:$N$78,13,FALSE),"UNIT NOT FOUND")</x:f>
        <x:v>Matched</x:v>
      </x:c>
    </x:row>
    <x:row r="1000">
      <x:c r="A1000" s="12" t="str">
        <x:v>FU-20260615-00999</x:v>
      </x:c>
      <x:c r="B1000" s="12" t="n">
        <x:v>1129</x:v>
      </x:c>
      <x:c r="C1000" s="14" t="n">
        <x:v>46188</x:v>
      </x:c>
      <x:c r="D1000" s="12" t="str">
        <x:v>Senin</x:v>
      </x:c>
      <x:c r="E1000" s="12" t="str">
        <x:v>18:41:00</x:v>
      </x:c>
      <x:c r="F1000" s="12" t="str">
        <x:v>All Shift Night</x:v>
      </x:c>
      <x:c r="G1000" s="12" t="str">
        <x:v>EXVV35G006</x:v>
      </x:c>
      <x:c r="H1000" s="12" t="str">
        <x:v>Excavator</x:v>
      </x:c>
      <x:c r="I1000" s="12" t="str">
        <x:v>EXCAVATOR VOLVO EC350D</x:v>
      </x:c>
      <x:c r="J1000" s="16" t="n">
        <x:v>283</x:v>
      </x:c>
      <x:c r="K1000" s="16" t="n">
        <x:v>3224.4</x:v>
      </x:c>
      <x:c r="L1000" s="16" t="n">
        <x:v>3233.4</x:v>
      </x:c>
      <x:c r="M1000" s="16" t="n">
        <x:v>9</x:v>
      </x:c>
      <x:c r="N1000" s="16" t="n">
        <x:v>31.444444444444443</x:v>
      </x:c>
      <x:c r="O1000" s="12" t="str">
        <x:v>FTRL44G004</x:v>
      </x:c>
      <x:c r="P1000" s="12" t="str">
        <x:v>EXVV35G006</x:v>
      </x:c>
      <x:c r="Q1000" s="12" t="str"/>
      <x:c r="R1000" s="12" t="str"/>
      <x:c r="S1000" s="12" t="str"/>
      <x:c r="T1000" s="12" t="str">
        <x:v>ABM</x:v>
      </x:c>
      <x:c r="U1000" s="12" t="str"/>
      <x:c r="V1000" s="12" t="str"/>
      <x:c r="W1000" s="12" t="str"/>
      <x:c r="X1000" s="12" t="str">
        <x:v>EXVV35</x:v>
      </x:c>
      <x:c r="Y1000" s="12" t="str">
        <x:v>ANDI &amp; ANGGI</x:v>
      </x:c>
      <x:c r="Z1000" s="12" t="str">
        <x:v>PIT</x:v>
      </x:c>
      <x:c r="AA1000" s="32" t="n">
        <x:f>IFERROR(VLOOKUP(G1000,Master_Unit!$A$2:$N$78,7,FALSE),"")</x:f>
        <x:v>25</x:v>
      </x:c>
      <x:c r="AB1000" s="32" t="n">
        <x:f>IF(OR(N1000="",AA1000=""),"",N1000-AA1000)</x:f>
        <x:v>6.444444444444443</x:v>
      </x:c>
      <x:c r="AC1000" s="20" t="n">
        <x:f>IF(OR(N1000="",AA1000="",AA1000=0),"",AB1000/AA1000)</x:f>
        <x:v>0.2577777777777777</x:v>
      </x:c>
      <x:c r="AD1000" t="str">
        <x:f>IF(AA1000="","NO STANDARD",IF(AC1000&lt;=Config_Status!$B$2,"EFFICIENT",IF(AC1000&lt;=Config_Status!$B$3,"NORMAL",IF(AC1000&lt;=Config_Status!$B$4,"WARNING","OVER CONSUMPTION"))))</x:f>
        <x:v>OVER CONSUMPTION</x:v>
      </x:c>
      <x:c r="AE1000" t="str">
        <x:f>IFERROR(VLOOKUP(G1000,Master_Unit!$A$2:$N$78,13,FALSE),"UNIT NOT FOUND")</x:f>
        <x:v>Matched</x:v>
      </x:c>
    </x:row>
    <x:row r="1001">
      <x:c r="A1001" s="12" t="str">
        <x:v>FU-20260615-01000</x:v>
      </x:c>
      <x:c r="B1001" s="12" t="n">
        <x:v>1130</x:v>
      </x:c>
      <x:c r="C1001" s="14" t="n">
        <x:v>46188</x:v>
      </x:c>
      <x:c r="D1001" s="12" t="str">
        <x:v>Senin</x:v>
      </x:c>
      <x:c r="E1001" s="12" t="str">
        <x:v>19:26:00</x:v>
      </x:c>
      <x:c r="F1001" s="12" t="str">
        <x:v>All Shift Night</x:v>
      </x:c>
      <x:c r="G1001" s="12" t="str">
        <x:v>EXVV21G041</x:v>
      </x:c>
      <x:c r="H1001" s="12" t="str">
        <x:v>Excavator</x:v>
      </x:c>
      <x:c r="I1001" s="12" t="str">
        <x:v>EXCAVATOR VOLVO EC210D</x:v>
      </x:c>
      <x:c r="J1001" s="16" t="n">
        <x:v>219</x:v>
      </x:c>
      <x:c r="K1001" s="16" t="n">
        <x:v>4583.5</x:v>
      </x:c>
      <x:c r="L1001" s="16" t="n">
        <x:v>4591.1</x:v>
      </x:c>
      <x:c r="M1001" s="16" t="n">
        <x:v>7.600000000000364</x:v>
      </x:c>
      <x:c r="N1001" s="16" t="n">
        <x:v>28.81578947368283</x:v>
      </x:c>
      <x:c r="O1001" s="12" t="str">
        <x:v>FTRL44G004</x:v>
      </x:c>
      <x:c r="P1001" s="12" t="str">
        <x:v>EXVV21G041</x:v>
      </x:c>
      <x:c r="Q1001" s="12" t="str"/>
      <x:c r="R1001" s="12" t="str"/>
      <x:c r="S1001" s="12" t="str"/>
      <x:c r="T1001" s="12" t="str">
        <x:v>ABM</x:v>
      </x:c>
      <x:c r="U1001" s="12" t="str"/>
      <x:c r="V1001" s="12" t="str"/>
      <x:c r="W1001" s="12" t="str"/>
      <x:c r="X1001" s="12" t="str">
        <x:v>EXVV21</x:v>
      </x:c>
      <x:c r="Y1001" s="12" t="str">
        <x:v>ANDI &amp; ANGGI</x:v>
      </x:c>
      <x:c r="Z1001" s="12" t="str">
        <x:v>PIT</x:v>
      </x:c>
      <x:c r="AA1001" s="32" t="n">
        <x:f>IFERROR(VLOOKUP(G1001,Master_Unit!$A$2:$N$78,7,FALSE),"")</x:f>
        <x:v>20</x:v>
      </x:c>
      <x:c r="AB1001" s="32" t="n">
        <x:f>IF(OR(N1001="",AA1001=""),"",N1001-AA1001)</x:f>
        <x:v>8.81578947368283</x:v>
      </x:c>
      <x:c r="AC1001" s="20" t="n">
        <x:f>IF(OR(N1001="",AA1001="",AA1001=0),"",AB1001/AA1001)</x:f>
        <x:v>0.4407894736841415</x:v>
      </x:c>
      <x:c r="AD1001" t="str">
        <x:f>IF(AA1001="","NO STANDARD",IF(AC1001&lt;=Config_Status!$B$2,"EFFICIENT",IF(AC1001&lt;=Config_Status!$B$3,"NORMAL",IF(AC1001&lt;=Config_Status!$B$4,"WARNING","OVER CONSUMPTION"))))</x:f>
        <x:v>OVER CONSUMPTION</x:v>
      </x:c>
      <x:c r="AE1001" t="str">
        <x:f>IFERROR(VLOOKUP(G1001,Master_Unit!$A$2:$N$78,13,FALSE),"UNIT NOT FOUND")</x:f>
        <x:v>Matched</x:v>
      </x:c>
    </x:row>
    <x:row r="1002">
      <x:c r="A1002" s="12" t="str">
        <x:v>FU-20260615-01001</x:v>
      </x:c>
      <x:c r="B1002" s="12" t="n">
        <x:v>1131</x:v>
      </x:c>
      <x:c r="C1002" s="14" t="n">
        <x:v>46188</x:v>
      </x:c>
      <x:c r="D1002" s="12" t="str">
        <x:v>Senin</x:v>
      </x:c>
      <x:c r="E1002" s="12" t="str">
        <x:v>19:30:00</x:v>
      </x:c>
      <x:c r="F1002" s="12" t="str">
        <x:v>All Shift Night</x:v>
      </x:c>
      <x:c r="G1002" s="12" t="str">
        <x:v>EXVV21G038</x:v>
      </x:c>
      <x:c r="H1002" s="12" t="str">
        <x:v>Excavator</x:v>
      </x:c>
      <x:c r="I1002" s="12" t="str">
        <x:v>EXCAVATOR VOLVO EC210D</x:v>
      </x:c>
      <x:c r="J1002" s="16" t="n">
        <x:v>199</x:v>
      </x:c>
      <x:c r="K1002" s="16" t="n">
        <x:v>4283.3</x:v>
      </x:c>
      <x:c r="L1002" s="16" t="n">
        <x:v>4289.8</x:v>
      </x:c>
      <x:c r="M1002" s="16" t="n">
        <x:v>6.5</x:v>
      </x:c>
      <x:c r="N1002" s="16" t="n">
        <x:v>30.615384615384617</x:v>
      </x:c>
      <x:c r="O1002" s="12" t="str">
        <x:v>FTRL44G004</x:v>
      </x:c>
      <x:c r="P1002" s="12" t="str">
        <x:v>EXVV21G038</x:v>
      </x:c>
      <x:c r="Q1002" s="12" t="str"/>
      <x:c r="R1002" s="12" t="str"/>
      <x:c r="S1002" s="12" t="str"/>
      <x:c r="T1002" s="12" t="str">
        <x:v>ABM</x:v>
      </x:c>
      <x:c r="U1002" s="12" t="str"/>
      <x:c r="V1002" s="12" t="str"/>
      <x:c r="W1002" s="12" t="str"/>
      <x:c r="X1002" s="12" t="str">
        <x:v>EXVV21</x:v>
      </x:c>
      <x:c r="Y1002" s="12" t="str">
        <x:v>ANDI &amp; ANGGI</x:v>
      </x:c>
      <x:c r="Z1002" s="12" t="str">
        <x:v>SUPPORT</x:v>
      </x:c>
      <x:c r="AA1002" s="32" t="n">
        <x:f>IFERROR(VLOOKUP(G1002,Master_Unit!$A$2:$N$78,7,FALSE),"")</x:f>
        <x:v>20</x:v>
      </x:c>
      <x:c r="AB1002" s="32" t="n">
        <x:f>IF(OR(N1002="",AA1002=""),"",N1002-AA1002)</x:f>
        <x:v>10.615384615384617</x:v>
      </x:c>
      <x:c r="AC1002" s="20" t="n">
        <x:f>IF(OR(N1002="",AA1002="",AA1002=0),"",AB1002/AA1002)</x:f>
        <x:v>0.5307692307692309</x:v>
      </x:c>
      <x:c r="AD1002" t="str">
        <x:f>IF(AA1002="","NO STANDARD",IF(AC1002&lt;=Config_Status!$B$2,"EFFICIENT",IF(AC1002&lt;=Config_Status!$B$3,"NORMAL",IF(AC1002&lt;=Config_Status!$B$4,"WARNING","OVER CONSUMPTION"))))</x:f>
        <x:v>OVER CONSUMPTION</x:v>
      </x:c>
      <x:c r="AE1002" t="str">
        <x:f>IFERROR(VLOOKUP(G1002,Master_Unit!$A$2:$N$78,13,FALSE),"UNIT NOT FOUND")</x:f>
        <x:v>Matched</x:v>
      </x:c>
    </x:row>
    <x:row r="1003">
      <x:c r="A1003" s="12" t="str">
        <x:v>FU-20260615-01002</x:v>
      </x:c>
      <x:c r="B1003" s="12" t="n">
        <x:v>1132</x:v>
      </x:c>
      <x:c r="C1003" s="14" t="n">
        <x:v>46188</x:v>
      </x:c>
      <x:c r="D1003" s="12" t="str">
        <x:v>Senin</x:v>
      </x:c>
      <x:c r="E1003" s="12" t="str">
        <x:v>19:56:00</x:v>
      </x:c>
      <x:c r="F1003" s="12" t="str">
        <x:v>All Shift Night</x:v>
      </x:c>
      <x:c r="G1003" s="12" t="str">
        <x:v>STRL44G147</x:v>
      </x:c>
      <x:c r="H1003" s="12" t="str">
        <x:v>Dump Truck</x:v>
      </x:c>
      <x:c r="I1003" s="12" t="str">
        <x:v>DUMP TRUCK RENAULT KRANGE440-P6X4 A/T</x:v>
      </x:c>
      <x:c r="J1003" s="16" t="n">
        <x:v>203</x:v>
      </x:c>
      <x:c r="K1003" s="16" t="n">
        <x:v>5076</x:v>
      </x:c>
      <x:c r="L1003" s="16" t="n">
        <x:v>5083</x:v>
      </x:c>
      <x:c r="M1003" s="16" t="n">
        <x:v>7</x:v>
      </x:c>
      <x:c r="N1003" s="16" t="n">
        <x:v>29</x:v>
      </x:c>
      <x:c r="O1003" s="12" t="str">
        <x:v>FTRL44G004</x:v>
      </x:c>
      <x:c r="P1003" s="12" t="str">
        <x:v>STRL44G147</x:v>
      </x:c>
      <x:c r="Q1003" s="12" t="str"/>
      <x:c r="R1003" s="12" t="str"/>
      <x:c r="S1003" s="12" t="str"/>
      <x:c r="T1003" s="12" t="str">
        <x:v>ABM</x:v>
      </x:c>
      <x:c r="U1003" s="12" t="str"/>
      <x:c r="V1003" s="12" t="str"/>
      <x:c r="W1003" s="12" t="str"/>
      <x:c r="X1003" s="12" t="str">
        <x:v>STRL44</x:v>
      </x:c>
      <x:c r="Y1003" s="12" t="str">
        <x:v>ANDI &amp; ANGGI</x:v>
      </x:c>
      <x:c r="Z1003" s="12" t="str">
        <x:v>PIT</x:v>
      </x:c>
      <x:c r="AA1003" s="32" t="n">
        <x:f>IFERROR(VLOOKUP(G1003,Master_Unit!$A$2:$N$78,7,FALSE),"")</x:f>
        <x:v>20</x:v>
      </x:c>
      <x:c r="AB1003" s="32" t="n">
        <x:f>IF(OR(N1003="",AA1003=""),"",N1003-AA1003)</x:f>
        <x:v>9</x:v>
      </x:c>
      <x:c r="AC1003" s="20" t="n">
        <x:f>IF(OR(N1003="",AA1003="",AA1003=0),"",AB1003/AA1003)</x:f>
        <x:v>0.45</x:v>
      </x:c>
      <x:c r="AD1003" t="str">
        <x:f>IF(AA1003="","NO STANDARD",IF(AC1003&lt;=Config_Status!$B$2,"EFFICIENT",IF(AC1003&lt;=Config_Status!$B$3,"NORMAL",IF(AC1003&lt;=Config_Status!$B$4,"WARNING","OVER CONSUMPTION"))))</x:f>
        <x:v>OVER CONSUMPTION</x:v>
      </x:c>
      <x:c r="AE1003" t="str">
        <x:f>IFERROR(VLOOKUP(G1003,Master_Unit!$A$2:$N$78,13,FALSE),"UNIT NOT FOUND")</x:f>
        <x:v>Matched</x:v>
      </x:c>
    </x:row>
    <x:row r="1004">
      <x:c r="A1004" s="12" t="str">
        <x:v>FU-20260615-01003</x:v>
      </x:c>
      <x:c r="B1004" s="12" t="n">
        <x:v>1133</x:v>
      </x:c>
      <x:c r="C1004" s="14" t="n">
        <x:v>46188</x:v>
      </x:c>
      <x:c r="D1004" s="12" t="str">
        <x:v>Senin</x:v>
      </x:c>
      <x:c r="E1004" s="12" t="str">
        <x:v>20:02:00</x:v>
      </x:c>
      <x:c r="F1004" s="12" t="str">
        <x:v>All Shift Night</x:v>
      </x:c>
      <x:c r="G1004" s="12" t="str">
        <x:v>STRL44G145</x:v>
      </x:c>
      <x:c r="H1004" s="12" t="str">
        <x:v>Dump Truck</x:v>
      </x:c>
      <x:c r="I1004" s="12" t="str">
        <x:v>DUMP TRUCK RENAULT KRANGE440-P6X4 A/T</x:v>
      </x:c>
      <x:c r="J1004" s="16" t="n">
        <x:v>213</x:v>
      </x:c>
      <x:c r="K1004" s="16" t="n">
        <x:v>5007</x:v>
      </x:c>
      <x:c r="L1004" s="16" t="n">
        <x:v>5015</x:v>
      </x:c>
      <x:c r="M1004" s="16" t="n">
        <x:v>8</x:v>
      </x:c>
      <x:c r="N1004" s="16" t="n">
        <x:v>26.625</x:v>
      </x:c>
      <x:c r="O1004" s="12" t="str">
        <x:v>FTRL44G004</x:v>
      </x:c>
      <x:c r="P1004" s="12" t="str">
        <x:v>STRL44G145</x:v>
      </x:c>
      <x:c r="Q1004" s="12" t="str"/>
      <x:c r="R1004" s="12" t="str"/>
      <x:c r="S1004" s="12" t="str"/>
      <x:c r="T1004" s="12" t="str">
        <x:v>ABM</x:v>
      </x:c>
      <x:c r="U1004" s="12" t="str"/>
      <x:c r="V1004" s="12" t="str"/>
      <x:c r="W1004" s="12" t="str"/>
      <x:c r="X1004" s="12" t="str">
        <x:v>STRL44</x:v>
      </x:c>
      <x:c r="Y1004" s="12" t="str">
        <x:v>ANDI &amp; ANGGI</x:v>
      </x:c>
      <x:c r="Z1004" s="12" t="str">
        <x:v>SUPPORT</x:v>
      </x:c>
      <x:c r="AA1004" s="32" t="n">
        <x:f>IFERROR(VLOOKUP(G1004,Master_Unit!$A$2:$N$78,7,FALSE),"")</x:f>
        <x:v>20</x:v>
      </x:c>
      <x:c r="AB1004" s="32" t="n">
        <x:f>IF(OR(N1004="",AA1004=""),"",N1004-AA1004)</x:f>
        <x:v>6.625</x:v>
      </x:c>
      <x:c r="AC1004" s="20" t="n">
        <x:f>IF(OR(N1004="",AA1004="",AA1004=0),"",AB1004/AA1004)</x:f>
        <x:v>0.33125</x:v>
      </x:c>
      <x:c r="AD1004" t="str">
        <x:f>IF(AA1004="","NO STANDARD",IF(AC1004&lt;=Config_Status!$B$2,"EFFICIENT",IF(AC1004&lt;=Config_Status!$B$3,"NORMAL",IF(AC1004&lt;=Config_Status!$B$4,"WARNING","OVER CONSUMPTION"))))</x:f>
        <x:v>OVER CONSUMPTION</x:v>
      </x:c>
      <x:c r="AE1004" t="str">
        <x:f>IFERROR(VLOOKUP(G1004,Master_Unit!$A$2:$N$78,13,FALSE),"UNIT NOT FOUND")</x:f>
        <x:v>Matched</x:v>
      </x:c>
    </x:row>
    <x:row r="1005">
      <x:c r="A1005" s="12" t="str">
        <x:v>FU-20260615-01004</x:v>
      </x:c>
      <x:c r="B1005" s="12" t="n">
        <x:v>1134</x:v>
      </x:c>
      <x:c r="C1005" s="14" t="n">
        <x:v>46188</x:v>
      </x:c>
      <x:c r="D1005" s="12" t="str">
        <x:v>Senin</x:v>
      </x:c>
      <x:c r="E1005" s="12" t="str">
        <x:v>20:08:00</x:v>
      </x:c>
      <x:c r="F1005" s="12" t="str">
        <x:v>All Shift Night</x:v>
      </x:c>
      <x:c r="G1005" s="12" t="str">
        <x:v>STRL44G154</x:v>
      </x:c>
      <x:c r="H1005" s="12" t="str">
        <x:v>Dump Truck</x:v>
      </x:c>
      <x:c r="I1005" s="12" t="str">
        <x:v>DUMP TRUCK RENAULT KRANGE440-P6X4 A/T</x:v>
      </x:c>
      <x:c r="J1005" s="16" t="n">
        <x:v>193</x:v>
      </x:c>
      <x:c r="K1005" s="16" t="n">
        <x:v>4151</x:v>
      </x:c>
      <x:c r="L1005" s="16" t="n">
        <x:v>4159</x:v>
      </x:c>
      <x:c r="M1005" s="16" t="n">
        <x:v>8</x:v>
      </x:c>
      <x:c r="N1005" s="16" t="n">
        <x:v>24.125</x:v>
      </x:c>
      <x:c r="O1005" s="12" t="str">
        <x:v>FTRL44G004</x:v>
      </x:c>
      <x:c r="P1005" s="12" t="str">
        <x:v>STRL44G154</x:v>
      </x:c>
      <x:c r="Q1005" s="12" t="str"/>
      <x:c r="R1005" s="12" t="str"/>
      <x:c r="S1005" s="12" t="str"/>
      <x:c r="T1005" s="12" t="str">
        <x:v>ABM</x:v>
      </x:c>
      <x:c r="U1005" s="12" t="str"/>
      <x:c r="V1005" s="12" t="str"/>
      <x:c r="W1005" s="12" t="str"/>
      <x:c r="X1005" s="12" t="str">
        <x:v>STRL44</x:v>
      </x:c>
      <x:c r="Y1005" s="12" t="str">
        <x:v>ANDI &amp; ANGGI</x:v>
      </x:c>
      <x:c r="Z1005" s="12" t="str">
        <x:v>SUPPORT</x:v>
      </x:c>
      <x:c r="AA1005" s="32" t="n">
        <x:f>IFERROR(VLOOKUP(G1005,Master_Unit!$A$2:$N$78,7,FALSE),"")</x:f>
        <x:v>20</x:v>
      </x:c>
      <x:c r="AB1005" s="32" t="n">
        <x:f>IF(OR(N1005="",AA1005=""),"",N1005-AA1005)</x:f>
        <x:v>4.125</x:v>
      </x:c>
      <x:c r="AC1005" s="20" t="n">
        <x:f>IF(OR(N1005="",AA1005="",AA1005=0),"",AB1005/AA1005)</x:f>
        <x:v>0.20625</x:v>
      </x:c>
      <x:c r="AD1005" t="str">
        <x:f>IF(AA1005="","NO STANDARD",IF(AC1005&lt;=Config_Status!$B$2,"EFFICIENT",IF(AC1005&lt;=Config_Status!$B$3,"NORMAL",IF(AC1005&lt;=Config_Status!$B$4,"WARNING","OVER CONSUMPTION"))))</x:f>
        <x:v>OVER CONSUMPTION</x:v>
      </x:c>
      <x:c r="AE1005" t="str">
        <x:f>IFERROR(VLOOKUP(G1005,Master_Unit!$A$2:$N$78,13,FALSE),"UNIT NOT FOUND")</x:f>
        <x:v>Matched</x:v>
      </x:c>
    </x:row>
    <x:row r="1006">
      <x:c r="A1006" s="12" t="str">
        <x:v>FU-20260615-01005</x:v>
      </x:c>
      <x:c r="B1006" s="12" t="n">
        <x:v>1135</x:v>
      </x:c>
      <x:c r="C1006" s="14" t="n">
        <x:v>46188</x:v>
      </x:c>
      <x:c r="D1006" s="12" t="str">
        <x:v>Senin</x:v>
      </x:c>
      <x:c r="E1006" s="12" t="str">
        <x:v>20:11:00</x:v>
      </x:c>
      <x:c r="F1006" s="12" t="str">
        <x:v>All Shift Night</x:v>
      </x:c>
      <x:c r="G1006" s="12" t="str">
        <x:v>STRL44G144</x:v>
      </x:c>
      <x:c r="H1006" s="12" t="str">
        <x:v>Dump Truck</x:v>
      </x:c>
      <x:c r="I1006" s="12" t="str">
        <x:v>DUMP TRUCK RENAULT KRANGE440-P6X4 A/T</x:v>
      </x:c>
      <x:c r="J1006" s="16" t="n">
        <x:v>189</x:v>
      </x:c>
      <x:c r="K1006" s="16" t="n">
        <x:v>1589</x:v>
      </x:c>
      <x:c r="L1006" s="16" t="n">
        <x:v>1596</x:v>
      </x:c>
      <x:c r="M1006" s="16" t="n">
        <x:v>7</x:v>
      </x:c>
      <x:c r="N1006" s="16" t="n">
        <x:v>27</x:v>
      </x:c>
      <x:c r="O1006" s="12" t="str">
        <x:v>FTRL44G004</x:v>
      </x:c>
      <x:c r="P1006" s="12" t="str">
        <x:v>STRL44G144</x:v>
      </x:c>
      <x:c r="Q1006" s="12" t="str"/>
      <x:c r="R1006" s="12" t="str"/>
      <x:c r="S1006" s="12" t="str"/>
      <x:c r="T1006" s="12" t="str">
        <x:v>ABM</x:v>
      </x:c>
      <x:c r="U1006" s="12" t="str"/>
      <x:c r="V1006" s="12" t="str"/>
      <x:c r="W1006" s="12" t="str"/>
      <x:c r="X1006" s="12" t="str">
        <x:v>STRL44</x:v>
      </x:c>
      <x:c r="Y1006" s="12" t="str">
        <x:v>ANDI &amp; ANGGI</x:v>
      </x:c>
      <x:c r="Z1006" s="12" t="str">
        <x:v>PIT</x:v>
      </x:c>
      <x:c r="AA1006" s="32" t="n">
        <x:f>IFERROR(VLOOKUP(G1006,Master_Unit!$A$2:$N$78,7,FALSE),"")</x:f>
        <x:v>20</x:v>
      </x:c>
      <x:c r="AB1006" s="32" t="n">
        <x:f>IF(OR(N1006="",AA1006=""),"",N1006-AA1006)</x:f>
        <x:v>7</x:v>
      </x:c>
      <x:c r="AC1006" s="20" t="n">
        <x:f>IF(OR(N1006="",AA1006="",AA1006=0),"",AB1006/AA1006)</x:f>
        <x:v>0.35</x:v>
      </x:c>
      <x:c r="AD1006" t="str">
        <x:f>IF(AA1006="","NO STANDARD",IF(AC1006&lt;=Config_Status!$B$2,"EFFICIENT",IF(AC1006&lt;=Config_Status!$B$3,"NORMAL",IF(AC1006&lt;=Config_Status!$B$4,"WARNING","OVER CONSUMPTION"))))</x:f>
        <x:v>OVER CONSUMPTION</x:v>
      </x:c>
      <x:c r="AE1006" t="str">
        <x:f>IFERROR(VLOOKUP(G1006,Master_Unit!$A$2:$N$78,13,FALSE),"UNIT NOT FOUND")</x:f>
        <x:v>Matched</x:v>
      </x:c>
    </x:row>
    <x:row r="1007">
      <x:c r="A1007" s="12" t="str">
        <x:v>FU-20260615-01006</x:v>
      </x:c>
      <x:c r="B1007" s="12" t="n">
        <x:v>1136</x:v>
      </x:c>
      <x:c r="C1007" s="14" t="n">
        <x:v>46188</x:v>
      </x:c>
      <x:c r="D1007" s="12" t="str">
        <x:v>Senin</x:v>
      </x:c>
      <x:c r="E1007" s="12" t="str">
        <x:v>20:24:00</x:v>
      </x:c>
      <x:c r="F1007" s="12" t="str">
        <x:v>All Shift Night</x:v>
      </x:c>
      <x:c r="G1007" s="12" t="str">
        <x:v>STRL44G156</x:v>
      </x:c>
      <x:c r="H1007" s="12" t="str">
        <x:v>Dump Truck</x:v>
      </x:c>
      <x:c r="I1007" s="12" t="str">
        <x:v>DUMP TRUCK RENAULT KRANGE440-P6X4 A/T</x:v>
      </x:c>
      <x:c r="J1007" s="16" t="n">
        <x:v>193</x:v>
      </x:c>
      <x:c r="K1007" s="16" t="n">
        <x:v>3835</x:v>
      </x:c>
      <x:c r="L1007" s="16" t="n">
        <x:v>3843</x:v>
      </x:c>
      <x:c r="M1007" s="16" t="n">
        <x:v>8</x:v>
      </x:c>
      <x:c r="N1007" s="16" t="n">
        <x:v>24.125</x:v>
      </x:c>
      <x:c r="O1007" s="12" t="str">
        <x:v>FTRL44G004</x:v>
      </x:c>
      <x:c r="P1007" s="12" t="str">
        <x:v>STRL44G156</x:v>
      </x:c>
      <x:c r="Q1007" s="12" t="str"/>
      <x:c r="R1007" s="12" t="str"/>
      <x:c r="S1007" s="12" t="str"/>
      <x:c r="T1007" s="12" t="str">
        <x:v>ABM</x:v>
      </x:c>
      <x:c r="U1007" s="12" t="str"/>
      <x:c r="V1007" s="12" t="str"/>
      <x:c r="W1007" s="12" t="str"/>
      <x:c r="X1007" s="12" t="str">
        <x:v>STRL44</x:v>
      </x:c>
      <x:c r="Y1007" s="12" t="str">
        <x:v>ANDI &amp; ANGGI</x:v>
      </x:c>
      <x:c r="Z1007" s="12" t="str">
        <x:v>SUPPORT</x:v>
      </x:c>
      <x:c r="AA1007" s="32" t="n">
        <x:f>IFERROR(VLOOKUP(G1007,Master_Unit!$A$2:$N$78,7,FALSE),"")</x:f>
        <x:v>20</x:v>
      </x:c>
      <x:c r="AB1007" s="32" t="n">
        <x:f>IF(OR(N1007="",AA1007=""),"",N1007-AA1007)</x:f>
        <x:v>4.125</x:v>
      </x:c>
      <x:c r="AC1007" s="20" t="n">
        <x:f>IF(OR(N1007="",AA1007="",AA1007=0),"",AB1007/AA1007)</x:f>
        <x:v>0.20625</x:v>
      </x:c>
      <x:c r="AD1007" t="str">
        <x:f>IF(AA1007="","NO STANDARD",IF(AC1007&lt;=Config_Status!$B$2,"EFFICIENT",IF(AC1007&lt;=Config_Status!$B$3,"NORMAL",IF(AC1007&lt;=Config_Status!$B$4,"WARNING","OVER CONSUMPTION"))))</x:f>
        <x:v>OVER CONSUMPTION</x:v>
      </x:c>
      <x:c r="AE1007" t="str">
        <x:f>IFERROR(VLOOKUP(G1007,Master_Unit!$A$2:$N$78,13,FALSE),"UNIT NOT FOUND")</x:f>
        <x:v>Matched</x:v>
      </x:c>
    </x:row>
    <x:row r="1008">
      <x:c r="A1008" s="12" t="str">
        <x:v>FU-20260615-01007</x:v>
      </x:c>
      <x:c r="B1008" s="12" t="n">
        <x:v>1137</x:v>
      </x:c>
      <x:c r="C1008" s="14" t="n">
        <x:v>46188</x:v>
      </x:c>
      <x:c r="D1008" s="12" t="str">
        <x:v>Senin</x:v>
      </x:c>
      <x:c r="E1008" s="12" t="str">
        <x:v>20:37:00</x:v>
      </x:c>
      <x:c r="F1008" s="12" t="str">
        <x:v>All Shift Night</x:v>
      </x:c>
      <x:c r="G1008" s="12" t="str">
        <x:v>STRL44G155</x:v>
      </x:c>
      <x:c r="H1008" s="12" t="str">
        <x:v>Dump Truck</x:v>
      </x:c>
      <x:c r="I1008" s="12" t="str">
        <x:v>DUMP TRUCK RENAULT KRANGE440-P6X4 A/T</x:v>
      </x:c>
      <x:c r="J1008" s="16" t="n">
        <x:v>196</x:v>
      </x:c>
      <x:c r="K1008" s="16" t="n">
        <x:v>4025</x:v>
      </x:c>
      <x:c r="L1008" s="16" t="n">
        <x:v>4033</x:v>
      </x:c>
      <x:c r="M1008" s="16" t="n">
        <x:v>8</x:v>
      </x:c>
      <x:c r="N1008" s="16" t="n">
        <x:v>24.5</x:v>
      </x:c>
      <x:c r="O1008" s="12" t="str">
        <x:v>FTRL44G004</x:v>
      </x:c>
      <x:c r="P1008" s="12" t="str">
        <x:v>STRL44G155</x:v>
      </x:c>
      <x:c r="Q1008" s="12" t="str"/>
      <x:c r="R1008" s="12" t="str"/>
      <x:c r="S1008" s="12" t="str"/>
      <x:c r="T1008" s="12" t="str">
        <x:v>ABM</x:v>
      </x:c>
      <x:c r="U1008" s="12" t="str"/>
      <x:c r="V1008" s="12" t="str"/>
      <x:c r="W1008" s="12" t="str"/>
      <x:c r="X1008" s="12" t="str">
        <x:v>STRL44</x:v>
      </x:c>
      <x:c r="Y1008" s="12" t="str">
        <x:v>ANDI &amp; ANGGI</x:v>
      </x:c>
      <x:c r="Z1008" s="12" t="str">
        <x:v>PIT</x:v>
      </x:c>
      <x:c r="AA1008" s="32" t="n">
        <x:f>IFERROR(VLOOKUP(G1008,Master_Unit!$A$2:$N$78,7,FALSE),"")</x:f>
        <x:v>20</x:v>
      </x:c>
      <x:c r="AB1008" s="32" t="n">
        <x:f>IF(OR(N1008="",AA1008=""),"",N1008-AA1008)</x:f>
        <x:v>4.5</x:v>
      </x:c>
      <x:c r="AC1008" s="20" t="n">
        <x:f>IF(OR(N1008="",AA1008="",AA1008=0),"",AB1008/AA1008)</x:f>
        <x:v>0.225</x:v>
      </x:c>
      <x:c r="AD1008" t="str">
        <x:f>IF(AA1008="","NO STANDARD",IF(AC1008&lt;=Config_Status!$B$2,"EFFICIENT",IF(AC1008&lt;=Config_Status!$B$3,"NORMAL",IF(AC1008&lt;=Config_Status!$B$4,"WARNING","OVER CONSUMPTION"))))</x:f>
        <x:v>OVER CONSUMPTION</x:v>
      </x:c>
      <x:c r="AE1008" t="str">
        <x:f>IFERROR(VLOOKUP(G1008,Master_Unit!$A$2:$N$78,13,FALSE),"UNIT NOT FOUND")</x:f>
        <x:v>Matched</x:v>
      </x:c>
    </x:row>
    <x:row r="1009">
      <x:c r="A1009" s="12" t="str">
        <x:v>FU-20260615-01008</x:v>
      </x:c>
      <x:c r="B1009" s="12" t="n">
        <x:v>1138</x:v>
      </x:c>
      <x:c r="C1009" s="14" t="n">
        <x:v>46188</x:v>
      </x:c>
      <x:c r="D1009" s="12" t="str">
        <x:v>Senin</x:v>
      </x:c>
      <x:c r="E1009" s="12" t="str">
        <x:v>20:43:00</x:v>
      </x:c>
      <x:c r="F1009" s="12" t="str">
        <x:v>All Shift Night</x:v>
      </x:c>
      <x:c r="G1009" s="12" t="str">
        <x:v>STRL44G152</x:v>
      </x:c>
      <x:c r="H1009" s="12" t="str">
        <x:v>Dump Truck</x:v>
      </x:c>
      <x:c r="I1009" s="12" t="str">
        <x:v>DUMP TRUCK RENAULT KRANGE440-P6X4 A/T</x:v>
      </x:c>
      <x:c r="J1009" s="16" t="n">
        <x:v>193</x:v>
      </x:c>
      <x:c r="K1009" s="16" t="n">
        <x:v>3759</x:v>
      </x:c>
      <x:c r="L1009" s="16" t="n">
        <x:v>3767</x:v>
      </x:c>
      <x:c r="M1009" s="16" t="n">
        <x:v>8</x:v>
      </x:c>
      <x:c r="N1009" s="16" t="n">
        <x:v>24.125</x:v>
      </x:c>
      <x:c r="O1009" s="12" t="str">
        <x:v>FTRL44G004</x:v>
      </x:c>
      <x:c r="P1009" s="12" t="str">
        <x:v>STRL44G152</x:v>
      </x:c>
      <x:c r="Q1009" s="12" t="str"/>
      <x:c r="R1009" s="12" t="str"/>
      <x:c r="S1009" s="12" t="str"/>
      <x:c r="T1009" s="12" t="str">
        <x:v>ABM</x:v>
      </x:c>
      <x:c r="U1009" s="12" t="str"/>
      <x:c r="V1009" s="12" t="str"/>
      <x:c r="W1009" s="12" t="str"/>
      <x:c r="X1009" s="12" t="str">
        <x:v>STRL44</x:v>
      </x:c>
      <x:c r="Y1009" s="12" t="str">
        <x:v>ANDI &amp; ANGGI</x:v>
      </x:c>
      <x:c r="Z1009" s="12" t="str">
        <x:v>SUPPORT</x:v>
      </x:c>
      <x:c r="AA1009" s="32" t="n">
        <x:f>IFERROR(VLOOKUP(G1009,Master_Unit!$A$2:$N$78,7,FALSE),"")</x:f>
        <x:v>20</x:v>
      </x:c>
      <x:c r="AB1009" s="32" t="n">
        <x:f>IF(OR(N1009="",AA1009=""),"",N1009-AA1009)</x:f>
        <x:v>4.125</x:v>
      </x:c>
      <x:c r="AC1009" s="20" t="n">
        <x:f>IF(OR(N1009="",AA1009="",AA1009=0),"",AB1009/AA1009)</x:f>
        <x:v>0.20625</x:v>
      </x:c>
      <x:c r="AD1009" t="str">
        <x:f>IF(AA1009="","NO STANDARD",IF(AC1009&lt;=Config_Status!$B$2,"EFFICIENT",IF(AC1009&lt;=Config_Status!$B$3,"NORMAL",IF(AC1009&lt;=Config_Status!$B$4,"WARNING","OVER CONSUMPTION"))))</x:f>
        <x:v>OVER CONSUMPTION</x:v>
      </x:c>
      <x:c r="AE1009" t="str">
        <x:f>IFERROR(VLOOKUP(G1009,Master_Unit!$A$2:$N$78,13,FALSE),"UNIT NOT FOUND")</x:f>
        <x:v>Matched</x:v>
      </x:c>
    </x:row>
    <x:row r="1010">
      <x:c r="A1010" s="12" t="str">
        <x:v>FU-20260615-01009</x:v>
      </x:c>
      <x:c r="B1010" s="12" t="n">
        <x:v>1139</x:v>
      </x:c>
      <x:c r="C1010" s="14" t="n">
        <x:v>46188</x:v>
      </x:c>
      <x:c r="D1010" s="12" t="str">
        <x:v>Senin</x:v>
      </x:c>
      <x:c r="E1010" s="12" t="str">
        <x:v>20:48:00</x:v>
      </x:c>
      <x:c r="F1010" s="12" t="str">
        <x:v>All Shift Night</x:v>
      </x:c>
      <x:c r="G1010" s="12" t="str">
        <x:v>STRL44G143</x:v>
      </x:c>
      <x:c r="H1010" s="12" t="str">
        <x:v>Dump Truck</x:v>
      </x:c>
      <x:c r="I1010" s="12" t="str">
        <x:v>DUMP TRUCK RENAULT KRANGE440-P6X4 A/T</x:v>
      </x:c>
      <x:c r="J1010" s="16" t="n">
        <x:v>213</x:v>
      </x:c>
      <x:c r="K1010" s="16" t="n">
        <x:v>5298</x:v>
      </x:c>
      <x:c r="L1010" s="16" t="n">
        <x:v>5307</x:v>
      </x:c>
      <x:c r="M1010" s="16" t="n">
        <x:v>9</x:v>
      </x:c>
      <x:c r="N1010" s="16" t="n">
        <x:v>23.666666666666668</x:v>
      </x:c>
      <x:c r="O1010" s="12" t="str">
        <x:v>FTRL44G004</x:v>
      </x:c>
      <x:c r="P1010" s="12" t="str">
        <x:v>STRL44G143</x:v>
      </x:c>
      <x:c r="Q1010" s="12" t="str"/>
      <x:c r="R1010" s="12" t="str"/>
      <x:c r="S1010" s="12" t="str"/>
      <x:c r="T1010" s="12" t="str">
        <x:v>ABM</x:v>
      </x:c>
      <x:c r="U1010" s="12" t="str"/>
      <x:c r="V1010" s="12" t="str"/>
      <x:c r="W1010" s="12" t="str"/>
      <x:c r="X1010" s="12" t="str">
        <x:v>STRL44</x:v>
      </x:c>
      <x:c r="Y1010" s="12" t="str">
        <x:v>ANDI &amp; ANGGI</x:v>
      </x:c>
      <x:c r="Z1010" s="12" t="str">
        <x:v>SUPPORT</x:v>
      </x:c>
      <x:c r="AA1010" s="32" t="n">
        <x:f>IFERROR(VLOOKUP(G1010,Master_Unit!$A$2:$N$78,7,FALSE),"")</x:f>
        <x:v>20</x:v>
      </x:c>
      <x:c r="AB1010" s="32" t="n">
        <x:f>IF(OR(N1010="",AA1010=""),"",N1010-AA1010)</x:f>
        <x:v>3.666666666666668</x:v>
      </x:c>
      <x:c r="AC1010" s="20" t="n">
        <x:f>IF(OR(N1010="",AA1010="",AA1010=0),"",AB1010/AA1010)</x:f>
        <x:v>0.1833333333333334</x:v>
      </x:c>
      <x:c r="AD1010" t="str">
        <x:f>IF(AA1010="","NO STANDARD",IF(AC1010&lt;=Config_Status!$B$2,"EFFICIENT",IF(AC1010&lt;=Config_Status!$B$3,"NORMAL",IF(AC1010&lt;=Config_Status!$B$4,"WARNING","OVER CONSUMPTION"))))</x:f>
        <x:v>WARNING</x:v>
      </x:c>
      <x:c r="AE1010" t="str">
        <x:f>IFERROR(VLOOKUP(G1010,Master_Unit!$A$2:$N$78,13,FALSE),"UNIT NOT FOUND")</x:f>
        <x:v>Matched</x:v>
      </x:c>
    </x:row>
    <x:row r="1011">
      <x:c r="A1011" s="12" t="str">
        <x:v>FU-20260615-01010</x:v>
      </x:c>
      <x:c r="B1011" s="12" t="n">
        <x:v>1140</x:v>
      </x:c>
      <x:c r="C1011" s="14" t="n">
        <x:v>46188</x:v>
      </x:c>
      <x:c r="D1011" s="12" t="str">
        <x:v>Senin</x:v>
      </x:c>
      <x:c r="E1011" s="12" t="str">
        <x:v>20:52:00</x:v>
      </x:c>
      <x:c r="F1011" s="12" t="str">
        <x:v>All Shift Night</x:v>
      </x:c>
      <x:c r="G1011" s="12" t="str">
        <x:v>STRL44G157</x:v>
      </x:c>
      <x:c r="H1011" s="12" t="str">
        <x:v>Dump Truck</x:v>
      </x:c>
      <x:c r="I1011" s="12" t="str">
        <x:v>DUMP TRUCK RENAULT KRANGE440-P6X4 A/T</x:v>
      </x:c>
      <x:c r="J1011" s="16" t="n">
        <x:v>203</x:v>
      </x:c>
      <x:c r="K1011" s="16" t="n">
        <x:v>4127</x:v>
      </x:c>
      <x:c r="L1011" s="16" t="n">
        <x:v>4135</x:v>
      </x:c>
      <x:c r="M1011" s="16" t="n">
        <x:v>8</x:v>
      </x:c>
      <x:c r="N1011" s="16" t="n">
        <x:v>25.375</x:v>
      </x:c>
      <x:c r="O1011" s="12" t="str">
        <x:v>FTRL44G004</x:v>
      </x:c>
      <x:c r="P1011" s="12" t="str">
        <x:v>STRL44G157</x:v>
      </x:c>
      <x:c r="Q1011" s="12" t="str"/>
      <x:c r="R1011" s="12" t="str"/>
      <x:c r="S1011" s="12" t="str"/>
      <x:c r="T1011" s="12" t="str">
        <x:v>ABM</x:v>
      </x:c>
      <x:c r="U1011" s="12" t="str"/>
      <x:c r="V1011" s="12" t="str"/>
      <x:c r="W1011" s="12" t="str"/>
      <x:c r="X1011" s="12" t="str">
        <x:v>STRL44</x:v>
      </x:c>
      <x:c r="Y1011" s="12" t="str">
        <x:v>ANDI &amp; ANGGI</x:v>
      </x:c>
      <x:c r="Z1011" s="12" t="str">
        <x:v>PIT</x:v>
      </x:c>
      <x:c r="AA1011" s="32" t="n">
        <x:f>IFERROR(VLOOKUP(G1011,Master_Unit!$A$2:$N$78,7,FALSE),"")</x:f>
        <x:v>20</x:v>
      </x:c>
      <x:c r="AB1011" s="32" t="n">
        <x:f>IF(OR(N1011="",AA1011=""),"",N1011-AA1011)</x:f>
        <x:v>5.375</x:v>
      </x:c>
      <x:c r="AC1011" s="20" t="n">
        <x:f>IF(OR(N1011="",AA1011="",AA1011=0),"",AB1011/AA1011)</x:f>
        <x:v>0.26875</x:v>
      </x:c>
      <x:c r="AD1011" t="str">
        <x:f>IF(AA1011="","NO STANDARD",IF(AC1011&lt;=Config_Status!$B$2,"EFFICIENT",IF(AC1011&lt;=Config_Status!$B$3,"NORMAL",IF(AC1011&lt;=Config_Status!$B$4,"WARNING","OVER CONSUMPTION"))))</x:f>
        <x:v>OVER CONSUMPTION</x:v>
      </x:c>
      <x:c r="AE1011" t="str">
        <x:f>IFERROR(VLOOKUP(G1011,Master_Unit!$A$2:$N$78,13,FALSE),"UNIT NOT FOUND")</x:f>
        <x:v>Matched</x:v>
      </x:c>
    </x:row>
    <x:row r="1012">
      <x:c r="A1012" s="12" t="str">
        <x:v>FU-20260615-01011</x:v>
      </x:c>
      <x:c r="B1012" s="12" t="n">
        <x:v>1141</x:v>
      </x:c>
      <x:c r="C1012" s="14" t="n">
        <x:v>46188</x:v>
      </x:c>
      <x:c r="D1012" s="12" t="str">
        <x:v>Senin</x:v>
      </x:c>
      <x:c r="E1012" s="12" t="str">
        <x:v>18:40:00</x:v>
      </x:c>
      <x:c r="F1012" s="12" t="str">
        <x:v>All Shift Night</x:v>
      </x:c>
      <x:c r="G1012" s="12" t="str">
        <x:v>EXVV21G037</x:v>
      </x:c>
      <x:c r="H1012" s="12" t="str">
        <x:v>Excavator</x:v>
      </x:c>
      <x:c r="I1012" s="12" t="str">
        <x:v>EXCAVATOR VOLVO EC210D</x:v>
      </x:c>
      <x:c r="J1012" s="16" t="n">
        <x:v>95</x:v>
      </x:c>
      <x:c r="K1012" s="16" t="n">
        <x:v>6931.5</x:v>
      </x:c>
      <x:c r="L1012" s="16" t="n">
        <x:v>6937.7</x:v>
      </x:c>
      <x:c r="M1012" s="16" t="n">
        <x:v>6.199999999999818</x:v>
      </x:c>
      <x:c r="N1012" s="16" t="n">
        <x:v>15.32258064516174</x:v>
      </x:c>
      <x:c r="O1012" s="12" t="str">
        <x:v>FTRL44G005</x:v>
      </x:c>
      <x:c r="P1012" s="12" t="str">
        <x:v>EXVV21G037</x:v>
      </x:c>
      <x:c r="Q1012" s="12" t="str"/>
      <x:c r="R1012" s="12" t="str"/>
      <x:c r="S1012" s="12" t="str"/>
      <x:c r="T1012" s="12" t="str">
        <x:v>ABM</x:v>
      </x:c>
      <x:c r="U1012" s="12" t="str"/>
      <x:c r="V1012" s="12" t="str"/>
      <x:c r="W1012" s="12" t="str"/>
      <x:c r="X1012" s="12" t="str">
        <x:v>EXVV21</x:v>
      </x:c>
      <x:c r="Y1012" s="12" t="str">
        <x:v>FANGKI &amp; ACUNG</x:v>
      </x:c>
      <x:c r="Z1012" s="12" t="str">
        <x:v>SUPPORT</x:v>
      </x:c>
      <x:c r="AA1012" s="32" t="n">
        <x:f>IFERROR(VLOOKUP(G1012,Master_Unit!$A$2:$N$78,7,FALSE),"")</x:f>
        <x:v>20</x:v>
      </x:c>
      <x:c r="AB1012" s="32" t="n">
        <x:f>IF(OR(N1012="",AA1012=""),"",N1012-AA1012)</x:f>
        <x:v>-4.6774193548382605</x:v>
      </x:c>
      <x:c r="AC1012" s="20" t="n">
        <x:f>IF(OR(N1012="",AA1012="",AA1012=0),"",AB1012/AA1012)</x:f>
        <x:v>-0.23387096774191302</x:v>
      </x:c>
      <x:c r="AD1012" t="str">
        <x:f>IF(AA1012="","NO STANDARD",IF(AC1012&lt;=Config_Status!$B$2,"EFFICIENT",IF(AC1012&lt;=Config_Status!$B$3,"NORMAL",IF(AC1012&lt;=Config_Status!$B$4,"WARNING","OVER CONSUMPTION"))))</x:f>
        <x:v>EFFICIENT</x:v>
      </x:c>
      <x:c r="AE1012" t="str">
        <x:f>IFERROR(VLOOKUP(G1012,Master_Unit!$A$2:$N$78,13,FALSE),"UNIT NOT FOUND")</x:f>
        <x:v>Matched</x:v>
      </x:c>
    </x:row>
    <x:row r="1013">
      <x:c r="A1013" s="12" t="str">
        <x:v>FU-20260615-01012</x:v>
      </x:c>
      <x:c r="B1013" s="12" t="n">
        <x:v>1142</x:v>
      </x:c>
      <x:c r="C1013" s="14" t="n">
        <x:v>46188</x:v>
      </x:c>
      <x:c r="D1013" s="12" t="str">
        <x:v>Senin</x:v>
      </x:c>
      <x:c r="E1013" s="12" t="str">
        <x:v>18:43:00</x:v>
      </x:c>
      <x:c r="F1013" s="12" t="str">
        <x:v>All Shift Night</x:v>
      </x:c>
      <x:c r="G1013" s="12" t="str">
        <x:v>EXVV21G032</x:v>
      </x:c>
      <x:c r="H1013" s="12" t="str">
        <x:v>Excavator</x:v>
      </x:c>
      <x:c r="I1013" s="12" t="str">
        <x:v>EXCAVATOR VOLVO EC210D</x:v>
      </x:c>
      <x:c r="J1013" s="16" t="n">
        <x:v>95</x:v>
      </x:c>
      <x:c r="K1013" s="16" t="n">
        <x:v>7583.7</x:v>
      </x:c>
      <x:c r="L1013" s="16" t="n">
        <x:v>7593.2</x:v>
      </x:c>
      <x:c r="M1013" s="16" t="n">
        <x:v>9.5</x:v>
      </x:c>
      <x:c r="N1013" s="16" t="n">
        <x:v>10</x:v>
      </x:c>
      <x:c r="O1013" s="12" t="str">
        <x:v>FTRL44G005</x:v>
      </x:c>
      <x:c r="P1013" s="12" t="str">
        <x:v>EXVV21G032</x:v>
      </x:c>
      <x:c r="Q1013" s="12" t="str"/>
      <x:c r="R1013" s="12" t="str"/>
      <x:c r="S1013" s="12" t="str"/>
      <x:c r="T1013" s="12" t="str">
        <x:v>ABM</x:v>
      </x:c>
      <x:c r="U1013" s="12" t="str"/>
      <x:c r="V1013" s="12" t="str"/>
      <x:c r="W1013" s="12" t="str"/>
      <x:c r="X1013" s="12" t="str">
        <x:v>EXVV21</x:v>
      </x:c>
      <x:c r="Y1013" s="12" t="str">
        <x:v>FANGKI &amp; ACUNG</x:v>
      </x:c>
      <x:c r="Z1013" s="12" t="str">
        <x:v>ETO</x:v>
      </x:c>
      <x:c r="AA1013" s="32" t="n">
        <x:f>IFERROR(VLOOKUP(G1013,Master_Unit!$A$2:$N$78,7,FALSE),"")</x:f>
        <x:v>20</x:v>
      </x:c>
      <x:c r="AB1013" s="32" t="n">
        <x:f>IF(OR(N1013="",AA1013=""),"",N1013-AA1013)</x:f>
        <x:v>-10</x:v>
      </x:c>
      <x:c r="AC1013" s="20" t="n">
        <x:f>IF(OR(N1013="",AA1013="",AA1013=0),"",AB1013/AA1013)</x:f>
        <x:v>-0.5</x:v>
      </x:c>
      <x:c r="AD1013" t="str">
        <x:f>IF(AA1013="","NO STANDARD",IF(AC1013&lt;=Config_Status!$B$2,"EFFICIENT",IF(AC1013&lt;=Config_Status!$B$3,"NORMAL",IF(AC1013&lt;=Config_Status!$B$4,"WARNING","OVER CONSUMPTION"))))</x:f>
        <x:v>EFFICIENT</x:v>
      </x:c>
      <x:c r="AE1013" t="str">
        <x:f>IFERROR(VLOOKUP(G1013,Master_Unit!$A$2:$N$78,13,FALSE),"UNIT NOT FOUND")</x:f>
        <x:v>Matched</x:v>
      </x:c>
    </x:row>
    <x:row r="1014">
      <x:c r="A1014" s="12" t="str">
        <x:v>FU-20260615-01013</x:v>
      </x:c>
      <x:c r="B1014" s="12" t="n">
        <x:v>1143</x:v>
      </x:c>
      <x:c r="C1014" s="14" t="n">
        <x:v>46188</x:v>
      </x:c>
      <x:c r="D1014" s="12" t="str">
        <x:v>Senin</x:v>
      </x:c>
      <x:c r="E1014" s="12" t="str">
        <x:v>18:47:00</x:v>
      </x:c>
      <x:c r="F1014" s="12" t="str">
        <x:v>All Shift Night</x:v>
      </x:c>
      <x:c r="G1014" s="12" t="str">
        <x:v>BDKM85G039</x:v>
      </x:c>
      <x:c r="H1014" s="12" t="str">
        <x:v>Dozer</x:v>
      </x:c>
      <x:c r="I1014" s="12" t="str">
        <x:v>BULDOZER KOMATSU D85ESS-2</x:v>
      </x:c>
      <x:c r="J1014" s="16" t="n">
        <x:v>58</x:v>
      </x:c>
      <x:c r="K1014" s="16" t="n">
        <x:v>7144.8</x:v>
      </x:c>
      <x:c r="L1014" s="16" t="n">
        <x:v>7149.9</x:v>
      </x:c>
      <x:c r="M1014" s="16" t="n">
        <x:v>5.099999999999454</x:v>
      </x:c>
      <x:c r="N1014" s="16" t="n">
        <x:v>11.37254901960906</x:v>
      </x:c>
      <x:c r="O1014" s="12" t="str">
        <x:v>FTRL44G005</x:v>
      </x:c>
      <x:c r="P1014" s="12" t="str">
        <x:v>BDKM85G039</x:v>
      </x:c>
      <x:c r="Q1014" s="12" t="str"/>
      <x:c r="R1014" s="12" t="str"/>
      <x:c r="S1014" s="12" t="str"/>
      <x:c r="T1014" s="12" t="str">
        <x:v>ABM</x:v>
      </x:c>
      <x:c r="U1014" s="12" t="str"/>
      <x:c r="V1014" s="12" t="str"/>
      <x:c r="W1014" s="12" t="str"/>
      <x:c r="X1014" s="12" t="str">
        <x:v>BDKM85</x:v>
      </x:c>
      <x:c r="Y1014" s="12" t="str">
        <x:v>FANGKI &amp; ACUNG</x:v>
      </x:c>
      <x:c r="Z1014" s="12" t="str">
        <x:v>ETO</x:v>
      </x:c>
      <x:c r="AA1014" s="32" t="n">
        <x:f>IFERROR(VLOOKUP(G1014,Master_Unit!$A$2:$N$78,7,FALSE),"")</x:f>
        <x:v>30</x:v>
      </x:c>
      <x:c r="AB1014" s="32" t="n">
        <x:f>IF(OR(N1014="",AA1014=""),"",N1014-AA1014)</x:f>
        <x:v>-18.62745098039094</x:v>
      </x:c>
      <x:c r="AC1014" s="20" t="n">
        <x:f>IF(OR(N1014="",AA1014="",AA1014=0),"",AB1014/AA1014)</x:f>
        <x:v>-0.6209150326796979</x:v>
      </x:c>
      <x:c r="AD1014" t="str">
        <x:f>IF(AA1014="","NO STANDARD",IF(AC1014&lt;=Config_Status!$B$2,"EFFICIENT",IF(AC1014&lt;=Config_Status!$B$3,"NORMAL",IF(AC1014&lt;=Config_Status!$B$4,"WARNING","OVER CONSUMPTION"))))</x:f>
        <x:v>EFFICIENT</x:v>
      </x:c>
      <x:c r="AE1014" t="str">
        <x:f>IFERROR(VLOOKUP(G1014,Master_Unit!$A$2:$N$78,13,FALSE),"UNIT NOT FOUND")</x:f>
        <x:v>Matched</x:v>
      </x:c>
    </x:row>
    <x:row r="1015">
      <x:c r="A1015" s="12" t="str">
        <x:v>FU-20260615-01014</x:v>
      </x:c>
      <x:c r="B1015" s="12" t="n">
        <x:v>1144</x:v>
      </x:c>
      <x:c r="C1015" s="14" t="n">
        <x:v>46188</x:v>
      </x:c>
      <x:c r="D1015" s="12" t="str">
        <x:v>Senin</x:v>
      </x:c>
      <x:c r="E1015" s="12" t="str">
        <x:v>18:53:00</x:v>
      </x:c>
      <x:c r="F1015" s="12" t="str">
        <x:v>All Shift Night</x:v>
      </x:c>
      <x:c r="G1015" s="12" t="str">
        <x:v>EXVV21G039</x:v>
      </x:c>
      <x:c r="H1015" s="12" t="str">
        <x:v>Excavator</x:v>
      </x:c>
      <x:c r="I1015" s="12" t="str">
        <x:v>EXCAVATOR VOLVO EC210D</x:v>
      </x:c>
      <x:c r="J1015" s="16" t="n">
        <x:v>109</x:v>
      </x:c>
      <x:c r="K1015" s="16" t="n">
        <x:v>6354.6</x:v>
      </x:c>
      <x:c r="L1015" s="16" t="n">
        <x:v>6364.4</x:v>
      </x:c>
      <x:c r="M1015" s="16" t="n">
        <x:v>9.799999999999272</x:v>
      </x:c>
      <x:c r="N1015" s="16" t="n">
        <x:v>11.122448979592663</x:v>
      </x:c>
      <x:c r="O1015" s="12" t="str">
        <x:v>FTRL44G005</x:v>
      </x:c>
      <x:c r="P1015" s="12" t="str">
        <x:v>EXVV21G039</x:v>
      </x:c>
      <x:c r="Q1015" s="12" t="str"/>
      <x:c r="R1015" s="12" t="str"/>
      <x:c r="S1015" s="12" t="str"/>
      <x:c r="T1015" s="12" t="str">
        <x:v>ABM</x:v>
      </x:c>
      <x:c r="U1015" s="12" t="str"/>
      <x:c r="V1015" s="12" t="str"/>
      <x:c r="W1015" s="12" t="str"/>
      <x:c r="X1015" s="12" t="str">
        <x:v>EXVV21</x:v>
      </x:c>
      <x:c r="Y1015" s="12" t="str">
        <x:v>FANGKI &amp; ACUNG</x:v>
      </x:c>
      <x:c r="Z1015" s="12" t="str">
        <x:v>PIT</x:v>
      </x:c>
      <x:c r="AA1015" s="32" t="n">
        <x:f>IFERROR(VLOOKUP(G1015,Master_Unit!$A$2:$N$78,7,FALSE),"")</x:f>
        <x:v>20</x:v>
      </x:c>
      <x:c r="AB1015" s="32" t="n">
        <x:f>IF(OR(N1015="",AA1015=""),"",N1015-AA1015)</x:f>
        <x:v>-8.877551020407337</x:v>
      </x:c>
      <x:c r="AC1015" s="20" t="n">
        <x:f>IF(OR(N1015="",AA1015="",AA1015=0),"",AB1015/AA1015)</x:f>
        <x:v>-0.44387755102036686</x:v>
      </x:c>
      <x:c r="AD1015" t="str">
        <x:f>IF(AA1015="","NO STANDARD",IF(AC1015&lt;=Config_Status!$B$2,"EFFICIENT",IF(AC1015&lt;=Config_Status!$B$3,"NORMAL",IF(AC1015&lt;=Config_Status!$B$4,"WARNING","OVER CONSUMPTION"))))</x:f>
        <x:v>EFFICIENT</x:v>
      </x:c>
      <x:c r="AE1015" t="str">
        <x:f>IFERROR(VLOOKUP(G1015,Master_Unit!$A$2:$N$78,13,FALSE),"UNIT NOT FOUND")</x:f>
        <x:v>Matched</x:v>
      </x:c>
    </x:row>
    <x:row r="1016">
      <x:c r="A1016" s="12" t="str">
        <x:v>FU-20260615-01015</x:v>
      </x:c>
      <x:c r="B1016" s="12" t="n">
        <x:v>1145</x:v>
      </x:c>
      <x:c r="C1016" s="14" t="n">
        <x:v>46188</x:v>
      </x:c>
      <x:c r="D1016" s="12" t="str">
        <x:v>Senin</x:v>
      </x:c>
      <x:c r="E1016" s="12" t="str">
        <x:v>18:57:00</x:v>
      </x:c>
      <x:c r="F1016" s="12" t="str">
        <x:v>All Shift Night</x:v>
      </x:c>
      <x:c r="G1016" s="12" t="str">
        <x:v>EXVV21G035</x:v>
      </x:c>
      <x:c r="H1016" s="12" t="str">
        <x:v>Excavator</x:v>
      </x:c>
      <x:c r="I1016" s="12" t="str">
        <x:v>EXCAVATOR VOLVO EC210D</x:v>
      </x:c>
      <x:c r="J1016" s="16" t="n">
        <x:v>108</x:v>
      </x:c>
      <x:c r="K1016" s="16" t="n">
        <x:v>8464.2</x:v>
      </x:c>
      <x:c r="L1016" s="16" t="n">
        <x:v>8474.8</x:v>
      </x:c>
      <x:c r="M1016" s="16" t="n">
        <x:v>10.599999999998545</x:v>
      </x:c>
      <x:c r="N1016" s="16" t="n">
        <x:v>10.188679245284417</x:v>
      </x:c>
      <x:c r="O1016" s="12" t="str">
        <x:v>FTRL44G005</x:v>
      </x:c>
      <x:c r="P1016" s="12" t="str">
        <x:v>EXVV21G035</x:v>
      </x:c>
      <x:c r="Q1016" s="12" t="str"/>
      <x:c r="R1016" s="12" t="str"/>
      <x:c r="S1016" s="12" t="str"/>
      <x:c r="T1016" s="12" t="str">
        <x:v>ABM</x:v>
      </x:c>
      <x:c r="U1016" s="12" t="str"/>
      <x:c r="V1016" s="12" t="str"/>
      <x:c r="W1016" s="12" t="str"/>
      <x:c r="X1016" s="12" t="str">
        <x:v>EXVV21</x:v>
      </x:c>
      <x:c r="Y1016" s="12" t="str">
        <x:v>FANGKI &amp; ACUNG</x:v>
      </x:c>
      <x:c r="Z1016" s="12" t="str">
        <x:v>PIT</x:v>
      </x:c>
      <x:c r="AA1016" s="32" t="n">
        <x:f>IFERROR(VLOOKUP(G1016,Master_Unit!$A$2:$N$78,7,FALSE),"")</x:f>
        <x:v>20</x:v>
      </x:c>
      <x:c r="AB1016" s="32" t="n">
        <x:f>IF(OR(N1016="",AA1016=""),"",N1016-AA1016)</x:f>
        <x:v>-9.811320754715583</x:v>
      </x:c>
      <x:c r="AC1016" s="20" t="n">
        <x:f>IF(OR(N1016="",AA1016="",AA1016=0),"",AB1016/AA1016)</x:f>
        <x:v>-0.4905660377357791</x:v>
      </x:c>
      <x:c r="AD1016" t="str">
        <x:f>IF(AA1016="","NO STANDARD",IF(AC1016&lt;=Config_Status!$B$2,"EFFICIENT",IF(AC1016&lt;=Config_Status!$B$3,"NORMAL",IF(AC1016&lt;=Config_Status!$B$4,"WARNING","OVER CONSUMPTION"))))</x:f>
        <x:v>EFFICIENT</x:v>
      </x:c>
      <x:c r="AE1016" t="str">
        <x:f>IFERROR(VLOOKUP(G1016,Master_Unit!$A$2:$N$78,13,FALSE),"UNIT NOT FOUND")</x:f>
        <x:v>Matched</x:v>
      </x:c>
    </x:row>
    <x:row r="1017">
      <x:c r="A1017" s="12" t="str">
        <x:v>FU-20260615-01016</x:v>
      </x:c>
      <x:c r="B1017" s="12" t="n">
        <x:v>1146</x:v>
      </x:c>
      <x:c r="C1017" s="14" t="n">
        <x:v>46188</x:v>
      </x:c>
      <x:c r="D1017" s="12" t="str">
        <x:v>Senin</x:v>
      </x:c>
      <x:c r="E1017" s="12" t="str">
        <x:v>19:04:00</x:v>
      </x:c>
      <x:c r="F1017" s="12" t="str">
        <x:v>All Shift Night</x:v>
      </x:c>
      <x:c r="G1017" s="12" t="str">
        <x:v>BDKM85G040</x:v>
      </x:c>
      <x:c r="H1017" s="12" t="str">
        <x:v>Dozer</x:v>
      </x:c>
      <x:c r="I1017" s="12" t="str">
        <x:v>BULDOZER KOMATSU D85ESS-2</x:v>
      </x:c>
      <x:c r="J1017" s="16" t="n">
        <x:v>84</x:v>
      </x:c>
      <x:c r="K1017" s="16" t="n">
        <x:v>6298.2</x:v>
      </x:c>
      <x:c r="L1017" s="16" t="n">
        <x:v>6302.7</x:v>
      </x:c>
      <x:c r="M1017" s="16" t="n">
        <x:v>4.5</x:v>
      </x:c>
      <x:c r="N1017" s="16" t="n">
        <x:v>18.666666666666668</x:v>
      </x:c>
      <x:c r="O1017" s="12" t="str">
        <x:v>FTRL44G005</x:v>
      </x:c>
      <x:c r="P1017" s="12" t="str">
        <x:v>BDKM85G040</x:v>
      </x:c>
      <x:c r="Q1017" s="12" t="str"/>
      <x:c r="R1017" s="12" t="str"/>
      <x:c r="S1017" s="12" t="str"/>
      <x:c r="T1017" s="12" t="str">
        <x:v>ABM</x:v>
      </x:c>
      <x:c r="U1017" s="12" t="str"/>
      <x:c r="V1017" s="12" t="str"/>
      <x:c r="W1017" s="12" t="str"/>
      <x:c r="X1017" s="12" t="str">
        <x:v>BDKM85</x:v>
      </x:c>
      <x:c r="Y1017" s="12" t="str">
        <x:v>FANGKI &amp; ACUNG</x:v>
      </x:c>
      <x:c r="Z1017" s="12" t="str">
        <x:v>SUPPORT</x:v>
      </x:c>
      <x:c r="AA1017" s="32" t="n">
        <x:f>IFERROR(VLOOKUP(G1017,Master_Unit!$A$2:$N$78,7,FALSE),"")</x:f>
        <x:v>30</x:v>
      </x:c>
      <x:c r="AB1017" s="32" t="n">
        <x:f>IF(OR(N1017="",AA1017=""),"",N1017-AA1017)</x:f>
        <x:v>-11.333333333333332</x:v>
      </x:c>
      <x:c r="AC1017" s="20" t="n">
        <x:f>IF(OR(N1017="",AA1017="",AA1017=0),"",AB1017/AA1017)</x:f>
        <x:v>-0.3777777777777777</x:v>
      </x:c>
      <x:c r="AD1017" t="str">
        <x:f>IF(AA1017="","NO STANDARD",IF(AC1017&lt;=Config_Status!$B$2,"EFFICIENT",IF(AC1017&lt;=Config_Status!$B$3,"NORMAL",IF(AC1017&lt;=Config_Status!$B$4,"WARNING","OVER CONSUMPTION"))))</x:f>
        <x:v>EFFICIENT</x:v>
      </x:c>
      <x:c r="AE1017" t="str">
        <x:f>IFERROR(VLOOKUP(G1017,Master_Unit!$A$2:$N$78,13,FALSE),"UNIT NOT FOUND")</x:f>
        <x:v>Matched</x:v>
      </x:c>
    </x:row>
    <x:row r="1018">
      <x:c r="A1018" s="12" t="str">
        <x:v>FU-20260615-01017</x:v>
      </x:c>
      <x:c r="B1018" s="12" t="n">
        <x:v>1147</x:v>
      </x:c>
      <x:c r="C1018" s="14" t="n">
        <x:v>46188</x:v>
      </x:c>
      <x:c r="D1018" s="12" t="str">
        <x:v>Senin</x:v>
      </x:c>
      <x:c r="E1018" s="12" t="str">
        <x:v>19:07:00</x:v>
      </x:c>
      <x:c r="F1018" s="12" t="str">
        <x:v>All Shift Night</x:v>
      </x:c>
      <x:c r="G1018" s="12" t="str">
        <x:v>EXVV21G042</x:v>
      </x:c>
      <x:c r="H1018" s="12" t="str">
        <x:v>Excavator</x:v>
      </x:c>
      <x:c r="I1018" s="12" t="str">
        <x:v>EXCAVATOR VOLVO EC210D</x:v>
      </x:c>
      <x:c r="J1018" s="16" t="n">
        <x:v>107</x:v>
      </x:c>
      <x:c r="K1018" s="16" t="n">
        <x:v>7809.6</x:v>
      </x:c>
      <x:c r="L1018" s="16" t="n">
        <x:v>7819.7</x:v>
      </x:c>
      <x:c r="M1018" s="16" t="n">
        <x:v>10.099999999999454</x:v>
      </x:c>
      <x:c r="N1018" s="16" t="n">
        <x:v>10.594059405941167</x:v>
      </x:c>
      <x:c r="O1018" s="12" t="str">
        <x:v>FTRL44G005</x:v>
      </x:c>
      <x:c r="P1018" s="12" t="str">
        <x:v>EXVV21G042</x:v>
      </x:c>
      <x:c r="Q1018" s="12" t="str"/>
      <x:c r="R1018" s="12" t="str"/>
      <x:c r="S1018" s="12" t="str"/>
      <x:c r="T1018" s="12" t="str">
        <x:v>ABM</x:v>
      </x:c>
      <x:c r="U1018" s="12" t="str"/>
      <x:c r="V1018" s="12" t="str"/>
      <x:c r="W1018" s="12" t="str"/>
      <x:c r="X1018" s="12" t="str">
        <x:v>EXVV21</x:v>
      </x:c>
      <x:c r="Y1018" s="12" t="str">
        <x:v>FANGKI &amp; ACUNG</x:v>
      </x:c>
      <x:c r="Z1018" s="12" t="str">
        <x:v>PIT</x:v>
      </x:c>
      <x:c r="AA1018" s="32" t="n">
        <x:f>IFERROR(VLOOKUP(G1018,Master_Unit!$A$2:$N$78,7,FALSE),"")</x:f>
        <x:v>20</x:v>
      </x:c>
      <x:c r="AB1018" s="32" t="n">
        <x:f>IF(OR(N1018="",AA1018=""),"",N1018-AA1018)</x:f>
        <x:v>-9.405940594058833</x:v>
      </x:c>
      <x:c r="AC1018" s="20" t="n">
        <x:f>IF(OR(N1018="",AA1018="",AA1018=0),"",AB1018/AA1018)</x:f>
        <x:v>-0.4702970297029417</x:v>
      </x:c>
      <x:c r="AD1018" t="str">
        <x:f>IF(AA1018="","NO STANDARD",IF(AC1018&lt;=Config_Status!$B$2,"EFFICIENT",IF(AC1018&lt;=Config_Status!$B$3,"NORMAL",IF(AC1018&lt;=Config_Status!$B$4,"WARNING","OVER CONSUMPTION"))))</x:f>
        <x:v>EFFICIENT</x:v>
      </x:c>
      <x:c r="AE1018" t="str">
        <x:f>IFERROR(VLOOKUP(G1018,Master_Unit!$A$2:$N$78,13,FALSE),"UNIT NOT FOUND")</x:f>
        <x:v>Matched</x:v>
      </x:c>
    </x:row>
    <x:row r="1019">
      <x:c r="A1019" s="12" t="str">
        <x:v>FU-20260615-01018</x:v>
      </x:c>
      <x:c r="B1019" s="12" t="n">
        <x:v>1148</x:v>
      </x:c>
      <x:c r="C1019" s="14" t="n">
        <x:v>46188</x:v>
      </x:c>
      <x:c r="D1019" s="12" t="str">
        <x:v>Senin</x:v>
      </x:c>
      <x:c r="E1019" s="12" t="str">
        <x:v>19:14:00</x:v>
      </x:c>
      <x:c r="F1019" s="12" t="str">
        <x:v>All Shift Night</x:v>
      </x:c>
      <x:c r="G1019" s="12" t="str">
        <x:v>EXVV35G005</x:v>
      </x:c>
      <x:c r="H1019" s="12" t="str">
        <x:v>Excavator</x:v>
      </x:c>
      <x:c r="I1019" s="12" t="str">
        <x:v>EXCAVATOR VOLVO EC350D</x:v>
      </x:c>
      <x:c r="J1019" s="16" t="n">
        <x:v>148</x:v>
      </x:c>
      <x:c r="K1019" s="16" t="n">
        <x:v>5252.6</x:v>
      </x:c>
      <x:c r="L1019" s="16" t="n">
        <x:v>5260</x:v>
      </x:c>
      <x:c r="M1019" s="16" t="n">
        <x:v>7.399999999999636</x:v>
      </x:c>
      <x:c r="N1019" s="16" t="n">
        <x:v>20.000000000000984</x:v>
      </x:c>
      <x:c r="O1019" s="12" t="str">
        <x:v>FTRL44G005</x:v>
      </x:c>
      <x:c r="P1019" s="12" t="str">
        <x:v>EXVV35G005</x:v>
      </x:c>
      <x:c r="Q1019" s="12" t="str"/>
      <x:c r="R1019" s="12" t="str"/>
      <x:c r="S1019" s="12" t="str"/>
      <x:c r="T1019" s="12" t="str">
        <x:v>ABM</x:v>
      </x:c>
      <x:c r="U1019" s="12" t="str"/>
      <x:c r="V1019" s="12" t="str"/>
      <x:c r="W1019" s="12" t="str"/>
      <x:c r="X1019" s="12" t="str">
        <x:v>EXVV35</x:v>
      </x:c>
      <x:c r="Y1019" s="12" t="str">
        <x:v>FANGKI &amp; ACUNG</x:v>
      </x:c>
      <x:c r="Z1019" s="12" t="str">
        <x:v>PIT</x:v>
      </x:c>
      <x:c r="AA1019" s="32" t="n">
        <x:f>IFERROR(VLOOKUP(G1019,Master_Unit!$A$2:$N$78,7,FALSE),"")</x:f>
        <x:v>25</x:v>
      </x:c>
      <x:c r="AB1019" s="32" t="n">
        <x:f>IF(OR(N1019="",AA1019=""),"",N1019-AA1019)</x:f>
        <x:v>-4.999999999999016</x:v>
      </x:c>
      <x:c r="AC1019" s="20" t="n">
        <x:f>IF(OR(N1019="",AA1019="",AA1019=0),"",AB1019/AA1019)</x:f>
        <x:v>-0.19999999999996063</x:v>
      </x:c>
      <x:c r="AD1019" t="str">
        <x:f>IF(AA1019="","NO STANDARD",IF(AC1019&lt;=Config_Status!$B$2,"EFFICIENT",IF(AC1019&lt;=Config_Status!$B$3,"NORMAL",IF(AC1019&lt;=Config_Status!$B$4,"WARNING","OVER CONSUMPTION"))))</x:f>
        <x:v>EFFICIENT</x:v>
      </x:c>
      <x:c r="AE1019" t="str">
        <x:f>IFERROR(VLOOKUP(G1019,Master_Unit!$A$2:$N$78,13,FALSE),"UNIT NOT FOUND")</x:f>
        <x:v>Matched</x:v>
      </x:c>
    </x:row>
    <x:row r="1020">
      <x:c r="A1020" s="12" t="str">
        <x:v>FU-20260615-01019</x:v>
      </x:c>
      <x:c r="B1020" s="12" t="n">
        <x:v>1149</x:v>
      </x:c>
      <x:c r="C1020" s="14" t="n">
        <x:v>46188</x:v>
      </x:c>
      <x:c r="D1020" s="12" t="str">
        <x:v>Senin</x:v>
      </x:c>
      <x:c r="E1020" s="12" t="str">
        <x:v>19:22:00</x:v>
      </x:c>
      <x:c r="F1020" s="12" t="str">
        <x:v>All Shift Night</x:v>
      </x:c>
      <x:c r="G1020" s="12" t="str">
        <x:v>EXVV21G040</x:v>
      </x:c>
      <x:c r="H1020" s="12" t="str">
        <x:v>Excavator</x:v>
      </x:c>
      <x:c r="I1020" s="12" t="str">
        <x:v>EXCAVATOR VOLVO EC210D</x:v>
      </x:c>
      <x:c r="J1020" s="16" t="n">
        <x:v>157</x:v>
      </x:c>
      <x:c r="K1020" s="16" t="n">
        <x:v>6643.2</x:v>
      </x:c>
      <x:c r="L1020" s="16" t="n">
        <x:v>6652.7</x:v>
      </x:c>
      <x:c r="M1020" s="16" t="n">
        <x:v>9.5</x:v>
      </x:c>
      <x:c r="N1020" s="16" t="n">
        <x:v>16.526315789473685</x:v>
      </x:c>
      <x:c r="O1020" s="12" t="str">
        <x:v>FTRL44G005</x:v>
      </x:c>
      <x:c r="P1020" s="12" t="str">
        <x:v>EXVV21G040</x:v>
      </x:c>
      <x:c r="Q1020" s="12" t="str"/>
      <x:c r="R1020" s="12" t="str"/>
      <x:c r="S1020" s="12" t="str"/>
      <x:c r="T1020" s="12" t="str">
        <x:v>ABM</x:v>
      </x:c>
      <x:c r="U1020" s="12" t="str"/>
      <x:c r="V1020" s="12" t="str"/>
      <x:c r="W1020" s="12" t="str"/>
      <x:c r="X1020" s="12" t="str">
        <x:v>EXVV21</x:v>
      </x:c>
      <x:c r="Y1020" s="12" t="str">
        <x:v>FANGKI &amp; ACUNG</x:v>
      </x:c>
      <x:c r="Z1020" s="12" t="str">
        <x:v>PIT</x:v>
      </x:c>
      <x:c r="AA1020" s="32" t="n">
        <x:f>IFERROR(VLOOKUP(G1020,Master_Unit!$A$2:$N$78,7,FALSE),"")</x:f>
        <x:v>20</x:v>
      </x:c>
      <x:c r="AB1020" s="32" t="n">
        <x:f>IF(OR(N1020="",AA1020=""),"",N1020-AA1020)</x:f>
        <x:v>-3.473684210526315</x:v>
      </x:c>
      <x:c r="AC1020" s="20" t="n">
        <x:f>IF(OR(N1020="",AA1020="",AA1020=0),"",AB1020/AA1020)</x:f>
        <x:v>-0.17368421052631575</x:v>
      </x:c>
      <x:c r="AD1020" t="str">
        <x:f>IF(AA1020="","NO STANDARD",IF(AC1020&lt;=Config_Status!$B$2,"EFFICIENT",IF(AC1020&lt;=Config_Status!$B$3,"NORMAL",IF(AC1020&lt;=Config_Status!$B$4,"WARNING","OVER CONSUMPTION"))))</x:f>
        <x:v>EFFICIENT</x:v>
      </x:c>
      <x:c r="AE1020" t="str">
        <x:f>IFERROR(VLOOKUP(G1020,Master_Unit!$A$2:$N$78,13,FALSE),"UNIT NOT FOUND")</x:f>
        <x:v>Matched</x:v>
      </x:c>
    </x:row>
    <x:row r="1021">
      <x:c r="A1021" s="12" t="str">
        <x:v>FU-20260615-01020</x:v>
      </x:c>
      <x:c r="B1021" s="12" t="n">
        <x:v>1150</x:v>
      </x:c>
      <x:c r="C1021" s="14" t="n">
        <x:v>46188</x:v>
      </x:c>
      <x:c r="D1021" s="12" t="str">
        <x:v>Senin</x:v>
      </x:c>
      <x:c r="E1021" s="12" t="str">
        <x:v>19:34:00</x:v>
      </x:c>
      <x:c r="F1021" s="12" t="str">
        <x:v>All Shift Night</x:v>
      </x:c>
      <x:c r="G1021" s="12" t="str">
        <x:v>MGSD20G006</x:v>
      </x:c>
      <x:c r="H1021" s="12" t="str">
        <x:v>Other</x:v>
      </x:c>
      <x:c r="I1021" s="12" t="str">
        <x:v>MOTOR GRADER SDLG GD9220F</x:v>
      </x:c>
      <x:c r="J1021" s="16" t="n">
        <x:v>101</x:v>
      </x:c>
      <x:c r="K1021" s="16" t="n">
        <x:v>1997.1</x:v>
      </x:c>
      <x:c r="L1021" s="16" t="n">
        <x:v>1999.5</x:v>
      </x:c>
      <x:c r="M1021" s="16" t="n">
        <x:v>2.400000000000091</x:v>
      </x:c>
      <x:c r="N1021" s="16" t="n">
        <x:v>42.08333333333174</x:v>
      </x:c>
      <x:c r="O1021" s="12" t="str">
        <x:v>FTRL44G005</x:v>
      </x:c>
      <x:c r="P1021" s="12" t="str">
        <x:v>MGSD20G006</x:v>
      </x:c>
      <x:c r="Q1021" s="12" t="str"/>
      <x:c r="R1021" s="12" t="str"/>
      <x:c r="S1021" s="12" t="str"/>
      <x:c r="T1021" s="12" t="str">
        <x:v>ABM</x:v>
      </x:c>
      <x:c r="U1021" s="12" t="str"/>
      <x:c r="V1021" s="12" t="str"/>
      <x:c r="W1021" s="12" t="str"/>
      <x:c r="X1021" s="12" t="str">
        <x:v>MGSD20</x:v>
      </x:c>
      <x:c r="Y1021" s="12" t="str">
        <x:v>FANGKI &amp; ACUNG</x:v>
      </x:c>
      <x:c r="Z1021" s="12" t="str">
        <x:v>SUPPORT</x:v>
      </x:c>
      <x:c r="AA1021" s="32" t="n">
        <x:f>IFERROR(VLOOKUP(G1021,Master_Unit!$A$2:$N$78,7,FALSE),"")</x:f>
        <x:v>20</x:v>
      </x:c>
      <x:c r="AB1021" s="32" t="n">
        <x:f>IF(OR(N1021="",AA1021=""),"",N1021-AA1021)</x:f>
        <x:v>22.083333333331737</x:v>
      </x:c>
      <x:c r="AC1021" s="20" t="n">
        <x:f>IF(OR(N1021="",AA1021="",AA1021=0),"",AB1021/AA1021)</x:f>
        <x:v>1.1041666666665868</x:v>
      </x:c>
      <x:c r="AD1021" t="str">
        <x:f>IF(AA1021="","NO STANDARD",IF(AC1021&lt;=Config_Status!$B$2,"EFFICIENT",IF(AC1021&lt;=Config_Status!$B$3,"NORMAL",IF(AC1021&lt;=Config_Status!$B$4,"WARNING","OVER CONSUMPTION"))))</x:f>
        <x:v>OVER CONSUMPTION</x:v>
      </x:c>
      <x:c r="AE1021" t="str">
        <x:f>IFERROR(VLOOKUP(G1021,Master_Unit!$A$2:$N$78,13,FALSE),"UNIT NOT FOUND")</x:f>
        <x:v>Matched</x:v>
      </x:c>
    </x:row>
    <x:row r="1022">
      <x:c r="A1022" s="12" t="str">
        <x:v>FU-20260615-01021</x:v>
      </x:c>
      <x:c r="B1022" s="12" t="n">
        <x:v>1151</x:v>
      </x:c>
      <x:c r="C1022" s="14" t="n">
        <x:v>46188</x:v>
      </x:c>
      <x:c r="D1022" s="12" t="str">
        <x:v>Senin</x:v>
      </x:c>
      <x:c r="E1022" s="12" t="str">
        <x:v>19:39:00</x:v>
      </x:c>
      <x:c r="F1022" s="12" t="str">
        <x:v>All Shift Night</x:v>
      </x:c>
      <x:c r="G1022" s="12" t="str">
        <x:v>STRL44G134</x:v>
      </x:c>
      <x:c r="H1022" s="12" t="str">
        <x:v>Dump Truck</x:v>
      </x:c>
      <x:c r="I1022" s="12" t="str">
        <x:v>DUMP TRUCK RENAULT KRANGE440-P6X4 A/T</x:v>
      </x:c>
      <x:c r="J1022" s="16" t="n">
        <x:v>98</x:v>
      </x:c>
      <x:c r="K1022" s="16" t="n">
        <x:v>5745</x:v>
      </x:c>
      <x:c r="L1022" s="16" t="n">
        <x:v>5754</x:v>
      </x:c>
      <x:c r="M1022" s="16" t="n">
        <x:v>9</x:v>
      </x:c>
      <x:c r="N1022" s="16" t="n">
        <x:v>10.88888888888889</x:v>
      </x:c>
      <x:c r="O1022" s="12" t="str">
        <x:v>FTRL44G005</x:v>
      </x:c>
      <x:c r="P1022" s="12" t="str">
        <x:v>STRL44G134</x:v>
      </x:c>
      <x:c r="Q1022" s="12" t="str"/>
      <x:c r="R1022" s="12" t="str"/>
      <x:c r="S1022" s="12" t="str"/>
      <x:c r="T1022" s="12" t="str">
        <x:v>ABM</x:v>
      </x:c>
      <x:c r="U1022" s="12" t="str"/>
      <x:c r="V1022" s="12" t="str"/>
      <x:c r="W1022" s="12" t="str"/>
      <x:c r="X1022" s="12" t="str">
        <x:v>STRL44</x:v>
      </x:c>
      <x:c r="Y1022" s="12" t="str">
        <x:v>FANGKI &amp; ACUNG</x:v>
      </x:c>
      <x:c r="Z1022" s="12" t="str">
        <x:v>SUPPORT</x:v>
      </x:c>
      <x:c r="AA1022" s="32" t="n">
        <x:f>IFERROR(VLOOKUP(G1022,Master_Unit!$A$2:$N$78,7,FALSE),"")</x:f>
        <x:v>20</x:v>
      </x:c>
      <x:c r="AB1022" s="32" t="n">
        <x:f>IF(OR(N1022="",AA1022=""),"",N1022-AA1022)</x:f>
        <x:v>-9.11111111111111</x:v>
      </x:c>
      <x:c r="AC1022" s="20" t="n">
        <x:f>IF(OR(N1022="",AA1022="",AA1022=0),"",AB1022/AA1022)</x:f>
        <x:v>-0.45555555555555555</x:v>
      </x:c>
      <x:c r="AD1022" t="str">
        <x:f>IF(AA1022="","NO STANDARD",IF(AC1022&lt;=Config_Status!$B$2,"EFFICIENT",IF(AC1022&lt;=Config_Status!$B$3,"NORMAL",IF(AC1022&lt;=Config_Status!$B$4,"WARNING","OVER CONSUMPTION"))))</x:f>
        <x:v>EFFICIENT</x:v>
      </x:c>
      <x:c r="AE1022" t="str">
        <x:f>IFERROR(VLOOKUP(G1022,Master_Unit!$A$2:$N$78,13,FALSE),"UNIT NOT FOUND")</x:f>
        <x:v>Matched</x:v>
      </x:c>
    </x:row>
    <x:row r="1023">
      <x:c r="A1023" s="12" t="str">
        <x:v>FU-20260615-01022</x:v>
      </x:c>
      <x:c r="B1023" s="12" t="n">
        <x:v>1152</x:v>
      </x:c>
      <x:c r="C1023" s="14" t="n">
        <x:v>46188</x:v>
      </x:c>
      <x:c r="D1023" s="12" t="str">
        <x:v>Senin</x:v>
      </x:c>
      <x:c r="E1023" s="12" t="str">
        <x:v>19:49:00</x:v>
      </x:c>
      <x:c r="F1023" s="12" t="str">
        <x:v>All Shift Night</x:v>
      </x:c>
      <x:c r="G1023" s="12" t="str">
        <x:v>STRL44G137</x:v>
      </x:c>
      <x:c r="H1023" s="12" t="str">
        <x:v>Dump Truck</x:v>
      </x:c>
      <x:c r="I1023" s="12" t="str">
        <x:v>DUMP TRUCK RENAULT KRANGE440-P6X4 A/T</x:v>
      </x:c>
      <x:c r="J1023" s="16" t="n">
        <x:v>96</x:v>
      </x:c>
      <x:c r="K1023" s="16" t="n">
        <x:v>6465</x:v>
      </x:c>
      <x:c r="L1023" s="16" t="n">
        <x:v>6481</x:v>
      </x:c>
      <x:c r="M1023" s="16" t="n">
        <x:v>16</x:v>
      </x:c>
      <x:c r="N1023" s="16" t="n">
        <x:v>6</x:v>
      </x:c>
      <x:c r="O1023" s="12" t="str">
        <x:v>FTRL44G005</x:v>
      </x:c>
      <x:c r="P1023" s="12" t="str">
        <x:v>STRL44G137</x:v>
      </x:c>
      <x:c r="Q1023" s="12" t="str"/>
      <x:c r="R1023" s="12" t="str"/>
      <x:c r="S1023" s="12" t="str"/>
      <x:c r="T1023" s="12" t="str">
        <x:v>ABM</x:v>
      </x:c>
      <x:c r="U1023" s="12" t="str"/>
      <x:c r="V1023" s="12" t="str"/>
      <x:c r="W1023" s="12" t="str"/>
      <x:c r="X1023" s="12" t="str">
        <x:v>STRL44</x:v>
      </x:c>
      <x:c r="Y1023" s="12" t="str">
        <x:v>FANGKI &amp; ACUNG</x:v>
      </x:c>
      <x:c r="Z1023" s="12" t="str">
        <x:v>SUPPORT</x:v>
      </x:c>
      <x:c r="AA1023" s="32" t="n">
        <x:f>IFERROR(VLOOKUP(G1023,Master_Unit!$A$2:$N$78,7,FALSE),"")</x:f>
        <x:v>20</x:v>
      </x:c>
      <x:c r="AB1023" s="32" t="n">
        <x:f>IF(OR(N1023="",AA1023=""),"",N1023-AA1023)</x:f>
        <x:v>-14</x:v>
      </x:c>
      <x:c r="AC1023" s="20" t="n">
        <x:f>IF(OR(N1023="",AA1023="",AA1023=0),"",AB1023/AA1023)</x:f>
        <x:v>-0.7</x:v>
      </x:c>
      <x:c r="AD1023" t="str">
        <x:f>IF(AA1023="","NO STANDARD",IF(AC1023&lt;=Config_Status!$B$2,"EFFICIENT",IF(AC1023&lt;=Config_Status!$B$3,"NORMAL",IF(AC1023&lt;=Config_Status!$B$4,"WARNING","OVER CONSUMPTION"))))</x:f>
        <x:v>EFFICIENT</x:v>
      </x:c>
      <x:c r="AE1023" t="str">
        <x:f>IFERROR(VLOOKUP(G1023,Master_Unit!$A$2:$N$78,13,FALSE),"UNIT NOT FOUND")</x:f>
        <x:v>Matched</x:v>
      </x:c>
    </x:row>
    <x:row r="1024">
      <x:c r="A1024" s="12" t="str">
        <x:v>FU-20260615-01023</x:v>
      </x:c>
      <x:c r="B1024" s="12" t="n">
        <x:v>1153</x:v>
      </x:c>
      <x:c r="C1024" s="14" t="n">
        <x:v>46188</x:v>
      </x:c>
      <x:c r="D1024" s="12" t="str">
        <x:v>Senin</x:v>
      </x:c>
      <x:c r="E1024" s="12" t="str">
        <x:v>19:51:00</x:v>
      </x:c>
      <x:c r="F1024" s="12" t="str">
        <x:v>All Shift Night</x:v>
      </x:c>
      <x:c r="G1024" s="12" t="str">
        <x:v>STRL44G140</x:v>
      </x:c>
      <x:c r="H1024" s="12" t="str">
        <x:v>Dump Truck</x:v>
      </x:c>
      <x:c r="I1024" s="12" t="str">
        <x:v>DUMP TRUCK RENAULT KRANGE440-P6X4 A/T</x:v>
      </x:c>
      <x:c r="J1024" s="16" t="n">
        <x:v>203</x:v>
      </x:c>
      <x:c r="K1024" s="16" t="n">
        <x:v>5171</x:v>
      </x:c>
      <x:c r="L1024" s="16" t="n">
        <x:v>5178</x:v>
      </x:c>
      <x:c r="M1024" s="16" t="n">
        <x:v>7</x:v>
      </x:c>
      <x:c r="N1024" s="16" t="n">
        <x:v>29</x:v>
      </x:c>
      <x:c r="O1024" s="12" t="str">
        <x:v>FTRL44G005</x:v>
      </x:c>
      <x:c r="P1024" s="12" t="str">
        <x:v>STRL44G140</x:v>
      </x:c>
      <x:c r="Q1024" s="12" t="str"/>
      <x:c r="R1024" s="12" t="str"/>
      <x:c r="S1024" s="12" t="str"/>
      <x:c r="T1024" s="12" t="str">
        <x:v>ABM</x:v>
      </x:c>
      <x:c r="U1024" s="12" t="str"/>
      <x:c r="V1024" s="12" t="str"/>
      <x:c r="W1024" s="12" t="str"/>
      <x:c r="X1024" s="12" t="str">
        <x:v>STRL44</x:v>
      </x:c>
      <x:c r="Y1024" s="12" t="str">
        <x:v>FANGKI &amp; ACUNG</x:v>
      </x:c>
      <x:c r="Z1024" s="12" t="str">
        <x:v>COAL HAULING</x:v>
      </x:c>
      <x:c r="AA1024" s="32" t="n">
        <x:f>IFERROR(VLOOKUP(G1024,Master_Unit!$A$2:$N$78,7,FALSE),"")</x:f>
        <x:v>20</x:v>
      </x:c>
      <x:c r="AB1024" s="32" t="n">
        <x:f>IF(OR(N1024="",AA1024=""),"",N1024-AA1024)</x:f>
        <x:v>9</x:v>
      </x:c>
      <x:c r="AC1024" s="20" t="n">
        <x:f>IF(OR(N1024="",AA1024="",AA1024=0),"",AB1024/AA1024)</x:f>
        <x:v>0.45</x:v>
      </x:c>
      <x:c r="AD1024" t="str">
        <x:f>IF(AA1024="","NO STANDARD",IF(AC1024&lt;=Config_Status!$B$2,"EFFICIENT",IF(AC1024&lt;=Config_Status!$B$3,"NORMAL",IF(AC1024&lt;=Config_Status!$B$4,"WARNING","OVER CONSUMPTION"))))</x:f>
        <x:v>OVER CONSUMPTION</x:v>
      </x:c>
      <x:c r="AE1024" t="str">
        <x:f>IFERROR(VLOOKUP(G1024,Master_Unit!$A$2:$N$78,13,FALSE),"UNIT NOT FOUND")</x:f>
        <x:v>Matched</x:v>
      </x:c>
    </x:row>
    <x:row r="1025">
      <x:c r="A1025" s="12" t="str">
        <x:v>FU-20260615-01024</x:v>
      </x:c>
      <x:c r="B1025" s="12" t="n">
        <x:v>1154</x:v>
      </x:c>
      <x:c r="C1025" s="14" t="n">
        <x:v>46188</x:v>
      </x:c>
      <x:c r="D1025" s="12" t="str">
        <x:v>Senin</x:v>
      </x:c>
      <x:c r="E1025" s="12" t="str">
        <x:v>20:03:00</x:v>
      </x:c>
      <x:c r="F1025" s="12" t="str">
        <x:v>All Shift Night</x:v>
      </x:c>
      <x:c r="G1025" s="12" t="str">
        <x:v>EXVV35G007</x:v>
      </x:c>
      <x:c r="H1025" s="12" t="str">
        <x:v>Excavator</x:v>
      </x:c>
      <x:c r="I1025" s="12" t="str">
        <x:v>EXCAVATOR VOLVO EC350D</x:v>
      </x:c>
      <x:c r="J1025" s="16" t="n">
        <x:v>162</x:v>
      </x:c>
      <x:c r="K1025" s="16" t="n">
        <x:v>618.3</x:v>
      </x:c>
      <x:c r="L1025" s="16" t="n">
        <x:v>629</x:v>
      </x:c>
      <x:c r="M1025" s="16" t="n">
        <x:v>10.700000000000045</x:v>
      </x:c>
      <x:c r="N1025" s="16" t="n">
        <x:v>15.140186915887787</x:v>
      </x:c>
      <x:c r="O1025" s="12" t="str">
        <x:v>FTRL44G005</x:v>
      </x:c>
      <x:c r="P1025" s="12" t="str">
        <x:v>EXVV35G007</x:v>
      </x:c>
      <x:c r="Q1025" s="12" t="str"/>
      <x:c r="R1025" s="12" t="str"/>
      <x:c r="S1025" s="12" t="str"/>
      <x:c r="T1025" s="12" t="str">
        <x:v>ABM</x:v>
      </x:c>
      <x:c r="U1025" s="12" t="str"/>
      <x:c r="V1025" s="12" t="str"/>
      <x:c r="W1025" s="12" t="str"/>
      <x:c r="X1025" s="12" t="str">
        <x:v>EXVV35</x:v>
      </x:c>
      <x:c r="Y1025" s="12" t="str">
        <x:v>FANGKI &amp; ACUNG</x:v>
      </x:c>
      <x:c r="Z1025" s="12" t="str">
        <x:v>COAL HAULING</x:v>
      </x:c>
      <x:c r="AA1025" s="32" t="n">
        <x:f>IFERROR(VLOOKUP(G1025,Master_Unit!$A$2:$N$78,7,FALSE),"")</x:f>
        <x:v>25</x:v>
      </x:c>
      <x:c r="AB1025" s="32" t="n">
        <x:f>IF(OR(N1025="",AA1025=""),"",N1025-AA1025)</x:f>
        <x:v>-9.859813084112213</x:v>
      </x:c>
      <x:c r="AC1025" s="20" t="n">
        <x:f>IF(OR(N1025="",AA1025="",AA1025=0),"",AB1025/AA1025)</x:f>
        <x:v>-0.39439252336448855</x:v>
      </x:c>
      <x:c r="AD1025" t="str">
        <x:f>IF(AA1025="","NO STANDARD",IF(AC1025&lt;=Config_Status!$B$2,"EFFICIENT",IF(AC1025&lt;=Config_Status!$B$3,"NORMAL",IF(AC1025&lt;=Config_Status!$B$4,"WARNING","OVER CONSUMPTION"))))</x:f>
        <x:v>EFFICIENT</x:v>
      </x:c>
      <x:c r="AE1025" t="str">
        <x:f>IFERROR(VLOOKUP(G1025,Master_Unit!$A$2:$N$78,13,FALSE),"UNIT NOT FOUND")</x:f>
        <x:v>Matched</x:v>
      </x:c>
    </x:row>
    <x:row r="1026">
      <x:c r="A1026" s="12" t="str">
        <x:v>FU-20260615-01025</x:v>
      </x:c>
      <x:c r="B1026" s="12" t="n">
        <x:v>1155</x:v>
      </x:c>
      <x:c r="C1026" s="14" t="n">
        <x:v>46188</x:v>
      </x:c>
      <x:c r="D1026" s="12" t="str">
        <x:v>Senin</x:v>
      </x:c>
      <x:c r="E1026" s="12" t="str">
        <x:v>20:10:00</x:v>
      </x:c>
      <x:c r="F1026" s="12" t="str">
        <x:v>All Shift Night</x:v>
      </x:c>
      <x:c r="G1026" s="12" t="str">
        <x:v>STRL44G135</x:v>
      </x:c>
      <x:c r="H1026" s="12" t="str">
        <x:v>Dump Truck</x:v>
      </x:c>
      <x:c r="I1026" s="12" t="str">
        <x:v>DUMP TRUCK RENAULT KRANGE440-P6X4 A/T</x:v>
      </x:c>
      <x:c r="J1026" s="16" t="n">
        <x:v>96</x:v>
      </x:c>
      <x:c r="K1026" s="16" t="n">
        <x:v>5903</x:v>
      </x:c>
      <x:c r="L1026" s="16" t="n">
        <x:v>5912</x:v>
      </x:c>
      <x:c r="M1026" s="16" t="n">
        <x:v>9</x:v>
      </x:c>
      <x:c r="N1026" s="16" t="n">
        <x:v>10.666666666666666</x:v>
      </x:c>
      <x:c r="O1026" s="12" t="str">
        <x:v>FTRL44G005</x:v>
      </x:c>
      <x:c r="P1026" s="12" t="str">
        <x:v>STRL44G135</x:v>
      </x:c>
      <x:c r="Q1026" s="12" t="str"/>
      <x:c r="R1026" s="12" t="str"/>
      <x:c r="S1026" s="12" t="str"/>
      <x:c r="T1026" s="12" t="str">
        <x:v>ABM</x:v>
      </x:c>
      <x:c r="U1026" s="12" t="str"/>
      <x:c r="V1026" s="12" t="str"/>
      <x:c r="W1026" s="12" t="str"/>
      <x:c r="X1026" s="12" t="str">
        <x:v>STRL44</x:v>
      </x:c>
      <x:c r="Y1026" s="12" t="str">
        <x:v>FANGKI &amp; ACUNG</x:v>
      </x:c>
      <x:c r="Z1026" s="12" t="str">
        <x:v>COAL HAULING</x:v>
      </x:c>
      <x:c r="AA1026" s="32" t="n">
        <x:f>IFERROR(VLOOKUP(G1026,Master_Unit!$A$2:$N$78,7,FALSE),"")</x:f>
        <x:v>20</x:v>
      </x:c>
      <x:c r="AB1026" s="32" t="n">
        <x:f>IF(OR(N1026="",AA1026=""),"",N1026-AA1026)</x:f>
        <x:v>-9.333333333333334</x:v>
      </x:c>
      <x:c r="AC1026" s="20" t="n">
        <x:f>IF(OR(N1026="",AA1026="",AA1026=0),"",AB1026/AA1026)</x:f>
        <x:v>-0.4666666666666667</x:v>
      </x:c>
      <x:c r="AD1026" t="str">
        <x:f>IF(AA1026="","NO STANDARD",IF(AC1026&lt;=Config_Status!$B$2,"EFFICIENT",IF(AC1026&lt;=Config_Status!$B$3,"NORMAL",IF(AC1026&lt;=Config_Status!$B$4,"WARNING","OVER CONSUMPTION"))))</x:f>
        <x:v>EFFICIENT</x:v>
      </x:c>
      <x:c r="AE1026" t="str">
        <x:f>IFERROR(VLOOKUP(G1026,Master_Unit!$A$2:$N$78,13,FALSE),"UNIT NOT FOUND")</x:f>
        <x:v>Matched</x:v>
      </x:c>
    </x:row>
    <x:row r="1027">
      <x:c r="A1027" s="12" t="str">
        <x:v>FU-20260615-01026</x:v>
      </x:c>
      <x:c r="B1027" s="12" t="n">
        <x:v>1156</x:v>
      </x:c>
      <x:c r="C1027" s="14" t="n">
        <x:v>46188</x:v>
      </x:c>
      <x:c r="D1027" s="12" t="str">
        <x:v>Senin</x:v>
      </x:c>
      <x:c r="E1027" s="12" t="str">
        <x:v>20:17:00</x:v>
      </x:c>
      <x:c r="F1027" s="12" t="str">
        <x:v>All Shift Night</x:v>
      </x:c>
      <x:c r="G1027" s="12" t="str">
        <x:v>STRL44G146</x:v>
      </x:c>
      <x:c r="H1027" s="12" t="str">
        <x:v>Dump Truck</x:v>
      </x:c>
      <x:c r="I1027" s="12" t="str">
        <x:v>DUMP TRUCK RENAULT KRANGE440-P6X4 A/T</x:v>
      </x:c>
      <x:c r="J1027" s="16" t="n">
        <x:v>202</x:v>
      </x:c>
      <x:c r="K1027" s="16" t="n">
        <x:v>4999</x:v>
      </x:c>
      <x:c r="L1027" s="16" t="n">
        <x:v>5007</x:v>
      </x:c>
      <x:c r="M1027" s="16" t="n">
        <x:v>8</x:v>
      </x:c>
      <x:c r="N1027" s="16" t="n">
        <x:v>25.25</x:v>
      </x:c>
      <x:c r="O1027" s="12" t="str">
        <x:v>FTRL44G005</x:v>
      </x:c>
      <x:c r="P1027" s="12" t="str">
        <x:v>STRL44G146</x:v>
      </x:c>
      <x:c r="Q1027" s="12" t="str"/>
      <x:c r="R1027" s="12" t="str"/>
      <x:c r="S1027" s="12" t="str"/>
      <x:c r="T1027" s="12" t="str">
        <x:v>ABM</x:v>
      </x:c>
      <x:c r="U1027" s="12" t="str"/>
      <x:c r="V1027" s="12" t="str"/>
      <x:c r="W1027" s="12" t="str"/>
      <x:c r="X1027" s="12" t="str">
        <x:v>STRL44</x:v>
      </x:c>
      <x:c r="Y1027" s="12" t="str">
        <x:v>FANGKI &amp; ACUNG</x:v>
      </x:c>
      <x:c r="Z1027" s="12" t="str">
        <x:v>SUPPORT</x:v>
      </x:c>
      <x:c r="AA1027" s="32" t="n">
        <x:f>IFERROR(VLOOKUP(G1027,Master_Unit!$A$2:$N$78,7,FALSE),"")</x:f>
        <x:v>20</x:v>
      </x:c>
      <x:c r="AB1027" s="32" t="n">
        <x:f>IF(OR(N1027="",AA1027=""),"",N1027-AA1027)</x:f>
        <x:v>5.25</x:v>
      </x:c>
      <x:c r="AC1027" s="20" t="n">
        <x:f>IF(OR(N1027="",AA1027="",AA1027=0),"",AB1027/AA1027)</x:f>
        <x:v>0.2625</x:v>
      </x:c>
      <x:c r="AD1027" t="str">
        <x:f>IF(AA1027="","NO STANDARD",IF(AC1027&lt;=Config_Status!$B$2,"EFFICIENT",IF(AC1027&lt;=Config_Status!$B$3,"NORMAL",IF(AC1027&lt;=Config_Status!$B$4,"WARNING","OVER CONSUMPTION"))))</x:f>
        <x:v>OVER CONSUMPTION</x:v>
      </x:c>
      <x:c r="AE1027" t="str">
        <x:f>IFERROR(VLOOKUP(G1027,Master_Unit!$A$2:$N$78,13,FALSE),"UNIT NOT FOUND")</x:f>
        <x:v>Matched</x:v>
      </x:c>
    </x:row>
    <x:row r="1028">
      <x:c r="A1028" s="12" t="str">
        <x:v>FU-20260615-01027</x:v>
      </x:c>
      <x:c r="B1028" s="12" t="n">
        <x:v>1157</x:v>
      </x:c>
      <x:c r="C1028" s="14" t="n">
        <x:v>46188</x:v>
      </x:c>
      <x:c r="D1028" s="12" t="str">
        <x:v>Senin</x:v>
      </x:c>
      <x:c r="E1028" s="12" t="str">
        <x:v>20:28:00</x:v>
      </x:c>
      <x:c r="F1028" s="12" t="str">
        <x:v>All Shift Night</x:v>
      </x:c>
      <x:c r="G1028" s="12" t="str">
        <x:v>STRL44G141</x:v>
      </x:c>
      <x:c r="H1028" s="12" t="str">
        <x:v>Dump Truck</x:v>
      </x:c>
      <x:c r="I1028" s="12" t="str">
        <x:v>DUMP TRUCK RENAULT KRANGE440-P6X4 A/T</x:v>
      </x:c>
      <x:c r="J1028" s="16" t="n">
        <x:v>102</x:v>
      </x:c>
      <x:c r="K1028" s="16" t="n">
        <x:v>3233</x:v>
      </x:c>
      <x:c r="L1028" s="16" t="n">
        <x:v>3243</x:v>
      </x:c>
      <x:c r="M1028" s="16" t="n">
        <x:v>10</x:v>
      </x:c>
      <x:c r="N1028" s="16" t="n">
        <x:v>10.2</x:v>
      </x:c>
      <x:c r="O1028" s="12" t="str">
        <x:v>FTRL44G005</x:v>
      </x:c>
      <x:c r="P1028" s="12" t="str">
        <x:v>STRL44G141</x:v>
      </x:c>
      <x:c r="Q1028" s="12" t="str"/>
      <x:c r="R1028" s="12" t="str"/>
      <x:c r="S1028" s="12" t="str"/>
      <x:c r="T1028" s="12" t="str">
        <x:v>ABM</x:v>
      </x:c>
      <x:c r="U1028" s="12" t="str"/>
      <x:c r="V1028" s="12" t="str"/>
      <x:c r="W1028" s="12" t="str"/>
      <x:c r="X1028" s="12" t="str">
        <x:v>STRL44</x:v>
      </x:c>
      <x:c r="Y1028" s="12" t="str">
        <x:v>FANGKI &amp; ACUNG</x:v>
      </x:c>
      <x:c r="Z1028" s="12" t="str">
        <x:v>PIT</x:v>
      </x:c>
      <x:c r="AA1028" s="32" t="n">
        <x:f>IFERROR(VLOOKUP(G1028,Master_Unit!$A$2:$N$78,7,FALSE),"")</x:f>
        <x:v>20</x:v>
      </x:c>
      <x:c r="AB1028" s="32" t="n">
        <x:f>IF(OR(N1028="",AA1028=""),"",N1028-AA1028)</x:f>
        <x:v>-9.8</x:v>
      </x:c>
      <x:c r="AC1028" s="20" t="n">
        <x:f>IF(OR(N1028="",AA1028="",AA1028=0),"",AB1028/AA1028)</x:f>
        <x:v>-0.49000000000000005</x:v>
      </x:c>
      <x:c r="AD1028" t="str">
        <x:f>IF(AA1028="","NO STANDARD",IF(AC1028&lt;=Config_Status!$B$2,"EFFICIENT",IF(AC1028&lt;=Config_Status!$B$3,"NORMAL",IF(AC1028&lt;=Config_Status!$B$4,"WARNING","OVER CONSUMPTION"))))</x:f>
        <x:v>EFFICIENT</x:v>
      </x:c>
      <x:c r="AE1028" t="str">
        <x:f>IFERROR(VLOOKUP(G1028,Master_Unit!$A$2:$N$78,13,FALSE),"UNIT NOT FOUND")</x:f>
        <x:v>Matched</x:v>
      </x:c>
    </x:row>
    <x:row r="1029">
      <x:c r="A1029" s="12" t="str">
        <x:v>FU-20260615-01028</x:v>
      </x:c>
      <x:c r="B1029" s="12" t="n">
        <x:v>1158</x:v>
      </x:c>
      <x:c r="C1029" s="14" t="n">
        <x:v>46188</x:v>
      </x:c>
      <x:c r="D1029" s="12" t="str">
        <x:v>Senin</x:v>
      </x:c>
      <x:c r="E1029" s="12" t="str">
        <x:v>20:30:00</x:v>
      </x:c>
      <x:c r="F1029" s="12" t="str">
        <x:v>All Shift Night</x:v>
      </x:c>
      <x:c r="G1029" s="12" t="str">
        <x:v>STRL44G149</x:v>
      </x:c>
      <x:c r="H1029" s="12" t="str">
        <x:v>Dump Truck</x:v>
      </x:c>
      <x:c r="I1029" s="12" t="str">
        <x:v>DUMP TRUCK RENAULT KRANGE440-P6X4 A/T</x:v>
      </x:c>
      <x:c r="J1029" s="16" t="n">
        <x:v>157</x:v>
      </x:c>
      <x:c r="K1029" s="16" t="n">
        <x:v>4357</x:v>
      </x:c>
      <x:c r="L1029" s="16" t="n">
        <x:v>4366</x:v>
      </x:c>
      <x:c r="M1029" s="16" t="n">
        <x:v>9</x:v>
      </x:c>
      <x:c r="N1029" s="16" t="n">
        <x:v>17.444444444444443</x:v>
      </x:c>
      <x:c r="O1029" s="12" t="str">
        <x:v>FTRL44G005</x:v>
      </x:c>
      <x:c r="P1029" s="12" t="str">
        <x:v>STRL44G149</x:v>
      </x:c>
      <x:c r="Q1029" s="12" t="str"/>
      <x:c r="R1029" s="12" t="str"/>
      <x:c r="S1029" s="12" t="str"/>
      <x:c r="T1029" s="12" t="str">
        <x:v>ABM</x:v>
      </x:c>
      <x:c r="U1029" s="12" t="str"/>
      <x:c r="V1029" s="12" t="str"/>
      <x:c r="W1029" s="12" t="str"/>
      <x:c r="X1029" s="12" t="str">
        <x:v>STRL44</x:v>
      </x:c>
      <x:c r="Y1029" s="12" t="str">
        <x:v>FANGKI &amp; ACUNG</x:v>
      </x:c>
      <x:c r="Z1029" s="12" t="str">
        <x:v>PIT</x:v>
      </x:c>
      <x:c r="AA1029" s="32" t="n">
        <x:f>IFERROR(VLOOKUP(G1029,Master_Unit!$A$2:$N$78,7,FALSE),"")</x:f>
        <x:v>20</x:v>
      </x:c>
      <x:c r="AB1029" s="32" t="n">
        <x:f>IF(OR(N1029="",AA1029=""),"",N1029-AA1029)</x:f>
        <x:v>-2.555555555555557</x:v>
      </x:c>
      <x:c r="AC1029" s="20" t="n">
        <x:f>IF(OR(N1029="",AA1029="",AA1029=0),"",AB1029/AA1029)</x:f>
        <x:v>-0.12777777777777785</x:v>
      </x:c>
      <x:c r="AD1029" t="str">
        <x:f>IF(AA1029="","NO STANDARD",IF(AC1029&lt;=Config_Status!$B$2,"EFFICIENT",IF(AC1029&lt;=Config_Status!$B$3,"NORMAL",IF(AC1029&lt;=Config_Status!$B$4,"WARNING","OVER CONSUMPTION"))))</x:f>
        <x:v>EFFICIENT</x:v>
      </x:c>
      <x:c r="AE1029" t="str">
        <x:f>IFERROR(VLOOKUP(G1029,Master_Unit!$A$2:$N$78,13,FALSE),"UNIT NOT FOUND")</x:f>
        <x:v>Matched</x:v>
      </x:c>
    </x:row>
    <x:row r="1030">
      <x:c r="A1030" s="12" t="str">
        <x:v>FU-20260615-01029</x:v>
      </x:c>
      <x:c r="B1030" s="12" t="n">
        <x:v>1159</x:v>
      </x:c>
      <x:c r="C1030" s="14" t="n">
        <x:v>46188</x:v>
      </x:c>
      <x:c r="D1030" s="12" t="str">
        <x:v>Senin</x:v>
      </x:c>
      <x:c r="E1030" s="12" t="str">
        <x:v>20:42:00</x:v>
      </x:c>
      <x:c r="F1030" s="12" t="str">
        <x:v>All Shift Night</x:v>
      </x:c>
      <x:c r="G1030" s="12" t="str">
        <x:v>STRL44G142</x:v>
      </x:c>
      <x:c r="H1030" s="12" t="str">
        <x:v>Dump Truck</x:v>
      </x:c>
      <x:c r="I1030" s="12" t="str">
        <x:v>DUMP TRUCK RENAULT KRANGE440-P6X4 A/T</x:v>
      </x:c>
      <x:c r="J1030" s="16" t="n">
        <x:v>60</x:v>
      </x:c>
      <x:c r="K1030" s="16" t="n">
        <x:v>3413</x:v>
      </x:c>
      <x:c r="L1030" s="16" t="n">
        <x:v>3421</x:v>
      </x:c>
      <x:c r="M1030" s="16" t="n">
        <x:v>8</x:v>
      </x:c>
      <x:c r="N1030" s="16" t="n">
        <x:v>7.5</x:v>
      </x:c>
      <x:c r="O1030" s="12" t="str">
        <x:v>FTRL44G005</x:v>
      </x:c>
      <x:c r="P1030" s="12" t="str">
        <x:v>STRL44G142</x:v>
      </x:c>
      <x:c r="Q1030" s="12" t="str"/>
      <x:c r="R1030" s="12" t="str"/>
      <x:c r="S1030" s="12" t="str"/>
      <x:c r="T1030" s="12" t="str">
        <x:v>ABM</x:v>
      </x:c>
      <x:c r="U1030" s="12" t="str"/>
      <x:c r="V1030" s="12" t="str"/>
      <x:c r="W1030" s="12" t="str"/>
      <x:c r="X1030" s="12" t="str">
        <x:v>STRL44</x:v>
      </x:c>
      <x:c r="Y1030" s="12" t="str">
        <x:v>FANGKI &amp; ACUNG</x:v>
      </x:c>
      <x:c r="Z1030" s="12" t="str">
        <x:v>COAL HAULING</x:v>
      </x:c>
      <x:c r="AA1030" s="32" t="n">
        <x:f>IFERROR(VLOOKUP(G1030,Master_Unit!$A$2:$N$78,7,FALSE),"")</x:f>
        <x:v>20</x:v>
      </x:c>
      <x:c r="AB1030" s="32" t="n">
        <x:f>IF(OR(N1030="",AA1030=""),"",N1030-AA1030)</x:f>
        <x:v>-12.5</x:v>
      </x:c>
      <x:c r="AC1030" s="20" t="n">
        <x:f>IF(OR(N1030="",AA1030="",AA1030=0),"",AB1030/AA1030)</x:f>
        <x:v>-0.625</x:v>
      </x:c>
      <x:c r="AD1030" t="str">
        <x:f>IF(AA1030="","NO STANDARD",IF(AC1030&lt;=Config_Status!$B$2,"EFFICIENT",IF(AC1030&lt;=Config_Status!$B$3,"NORMAL",IF(AC1030&lt;=Config_Status!$B$4,"WARNING","OVER CONSUMPTION"))))</x:f>
        <x:v>EFFICIENT</x:v>
      </x:c>
      <x:c r="AE1030" t="str">
        <x:f>IFERROR(VLOOKUP(G1030,Master_Unit!$A$2:$N$78,13,FALSE),"UNIT NOT FOUND")</x:f>
        <x:v>Matched</x:v>
      </x:c>
    </x:row>
    <x:row r="1031">
      <x:c r="A1031" s="12" t="str">
        <x:v>FU-20260615-01030</x:v>
      </x:c>
      <x:c r="B1031" s="12" t="n">
        <x:v>1160</x:v>
      </x:c>
      <x:c r="C1031" s="14" t="n">
        <x:v>46188</x:v>
      </x:c>
      <x:c r="D1031" s="12" t="str">
        <x:v>Senin</x:v>
      </x:c>
      <x:c r="E1031" s="12" t="str">
        <x:v>20:46:00</x:v>
      </x:c>
      <x:c r="F1031" s="12" t="str">
        <x:v>All Shift Night</x:v>
      </x:c>
      <x:c r="G1031" s="12" t="str">
        <x:v>STRL44G139</x:v>
      </x:c>
      <x:c r="H1031" s="12" t="str">
        <x:v>Dump Truck</x:v>
      </x:c>
      <x:c r="I1031" s="12" t="str">
        <x:v>DUMP TRUCK RENAULT KRANGE440-P6X4 A/T</x:v>
      </x:c>
      <x:c r="J1031" s="16" t="n">
        <x:v>94</x:v>
      </x:c>
      <x:c r="K1031" s="16" t="n">
        <x:v>5033</x:v>
      </x:c>
      <x:c r="L1031" s="16" t="n">
        <x:v>5049</x:v>
      </x:c>
      <x:c r="M1031" s="16" t="n">
        <x:v>16</x:v>
      </x:c>
      <x:c r="N1031" s="16" t="n">
        <x:v>5.875</x:v>
      </x:c>
      <x:c r="O1031" s="12" t="str">
        <x:v>FTRL44G005</x:v>
      </x:c>
      <x:c r="P1031" s="12" t="str">
        <x:v>STRL44G139</x:v>
      </x:c>
      <x:c r="Q1031" s="12" t="str"/>
      <x:c r="R1031" s="12" t="str"/>
      <x:c r="S1031" s="12" t="str"/>
      <x:c r="T1031" s="12" t="str">
        <x:v>ABM</x:v>
      </x:c>
      <x:c r="U1031" s="12" t="str"/>
      <x:c r="V1031" s="12" t="str"/>
      <x:c r="W1031" s="12" t="str"/>
      <x:c r="X1031" s="12" t="str">
        <x:v>STRL44</x:v>
      </x:c>
      <x:c r="Y1031" s="12" t="str">
        <x:v>FANGKI &amp; ACUNG</x:v>
      </x:c>
      <x:c r="Z1031" s="12" t="str">
        <x:v>SUPPORT</x:v>
      </x:c>
      <x:c r="AA1031" s="32" t="n">
        <x:f>IFERROR(VLOOKUP(G1031,Master_Unit!$A$2:$N$78,7,FALSE),"")</x:f>
        <x:v>20</x:v>
      </x:c>
      <x:c r="AB1031" s="32" t="n">
        <x:f>IF(OR(N1031="",AA1031=""),"",N1031-AA1031)</x:f>
        <x:v>-14.125</x:v>
      </x:c>
      <x:c r="AC1031" s="20" t="n">
        <x:f>IF(OR(N1031="",AA1031="",AA1031=0),"",AB1031/AA1031)</x:f>
        <x:v>-0.70625</x:v>
      </x:c>
      <x:c r="AD1031" t="str">
        <x:f>IF(AA1031="","NO STANDARD",IF(AC1031&lt;=Config_Status!$B$2,"EFFICIENT",IF(AC1031&lt;=Config_Status!$B$3,"NORMAL",IF(AC1031&lt;=Config_Status!$B$4,"WARNING","OVER CONSUMPTION"))))</x:f>
        <x:v>EFFICIENT</x:v>
      </x:c>
      <x:c r="AE1031" t="str">
        <x:f>IFERROR(VLOOKUP(G1031,Master_Unit!$A$2:$N$78,13,FALSE),"UNIT NOT FOUND")</x:f>
        <x:v>Matched</x:v>
      </x:c>
    </x:row>
    <x:row r="1032">
      <x:c r="A1032" s="12" t="str">
        <x:v>FU-20260616-01031</x:v>
      </x:c>
      <x:c r="B1032" s="12" t="n">
        <x:v>1161</x:v>
      </x:c>
      <x:c r="C1032" s="14" t="n">
        <x:v>46189</x:v>
      </x:c>
      <x:c r="D1032" s="12" t="str">
        <x:v>Selasa</x:v>
      </x:c>
      <x:c r="E1032" s="12" t="str">
        <x:v>06:23:00</x:v>
      </x:c>
      <x:c r="F1032" s="12" t="str">
        <x:v>All Shift Day</x:v>
      </x:c>
      <x:c r="G1032" s="12" t="str">
        <x:v>EXVV21G032</x:v>
      </x:c>
      <x:c r="H1032" s="12" t="str">
        <x:v>Excavator</x:v>
      </x:c>
      <x:c r="I1032" s="12" t="str">
        <x:v>EXCAVATOR VOLVO EC210D</x:v>
      </x:c>
      <x:c r="J1032" s="16" t="n">
        <x:v>140</x:v>
      </x:c>
      <x:c r="K1032" s="16" t="n">
        <x:v>7593.2</x:v>
      </x:c>
      <x:c r="L1032" s="16" t="n">
        <x:v>7602.3</x:v>
      </x:c>
      <x:c r="M1032" s="16" t="n">
        <x:v>9.100000000000364</x:v>
      </x:c>
      <x:c r="N1032" s="16" t="n">
        <x:v>15.38461538461477</x:v>
      </x:c>
      <x:c r="O1032" s="12" t="str">
        <x:v>FTRL44G005</x:v>
      </x:c>
      <x:c r="P1032" s="12" t="str">
        <x:v>EXVV21G032</x:v>
      </x:c>
      <x:c r="Q1032" s="12" t="str"/>
      <x:c r="R1032" s="12" t="str"/>
      <x:c r="S1032" s="12" t="str"/>
      <x:c r="T1032" s="12" t="str">
        <x:v>ABM</x:v>
      </x:c>
      <x:c r="U1032" s="12" t="str"/>
      <x:c r="V1032" s="12" t="str"/>
      <x:c r="W1032" s="12" t="str"/>
      <x:c r="X1032" s="12" t="str">
        <x:v>EXVV21</x:v>
      </x:c>
      <x:c r="Y1032" s="12" t="str">
        <x:v>BADRI &amp; KAMRAN</x:v>
      </x:c>
      <x:c r="Z1032" s="12" t="str">
        <x:v>SUPPORT</x:v>
      </x:c>
      <x:c r="AA1032" s="32" t="n">
        <x:f>IFERROR(VLOOKUP(G1032,Master_Unit!$A$2:$N$78,7,FALSE),"")</x:f>
        <x:v>20</x:v>
      </x:c>
      <x:c r="AB1032" s="32" t="n">
        <x:f>IF(OR(N1032="",AA1032=""),"",N1032-AA1032)</x:f>
        <x:v>-4.61538461538523</x:v>
      </x:c>
      <x:c r="AC1032" s="20" t="n">
        <x:f>IF(OR(N1032="",AA1032="",AA1032=0),"",AB1032/AA1032)</x:f>
        <x:v>-0.23076923076926148</x:v>
      </x:c>
      <x:c r="AD1032" t="str">
        <x:f>IF(AA1032="","NO STANDARD",IF(AC1032&lt;=Config_Status!$B$2,"EFFICIENT",IF(AC1032&lt;=Config_Status!$B$3,"NORMAL",IF(AC1032&lt;=Config_Status!$B$4,"WARNING","OVER CONSUMPTION"))))</x:f>
        <x:v>EFFICIENT</x:v>
      </x:c>
      <x:c r="AE1032" t="str">
        <x:f>IFERROR(VLOOKUP(G1032,Master_Unit!$A$2:$N$78,13,FALSE),"UNIT NOT FOUND")</x:f>
        <x:v>Matched</x:v>
      </x:c>
    </x:row>
    <x:row r="1033">
      <x:c r="A1033" s="12" t="str">
        <x:v>FU-20260616-01032</x:v>
      </x:c>
      <x:c r="B1033" s="12" t="n">
        <x:v>1162</x:v>
      </x:c>
      <x:c r="C1033" s="14" t="n">
        <x:v>46189</x:v>
      </x:c>
      <x:c r="D1033" s="12" t="str">
        <x:v>Selasa</x:v>
      </x:c>
      <x:c r="E1033" s="12" t="str">
        <x:v>06:27:00</x:v>
      </x:c>
      <x:c r="F1033" s="12" t="str">
        <x:v>All Shift Day</x:v>
      </x:c>
      <x:c r="G1033" s="12" t="str">
        <x:v>EXVV21G043</x:v>
      </x:c>
      <x:c r="H1033" s="12" t="str">
        <x:v>Excavator</x:v>
      </x:c>
      <x:c r="I1033" s="12" t="str">
        <x:v>EXCAVATOR VOLVO EC210D</x:v>
      </x:c>
      <x:c r="J1033" s="16" t="n">
        <x:v>114</x:v>
      </x:c>
      <x:c r="K1033" s="16" t="n">
        <x:v>5380.3</x:v>
      </x:c>
      <x:c r="L1033" s="16" t="n">
        <x:v>5387.4</x:v>
      </x:c>
      <x:c r="M1033" s="16" t="n">
        <x:v>7.099999999999454</x:v>
      </x:c>
      <x:c r="N1033" s="16" t="n">
        <x:v>16.05633802817025</x:v>
      </x:c>
      <x:c r="O1033" s="12" t="str">
        <x:v>FTRL44G005</x:v>
      </x:c>
      <x:c r="P1033" s="12" t="str">
        <x:v>EXVV21G043</x:v>
      </x:c>
      <x:c r="Q1033" s="12" t="str"/>
      <x:c r="R1033" s="12" t="str"/>
      <x:c r="S1033" s="12" t="str"/>
      <x:c r="T1033" s="12" t="str">
        <x:v>ABM</x:v>
      </x:c>
      <x:c r="U1033" s="12" t="str"/>
      <x:c r="V1033" s="12" t="str"/>
      <x:c r="W1033" s="12" t="str"/>
      <x:c r="X1033" s="12" t="str">
        <x:v>EXVV21</x:v>
      </x:c>
      <x:c r="Y1033" s="12" t="str">
        <x:v>BADRI &amp; KAMRAN</x:v>
      </x:c>
      <x:c r="Z1033" s="12" t="str">
        <x:v>PIT</x:v>
      </x:c>
      <x:c r="AA1033" s="32" t="n">
        <x:f>IFERROR(VLOOKUP(G1033,Master_Unit!$A$2:$N$78,7,FALSE),"")</x:f>
        <x:v>20</x:v>
      </x:c>
      <x:c r="AB1033" s="32" t="n">
        <x:f>IF(OR(N1033="",AA1033=""),"",N1033-AA1033)</x:f>
        <x:v>-3.9436619718297514</x:v>
      </x:c>
      <x:c r="AC1033" s="20" t="n">
        <x:f>IF(OR(N1033="",AA1033="",AA1033=0),"",AB1033/AA1033)</x:f>
        <x:v>-0.19718309859148758</x:v>
      </x:c>
      <x:c r="AD1033" t="str">
        <x:f>IF(AA1033="","NO STANDARD",IF(AC1033&lt;=Config_Status!$B$2,"EFFICIENT",IF(AC1033&lt;=Config_Status!$B$3,"NORMAL",IF(AC1033&lt;=Config_Status!$B$4,"WARNING","OVER CONSUMPTION"))))</x:f>
        <x:v>EFFICIENT</x:v>
      </x:c>
      <x:c r="AE1033" t="str">
        <x:f>IFERROR(VLOOKUP(G1033,Master_Unit!$A$2:$N$78,13,FALSE),"UNIT NOT FOUND")</x:f>
        <x:v>Matched</x:v>
      </x:c>
    </x:row>
    <x:row r="1034">
      <x:c r="A1034" s="12" t="str">
        <x:v>FU-20260616-01033</x:v>
      </x:c>
      <x:c r="B1034" s="12" t="n">
        <x:v>1163</x:v>
      </x:c>
      <x:c r="C1034" s="14" t="n">
        <x:v>46189</x:v>
      </x:c>
      <x:c r="D1034" s="12" t="str">
        <x:v>Selasa</x:v>
      </x:c>
      <x:c r="E1034" s="12" t="str">
        <x:v>06:38:00</x:v>
      </x:c>
      <x:c r="F1034" s="12" t="str">
        <x:v>All Shift Day</x:v>
      </x:c>
      <x:c r="G1034" s="12" t="str">
        <x:v>EXVV35G007</x:v>
      </x:c>
      <x:c r="H1034" s="12" t="str">
        <x:v>Excavator</x:v>
      </x:c>
      <x:c r="I1034" s="12" t="str">
        <x:v>EXCAVATOR VOLVO EC350D</x:v>
      </x:c>
      <x:c r="J1034" s="16" t="n">
        <x:v>200</x:v>
      </x:c>
      <x:c r="K1034" s="16" t="n">
        <x:v>629</x:v>
      </x:c>
      <x:c r="L1034" s="16" t="n">
        <x:v>637</x:v>
      </x:c>
      <x:c r="M1034" s="16" t="n">
        <x:v>8</x:v>
      </x:c>
      <x:c r="N1034" s="16" t="n">
        <x:v>25</x:v>
      </x:c>
      <x:c r="O1034" s="12" t="str">
        <x:v>FTRL44G005</x:v>
      </x:c>
      <x:c r="P1034" s="12" t="str">
        <x:v>EXVV35G007</x:v>
      </x:c>
      <x:c r="Q1034" s="12" t="str"/>
      <x:c r="R1034" s="12" t="str"/>
      <x:c r="S1034" s="12" t="str"/>
      <x:c r="T1034" s="12" t="str">
        <x:v>ABM</x:v>
      </x:c>
      <x:c r="U1034" s="12" t="str"/>
      <x:c r="V1034" s="12" t="str"/>
      <x:c r="W1034" s="12" t="str"/>
      <x:c r="X1034" s="12" t="str">
        <x:v>EXVV35</x:v>
      </x:c>
      <x:c r="Y1034" s="12" t="str">
        <x:v>BADRI &amp; KAMRAN</x:v>
      </x:c>
      <x:c r="Z1034" s="12" t="str">
        <x:v>PIT</x:v>
      </x:c>
      <x:c r="AA1034" s="32" t="n">
        <x:f>IFERROR(VLOOKUP(G1034,Master_Unit!$A$2:$N$78,7,FALSE),"")</x:f>
        <x:v>25</x:v>
      </x:c>
      <x:c r="AB1034" s="32" t="n">
        <x:f>IF(OR(N1034="",AA1034=""),"",N1034-AA1034)</x:f>
        <x:v>0</x:v>
      </x:c>
      <x:c r="AC1034" s="20" t="n">
        <x:f>IF(OR(N1034="",AA1034="",AA1034=0),"",AB1034/AA1034)</x:f>
        <x:v>0</x:v>
      </x:c>
      <x:c r="AD1034" t="str">
        <x:f>IF(AA1034="","NO STANDARD",IF(AC1034&lt;=Config_Status!$B$2,"EFFICIENT",IF(AC1034&lt;=Config_Status!$B$3,"NORMAL",IF(AC1034&lt;=Config_Status!$B$4,"WARNING","OVER CONSUMPTION"))))</x:f>
        <x:v>NORMAL</x:v>
      </x:c>
      <x:c r="AE1034" t="str">
        <x:f>IFERROR(VLOOKUP(G1034,Master_Unit!$A$2:$N$78,13,FALSE),"UNIT NOT FOUND")</x:f>
        <x:v>Matched</x:v>
      </x:c>
    </x:row>
    <x:row r="1035">
      <x:c r="A1035" s="12" t="str">
        <x:v>FU-20260616-01034</x:v>
      </x:c>
      <x:c r="B1035" s="12" t="n">
        <x:v>1164</x:v>
      </x:c>
      <x:c r="C1035" s="14" t="n">
        <x:v>46189</x:v>
      </x:c>
      <x:c r="D1035" s="12" t="str">
        <x:v>Selasa</x:v>
      </x:c>
      <x:c r="E1035" s="12" t="str">
        <x:v>06:46:00</x:v>
      </x:c>
      <x:c r="F1035" s="12" t="str">
        <x:v>All Shift Day</x:v>
      </x:c>
      <x:c r="G1035" s="12" t="str">
        <x:v>EXVV21G042</x:v>
      </x:c>
      <x:c r="H1035" s="12" t="str">
        <x:v>Excavator</x:v>
      </x:c>
      <x:c r="I1035" s="12" t="str">
        <x:v>EXCAVATOR VOLVO EC210D</x:v>
      </x:c>
      <x:c r="J1035" s="16" t="n">
        <x:v>140</x:v>
      </x:c>
      <x:c r="K1035" s="16" t="n">
        <x:v>7819.7</x:v>
      </x:c>
      <x:c r="L1035" s="16" t="n">
        <x:v>7828</x:v>
      </x:c>
      <x:c r="M1035" s="16" t="n">
        <x:v>8.300000000000182</x:v>
      </x:c>
      <x:c r="N1035" s="16" t="n">
        <x:v>16.867469879517703</x:v>
      </x:c>
      <x:c r="O1035" s="12" t="str">
        <x:v>FTRL44G005</x:v>
      </x:c>
      <x:c r="P1035" s="12" t="str">
        <x:v>EXVV21G042</x:v>
      </x:c>
      <x:c r="Q1035" s="12" t="str"/>
      <x:c r="R1035" s="12" t="str"/>
      <x:c r="S1035" s="12" t="str"/>
      <x:c r="T1035" s="12" t="str">
        <x:v>ABM</x:v>
      </x:c>
      <x:c r="U1035" s="12" t="str"/>
      <x:c r="V1035" s="12" t="str"/>
      <x:c r="W1035" s="12" t="str"/>
      <x:c r="X1035" s="12" t="str">
        <x:v>EXVV21</x:v>
      </x:c>
      <x:c r="Y1035" s="12" t="str">
        <x:v>BADRI &amp; KAMRAN</x:v>
      </x:c>
      <x:c r="Z1035" s="12" t="str">
        <x:v>PIT</x:v>
      </x:c>
      <x:c r="AA1035" s="32" t="n">
        <x:f>IFERROR(VLOOKUP(G1035,Master_Unit!$A$2:$N$78,7,FALSE),"")</x:f>
        <x:v>20</x:v>
      </x:c>
      <x:c r="AB1035" s="32" t="n">
        <x:f>IF(OR(N1035="",AA1035=""),"",N1035-AA1035)</x:f>
        <x:v>-3.132530120482297</x:v>
      </x:c>
      <x:c r="AC1035" s="20" t="n">
        <x:f>IF(OR(N1035="",AA1035="",AA1035=0),"",AB1035/AA1035)</x:f>
        <x:v>-0.15662650602411485</x:v>
      </x:c>
      <x:c r="AD1035" t="str">
        <x:f>IF(AA1035="","NO STANDARD",IF(AC1035&lt;=Config_Status!$B$2,"EFFICIENT",IF(AC1035&lt;=Config_Status!$B$3,"NORMAL",IF(AC1035&lt;=Config_Status!$B$4,"WARNING","OVER CONSUMPTION"))))</x:f>
        <x:v>EFFICIENT</x:v>
      </x:c>
      <x:c r="AE1035" t="str">
        <x:f>IFERROR(VLOOKUP(G1035,Master_Unit!$A$2:$N$78,13,FALSE),"UNIT NOT FOUND")</x:f>
        <x:v>Matched</x:v>
      </x:c>
    </x:row>
    <x:row r="1036">
      <x:c r="A1036" s="12" t="str">
        <x:v>FU-20260616-01035</x:v>
      </x:c>
      <x:c r="B1036" s="12" t="n">
        <x:v>1165</x:v>
      </x:c>
      <x:c r="C1036" s="14" t="n">
        <x:v>46189</x:v>
      </x:c>
      <x:c r="D1036" s="12" t="str">
        <x:v>Selasa</x:v>
      </x:c>
      <x:c r="E1036" s="12" t="str">
        <x:v>06:53:00</x:v>
      </x:c>
      <x:c r="F1036" s="12" t="str">
        <x:v>All Shift Day</x:v>
      </x:c>
      <x:c r="G1036" s="12" t="str">
        <x:v>EXVV35G005</x:v>
      </x:c>
      <x:c r="H1036" s="12" t="str">
        <x:v>Excavator</x:v>
      </x:c>
      <x:c r="I1036" s="12" t="str">
        <x:v>EXCAVATOR VOLVO EC350D</x:v>
      </x:c>
      <x:c r="J1036" s="16" t="n">
        <x:v>188</x:v>
      </x:c>
      <x:c r="K1036" s="16" t="n">
        <x:v>5260</x:v>
      </x:c>
      <x:c r="L1036" s="16" t="n">
        <x:v>5268.3</x:v>
      </x:c>
      <x:c r="M1036" s="16" t="n">
        <x:v>8.300000000000182</x:v>
      </x:c>
      <x:c r="N1036" s="16" t="n">
        <x:v>22.650602409638058</x:v>
      </x:c>
      <x:c r="O1036" s="12" t="str">
        <x:v>FTRL44G005</x:v>
      </x:c>
      <x:c r="P1036" s="12" t="str">
        <x:v>EXVV35G005</x:v>
      </x:c>
      <x:c r="Q1036" s="12" t="str"/>
      <x:c r="R1036" s="12" t="str"/>
      <x:c r="S1036" s="12" t="str"/>
      <x:c r="T1036" s="12" t="str">
        <x:v>ABM</x:v>
      </x:c>
      <x:c r="U1036" s="12" t="str"/>
      <x:c r="V1036" s="12" t="str"/>
      <x:c r="W1036" s="12" t="str"/>
      <x:c r="X1036" s="12" t="str">
        <x:v>EXVV35</x:v>
      </x:c>
      <x:c r="Y1036" s="12" t="str">
        <x:v>BADRI &amp; KAMRAN</x:v>
      </x:c>
      <x:c r="Z1036" s="12" t="str">
        <x:v>PIT</x:v>
      </x:c>
      <x:c r="AA1036" s="32" t="n">
        <x:f>IFERROR(VLOOKUP(G1036,Master_Unit!$A$2:$N$78,7,FALSE),"")</x:f>
        <x:v>25</x:v>
      </x:c>
      <x:c r="AB1036" s="32" t="n">
        <x:f>IF(OR(N1036="",AA1036=""),"",N1036-AA1036)</x:f>
        <x:v>-2.349397590361942</x:v>
      </x:c>
      <x:c r="AC1036" s="20" t="n">
        <x:f>IF(OR(N1036="",AA1036="",AA1036=0),"",AB1036/AA1036)</x:f>
        <x:v>-0.09397590361447769</x:v>
      </x:c>
      <x:c r="AD1036" t="str">
        <x:f>IF(AA1036="","NO STANDARD",IF(AC1036&lt;=Config_Status!$B$2,"EFFICIENT",IF(AC1036&lt;=Config_Status!$B$3,"NORMAL",IF(AC1036&lt;=Config_Status!$B$4,"WARNING","OVER CONSUMPTION"))))</x:f>
        <x:v>NORMAL</x:v>
      </x:c>
      <x:c r="AE1036" t="str">
        <x:f>IFERROR(VLOOKUP(G1036,Master_Unit!$A$2:$N$78,13,FALSE),"UNIT NOT FOUND")</x:f>
        <x:v>Matched</x:v>
      </x:c>
    </x:row>
    <x:row r="1037">
      <x:c r="A1037" s="12" t="str">
        <x:v>FU-20260616-01036</x:v>
      </x:c>
      <x:c r="B1037" s="12" t="n">
        <x:v>1166</x:v>
      </x:c>
      <x:c r="C1037" s="14" t="n">
        <x:v>46189</x:v>
      </x:c>
      <x:c r="D1037" s="12" t="str">
        <x:v>Selasa</x:v>
      </x:c>
      <x:c r="E1037" s="12" t="str">
        <x:v>06:59:00</x:v>
      </x:c>
      <x:c r="F1037" s="12" t="str">
        <x:v>All Shift Day</x:v>
      </x:c>
      <x:c r="G1037" s="12" t="str">
        <x:v>EXVV21G039</x:v>
      </x:c>
      <x:c r="H1037" s="12" t="str">
        <x:v>Excavator</x:v>
      </x:c>
      <x:c r="I1037" s="12" t="str">
        <x:v>EXCAVATOR VOLVO EC210D</x:v>
      </x:c>
      <x:c r="J1037" s="16" t="n">
        <x:v>140</x:v>
      </x:c>
      <x:c r="K1037" s="16" t="n">
        <x:v>6364.4</x:v>
      </x:c>
      <x:c r="L1037" s="16" t="n">
        <x:v>6374.1</x:v>
      </x:c>
      <x:c r="M1037" s="16" t="n">
        <x:v>9.700000000000728</x:v>
      </x:c>
      <x:c r="N1037" s="16" t="n">
        <x:v>14.432989690720566</x:v>
      </x:c>
      <x:c r="O1037" s="12" t="str">
        <x:v>FTRL44G005</x:v>
      </x:c>
      <x:c r="P1037" s="12" t="str">
        <x:v>EXVV21G039</x:v>
      </x:c>
      <x:c r="Q1037" s="12" t="str"/>
      <x:c r="R1037" s="12" t="str"/>
      <x:c r="S1037" s="12" t="str"/>
      <x:c r="T1037" s="12" t="str">
        <x:v>ABM</x:v>
      </x:c>
      <x:c r="U1037" s="12" t="str"/>
      <x:c r="V1037" s="12" t="str"/>
      <x:c r="W1037" s="12" t="str"/>
      <x:c r="X1037" s="12" t="str">
        <x:v>EXVV21</x:v>
      </x:c>
      <x:c r="Y1037" s="12" t="str">
        <x:v>BADRI &amp; KAMRAN</x:v>
      </x:c>
      <x:c r="Z1037" s="12" t="str">
        <x:v>PIT</x:v>
      </x:c>
      <x:c r="AA1037" s="32" t="n">
        <x:f>IFERROR(VLOOKUP(G1037,Master_Unit!$A$2:$N$78,7,FALSE),"")</x:f>
        <x:v>20</x:v>
      </x:c>
      <x:c r="AB1037" s="32" t="n">
        <x:f>IF(OR(N1037="",AA1037=""),"",N1037-AA1037)</x:f>
        <x:v>-5.567010309279434</x:v>
      </x:c>
      <x:c r="AC1037" s="20" t="n">
        <x:f>IF(OR(N1037="",AA1037="",AA1037=0),"",AB1037/AA1037)</x:f>
        <x:v>-0.2783505154639717</x:v>
      </x:c>
      <x:c r="AD1037" t="str">
        <x:f>IF(AA1037="","NO STANDARD",IF(AC1037&lt;=Config_Status!$B$2,"EFFICIENT",IF(AC1037&lt;=Config_Status!$B$3,"NORMAL",IF(AC1037&lt;=Config_Status!$B$4,"WARNING","OVER CONSUMPTION"))))</x:f>
        <x:v>EFFICIENT</x:v>
      </x:c>
      <x:c r="AE1037" t="str">
        <x:f>IFERROR(VLOOKUP(G1037,Master_Unit!$A$2:$N$78,13,FALSE),"UNIT NOT FOUND")</x:f>
        <x:v>Matched</x:v>
      </x:c>
    </x:row>
    <x:row r="1038">
      <x:c r="A1038" s="12" t="str">
        <x:v>FU-20260616-01037</x:v>
      </x:c>
      <x:c r="B1038" s="12" t="n">
        <x:v>1167</x:v>
      </x:c>
      <x:c r="C1038" s="14" t="n">
        <x:v>46189</x:v>
      </x:c>
      <x:c r="D1038" s="12" t="str">
        <x:v>Selasa</x:v>
      </x:c>
      <x:c r="E1038" s="12" t="str">
        <x:v>07:05:00</x:v>
      </x:c>
      <x:c r="F1038" s="12" t="str">
        <x:v>All Shift Day</x:v>
      </x:c>
      <x:c r="G1038" s="12" t="str">
        <x:v>EXVV21G035</x:v>
      </x:c>
      <x:c r="H1038" s="12" t="str">
        <x:v>Excavator</x:v>
      </x:c>
      <x:c r="I1038" s="12" t="str">
        <x:v>EXCAVATOR VOLVO EC210D</x:v>
      </x:c>
      <x:c r="J1038" s="16" t="n">
        <x:v>140</x:v>
      </x:c>
      <x:c r="K1038" s="16" t="n">
        <x:v>8474.8</x:v>
      </x:c>
      <x:c r="L1038" s="16" t="n">
        <x:v>8484</x:v>
      </x:c>
      <x:c r="M1038" s="16" t="n">
        <x:v>9.200000000000728</x:v>
      </x:c>
      <x:c r="N1038" s="16" t="n">
        <x:v>15.217391304346622</x:v>
      </x:c>
      <x:c r="O1038" s="12" t="str">
        <x:v>FTRL44G005</x:v>
      </x:c>
      <x:c r="P1038" s="12" t="str">
        <x:v>EXVV21G035</x:v>
      </x:c>
      <x:c r="Q1038" s="12" t="str"/>
      <x:c r="R1038" s="12" t="str"/>
      <x:c r="S1038" s="12" t="str"/>
      <x:c r="T1038" s="12" t="str">
        <x:v>ABM</x:v>
      </x:c>
      <x:c r="U1038" s="12" t="str"/>
      <x:c r="V1038" s="12" t="str"/>
      <x:c r="W1038" s="12" t="str"/>
      <x:c r="X1038" s="12" t="str">
        <x:v>EXVV21</x:v>
      </x:c>
      <x:c r="Y1038" s="12" t="str">
        <x:v>BADRI &amp; KAMRAN</x:v>
      </x:c>
      <x:c r="Z1038" s="12" t="str">
        <x:v>PIT</x:v>
      </x:c>
      <x:c r="AA1038" s="32" t="n">
        <x:f>IFERROR(VLOOKUP(G1038,Master_Unit!$A$2:$N$78,7,FALSE),"")</x:f>
        <x:v>20</x:v>
      </x:c>
      <x:c r="AB1038" s="32" t="n">
        <x:f>IF(OR(N1038="",AA1038=""),"",N1038-AA1038)</x:f>
        <x:v>-4.782608695653378</x:v>
      </x:c>
      <x:c r="AC1038" s="20" t="n">
        <x:f>IF(OR(N1038="",AA1038="",AA1038=0),"",AB1038/AA1038)</x:f>
        <x:v>-0.2391304347826689</x:v>
      </x:c>
      <x:c r="AD1038" t="str">
        <x:f>IF(AA1038="","NO STANDARD",IF(AC1038&lt;=Config_Status!$B$2,"EFFICIENT",IF(AC1038&lt;=Config_Status!$B$3,"NORMAL",IF(AC1038&lt;=Config_Status!$B$4,"WARNING","OVER CONSUMPTION"))))</x:f>
        <x:v>EFFICIENT</x:v>
      </x:c>
      <x:c r="AE1038" t="str">
        <x:f>IFERROR(VLOOKUP(G1038,Master_Unit!$A$2:$N$78,13,FALSE),"UNIT NOT FOUND")</x:f>
        <x:v>Matched</x:v>
      </x:c>
    </x:row>
    <x:row r="1039">
      <x:c r="A1039" s="12" t="str">
        <x:v>FU-20260616-01038</x:v>
      </x:c>
      <x:c r="B1039" s="12" t="n">
        <x:v>1168</x:v>
      </x:c>
      <x:c r="C1039" s="14" t="n">
        <x:v>46189</x:v>
      </x:c>
      <x:c r="D1039" s="12" t="str">
        <x:v>Selasa</x:v>
      </x:c>
      <x:c r="E1039" s="12" t="str">
        <x:v>07:10:00</x:v>
      </x:c>
      <x:c r="F1039" s="12" t="str">
        <x:v>All Shift Day</x:v>
      </x:c>
      <x:c r="G1039" s="12" t="str">
        <x:v>GSHT10G001</x:v>
      </x:c>
      <x:c r="H1039" s="12" t="str">
        <x:v>Genset</x:v>
      </x:c>
      <x:c r="I1039" s="12" t="str">
        <x:v>GENSET HARTECH HT-10</x:v>
      </x:c>
      <x:c r="J1039" s="16" t="n">
        <x:v>12</x:v>
      </x:c>
      <x:c r="K1039" s="16" t="n">
        <x:v>5991.31</x:v>
      </x:c>
      <x:c r="L1039" s="16" t="n">
        <x:v>6002.23</x:v>
      </x:c>
      <x:c r="M1039" s="16" t="n">
        <x:v>10.919999999999163</x:v>
      </x:c>
      <x:c r="N1039" s="16" t="n">
        <x:v>1.0989010989011831</x:v>
      </x:c>
      <x:c r="O1039" s="12" t="str">
        <x:v>FTRL44G005</x:v>
      </x:c>
      <x:c r="P1039" s="12" t="str">
        <x:v>GSHT10G001</x:v>
      </x:c>
      <x:c r="Q1039" s="12" t="str"/>
      <x:c r="R1039" s="12" t="str"/>
      <x:c r="S1039" s="12" t="str"/>
      <x:c r="T1039" s="12" t="str">
        <x:v>ABM</x:v>
      </x:c>
      <x:c r="U1039" s="12" t="str"/>
      <x:c r="V1039" s="12" t="str"/>
      <x:c r="W1039" s="12" t="str"/>
      <x:c r="X1039" s="12" t="str">
        <x:v>GSHT10</x:v>
      </x:c>
      <x:c r="Y1039" s="12" t="str">
        <x:v>BADRI &amp; KAMRAN</x:v>
      </x:c>
      <x:c r="Z1039" s="12" t="str">
        <x:v>ETO</x:v>
      </x:c>
      <x:c r="AA1039" s="32" t="n">
        <x:f>IFERROR(VLOOKUP(G1039,Master_Unit!$A$2:$N$78,7,FALSE),"")</x:f>
        <x:v>3</x:v>
      </x:c>
      <x:c r="AB1039" s="32" t="n">
        <x:f>IF(OR(N1039="",AA1039=""),"",N1039-AA1039)</x:f>
        <x:v>-1.9010989010988169</x:v>
      </x:c>
      <x:c r="AC1039" s="20" t="n">
        <x:f>IF(OR(N1039="",AA1039="",AA1039=0),"",AB1039/AA1039)</x:f>
        <x:v>-0.6336996336996056</x:v>
      </x:c>
      <x:c r="AD1039" t="str">
        <x:f>IF(AA1039="","NO STANDARD",IF(AC1039&lt;=Config_Status!$B$2,"EFFICIENT",IF(AC1039&lt;=Config_Status!$B$3,"NORMAL",IF(AC1039&lt;=Config_Status!$B$4,"WARNING","OVER CONSUMPTION"))))</x:f>
        <x:v>EFFICIENT</x:v>
      </x:c>
      <x:c r="AE1039" t="str">
        <x:f>IFERROR(VLOOKUP(G1039,Master_Unit!$A$2:$N$78,13,FALSE),"UNIT NOT FOUND")</x:f>
        <x:v>Matched</x:v>
      </x:c>
    </x:row>
    <x:row r="1040">
      <x:c r="A1040" s="12" t="str">
        <x:v>FU-20260616-01039</x:v>
      </x:c>
      <x:c r="B1040" s="12" t="n">
        <x:v>1169</x:v>
      </x:c>
      <x:c r="C1040" s="14" t="n">
        <x:v>46189</x:v>
      </x:c>
      <x:c r="D1040" s="12" t="str">
        <x:v>Selasa</x:v>
      </x:c>
      <x:c r="E1040" s="12" t="str">
        <x:v>07:17:00</x:v>
      </x:c>
      <x:c r="F1040" s="12" t="str">
        <x:v>All Shift Day</x:v>
      </x:c>
      <x:c r="G1040" s="12" t="str">
        <x:v>BDKM85G040</x:v>
      </x:c>
      <x:c r="H1040" s="12" t="str">
        <x:v>Dozer</x:v>
      </x:c>
      <x:c r="I1040" s="12" t="str">
        <x:v>BULDOZER KOMATSU D85ESS-2</x:v>
      </x:c>
      <x:c r="J1040" s="16" t="n">
        <x:v>60</x:v>
      </x:c>
      <x:c r="K1040" s="16" t="n">
        <x:v>6302.7</x:v>
      </x:c>
      <x:c r="L1040" s="16" t="n">
        <x:v>6309.8</x:v>
      </x:c>
      <x:c r="M1040" s="16" t="n">
        <x:v>7.100000000000364</x:v>
      </x:c>
      <x:c r="N1040" s="16" t="n">
        <x:v>8.45070422535168</x:v>
      </x:c>
      <x:c r="O1040" s="12" t="str">
        <x:v>FTRL44G005</x:v>
      </x:c>
      <x:c r="P1040" s="12" t="str">
        <x:v>BDKM85G040</x:v>
      </x:c>
      <x:c r="Q1040" s="12" t="str"/>
      <x:c r="R1040" s="12" t="str"/>
      <x:c r="S1040" s="12" t="str"/>
      <x:c r="T1040" s="12" t="str">
        <x:v>ABM</x:v>
      </x:c>
      <x:c r="U1040" s="12" t="str"/>
      <x:c r="V1040" s="12" t="str"/>
      <x:c r="W1040" s="12" t="str"/>
      <x:c r="X1040" s="12" t="str">
        <x:v>BDKM85</x:v>
      </x:c>
      <x:c r="Y1040" s="12" t="str">
        <x:v>BADRI &amp; KAMRAN</x:v>
      </x:c>
      <x:c r="Z1040" s="12" t="str">
        <x:v>ETO</x:v>
      </x:c>
      <x:c r="AA1040" s="32" t="n">
        <x:f>IFERROR(VLOOKUP(G1040,Master_Unit!$A$2:$N$78,7,FALSE),"")</x:f>
        <x:v>30</x:v>
      </x:c>
      <x:c r="AB1040" s="32" t="n">
        <x:f>IF(OR(N1040="",AA1040=""),"",N1040-AA1040)</x:f>
        <x:v>-21.54929577464832</x:v>
      </x:c>
      <x:c r="AC1040" s="20" t="n">
        <x:f>IF(OR(N1040="",AA1040="",AA1040=0),"",AB1040/AA1040)</x:f>
        <x:v>-0.718309859154944</x:v>
      </x:c>
      <x:c r="AD1040" t="str">
        <x:f>IF(AA1040="","NO STANDARD",IF(AC1040&lt;=Config_Status!$B$2,"EFFICIENT",IF(AC1040&lt;=Config_Status!$B$3,"NORMAL",IF(AC1040&lt;=Config_Status!$B$4,"WARNING","OVER CONSUMPTION"))))</x:f>
        <x:v>EFFICIENT</x:v>
      </x:c>
      <x:c r="AE1040" t="str">
        <x:f>IFERROR(VLOOKUP(G1040,Master_Unit!$A$2:$N$78,13,FALSE),"UNIT NOT FOUND")</x:f>
        <x:v>Matched</x:v>
      </x:c>
    </x:row>
    <x:row r="1041">
      <x:c r="A1041" s="12" t="str">
        <x:v>FU-20260616-01040</x:v>
      </x:c>
      <x:c r="B1041" s="12" t="n">
        <x:v>1170</x:v>
      </x:c>
      <x:c r="C1041" s="14" t="n">
        <x:v>46189</x:v>
      </x:c>
      <x:c r="D1041" s="12" t="str">
        <x:v>Selasa</x:v>
      </x:c>
      <x:c r="E1041" s="12" t="str">
        <x:v>07:18:00</x:v>
      </x:c>
      <x:c r="F1041" s="12" t="str">
        <x:v>All Shift Day</x:v>
      </x:c>
      <x:c r="G1041" s="12" t="str">
        <x:v>EXVV21G037</x:v>
      </x:c>
      <x:c r="H1041" s="12" t="str">
        <x:v>Excavator</x:v>
      </x:c>
      <x:c r="I1041" s="12" t="str">
        <x:v>EXCAVATOR VOLVO EC210D</x:v>
      </x:c>
      <x:c r="J1041" s="16" t="n">
        <x:v>114</x:v>
      </x:c>
      <x:c r="K1041" s="16" t="n">
        <x:v>6937.7</x:v>
      </x:c>
      <x:c r="L1041" s="16" t="n">
        <x:v>6944.2</x:v>
      </x:c>
      <x:c r="M1041" s="16" t="n">
        <x:v>6.5</x:v>
      </x:c>
      <x:c r="N1041" s="16" t="n">
        <x:v>17.53846153846154</x:v>
      </x:c>
      <x:c r="O1041" s="12" t="str">
        <x:v>FTRL44G005</x:v>
      </x:c>
      <x:c r="P1041" s="12" t="str">
        <x:v>EXVV21G037</x:v>
      </x:c>
      <x:c r="Q1041" s="12" t="str"/>
      <x:c r="R1041" s="12" t="str"/>
      <x:c r="S1041" s="12" t="str"/>
      <x:c r="T1041" s="12" t="str">
        <x:v>ABM</x:v>
      </x:c>
      <x:c r="U1041" s="12" t="str"/>
      <x:c r="V1041" s="12" t="str"/>
      <x:c r="W1041" s="12" t="str"/>
      <x:c r="X1041" s="12" t="str">
        <x:v>EXVV21</x:v>
      </x:c>
      <x:c r="Y1041" s="12" t="str">
        <x:v>BADRI &amp; KAMRAN</x:v>
      </x:c>
      <x:c r="Z1041" s="12" t="str">
        <x:v>SUPPORT</x:v>
      </x:c>
      <x:c r="AA1041" s="32" t="n">
        <x:f>IFERROR(VLOOKUP(G1041,Master_Unit!$A$2:$N$78,7,FALSE),"")</x:f>
        <x:v>20</x:v>
      </x:c>
      <x:c r="AB1041" s="32" t="n">
        <x:f>IF(OR(N1041="",AA1041=""),"",N1041-AA1041)</x:f>
        <x:v>-2.46153846153846</x:v>
      </x:c>
      <x:c r="AC1041" s="20" t="n">
        <x:f>IF(OR(N1041="",AA1041="",AA1041=0),"",AB1041/AA1041)</x:f>
        <x:v>-0.123076923076923</x:v>
      </x:c>
      <x:c r="AD1041" t="str">
        <x:f>IF(AA1041="","NO STANDARD",IF(AC1041&lt;=Config_Status!$B$2,"EFFICIENT",IF(AC1041&lt;=Config_Status!$B$3,"NORMAL",IF(AC1041&lt;=Config_Status!$B$4,"WARNING","OVER CONSUMPTION"))))</x:f>
        <x:v>EFFICIENT</x:v>
      </x:c>
      <x:c r="AE1041" t="str">
        <x:f>IFERROR(VLOOKUP(G1041,Master_Unit!$A$2:$N$78,13,FALSE),"UNIT NOT FOUND")</x:f>
        <x:v>Matched</x:v>
      </x:c>
    </x:row>
    <x:row r="1042">
      <x:c r="A1042" s="12" t="str">
        <x:v>FU-20260616-01041</x:v>
      </x:c>
      <x:c r="B1042" s="12" t="n">
        <x:v>1171</x:v>
      </x:c>
      <x:c r="C1042" s="14" t="n">
        <x:v>46189</x:v>
      </x:c>
      <x:c r="D1042" s="12" t="str">
        <x:v>Selasa</x:v>
      </x:c>
      <x:c r="E1042" s="12" t="str">
        <x:v>07:25:00</x:v>
      </x:c>
      <x:c r="F1042" s="12" t="str">
        <x:v>All Shift Day</x:v>
      </x:c>
      <x:c r="G1042" s="12" t="str">
        <x:v>GSHT10G002</x:v>
      </x:c>
      <x:c r="H1042" s="12" t="str">
        <x:v>Genset</x:v>
      </x:c>
      <x:c r="I1042" s="12" t="str">
        <x:v>GENSET HARTECH HT-10</x:v>
      </x:c>
      <x:c r="J1042" s="16" t="n">
        <x:v>16</x:v>
      </x:c>
      <x:c r="K1042" s="16" t="n">
        <x:v>8577.5</x:v>
      </x:c>
      <x:c r="L1042" s="16" t="n">
        <x:v>8589.39</x:v>
      </x:c>
      <x:c r="M1042" s="16" t="n">
        <x:v>11.889999999999418</x:v>
      </x:c>
      <x:c r="N1042" s="16" t="n">
        <x:v>1.34566862910015</x:v>
      </x:c>
      <x:c r="O1042" s="12" t="str">
        <x:v>FTRL44G005</x:v>
      </x:c>
      <x:c r="P1042" s="12" t="str">
        <x:v>GSHT10G002</x:v>
      </x:c>
      <x:c r="Q1042" s="12" t="str"/>
      <x:c r="R1042" s="12" t="str"/>
      <x:c r="S1042" s="12" t="str"/>
      <x:c r="T1042" s="12" t="str">
        <x:v>ABM</x:v>
      </x:c>
      <x:c r="U1042" s="12" t="str"/>
      <x:c r="V1042" s="12" t="str"/>
      <x:c r="W1042" s="12" t="str"/>
      <x:c r="X1042" s="12" t="str">
        <x:v>GSHT10</x:v>
      </x:c>
      <x:c r="Y1042" s="12" t="str">
        <x:v>BADRI &amp; KAMRAN</x:v>
      </x:c>
      <x:c r="Z1042" s="12" t="str">
        <x:v>SUPPORT</x:v>
      </x:c>
      <x:c r="AA1042" s="32" t="n">
        <x:f>IFERROR(VLOOKUP(G1042,Master_Unit!$A$2:$N$78,7,FALSE),"")</x:f>
        <x:v>3</x:v>
      </x:c>
      <x:c r="AB1042" s="32" t="n">
        <x:f>IF(OR(N1042="",AA1042=""),"",N1042-AA1042)</x:f>
        <x:v>-1.65433137089985</x:v>
      </x:c>
      <x:c r="AC1042" s="20" t="n">
        <x:f>IF(OR(N1042="",AA1042="",AA1042=0),"",AB1042/AA1042)</x:f>
        <x:v>-0.5514437902999499</x:v>
      </x:c>
      <x:c r="AD1042" t="str">
        <x:f>IF(AA1042="","NO STANDARD",IF(AC1042&lt;=Config_Status!$B$2,"EFFICIENT",IF(AC1042&lt;=Config_Status!$B$3,"NORMAL",IF(AC1042&lt;=Config_Status!$B$4,"WARNING","OVER CONSUMPTION"))))</x:f>
        <x:v>EFFICIENT</x:v>
      </x:c>
      <x:c r="AE1042" t="str">
        <x:f>IFERROR(VLOOKUP(G1042,Master_Unit!$A$2:$N$78,13,FALSE),"UNIT NOT FOUND")</x:f>
        <x:v>Matched</x:v>
      </x:c>
    </x:row>
    <x:row r="1043">
      <x:c r="A1043" s="12" t="str">
        <x:v>FU-20260616-01042</x:v>
      </x:c>
      <x:c r="B1043" s="12" t="n">
        <x:v>1172</x:v>
      </x:c>
      <x:c r="C1043" s="14" t="n">
        <x:v>46189</x:v>
      </x:c>
      <x:c r="D1043" s="12" t="str">
        <x:v>Selasa</x:v>
      </x:c>
      <x:c r="E1043" s="12" t="str">
        <x:v>07:32:00</x:v>
      </x:c>
      <x:c r="F1043" s="12" t="str">
        <x:v>All Shift Day</x:v>
      </x:c>
      <x:c r="G1043" s="12" t="str">
        <x:v>LVTH24R034</x:v>
      </x:c>
      <x:c r="H1043" s="12" t="str">
        <x:v>Light Vehicle</x:v>
      </x:c>
      <x:c r="I1043" s="12" t="str">
        <x:v>LIGHT VEHICLE TOYOTA HILUX</x:v>
      </x:c>
      <x:c r="J1043" s="16" t="n">
        <x:v>30</x:v>
      </x:c>
      <x:c r="K1043" s="16" t="n">
        <x:v>49343</x:v>
      </x:c>
      <x:c r="L1043" s="16" t="n">
        <x:v>49502</x:v>
      </x:c>
      <x:c r="M1043" s="16" t="n">
        <x:v>159</x:v>
      </x:c>
      <x:c r="N1043" s="16" t="n">
        <x:v>0.18867924528301888</x:v>
      </x:c>
      <x:c r="O1043" s="12" t="str">
        <x:v>FTRL44G005</x:v>
      </x:c>
      <x:c r="P1043" s="12" t="str">
        <x:v>LVTH24R034</x:v>
      </x:c>
      <x:c r="Q1043" s="12" t="str"/>
      <x:c r="R1043" s="12" t="str"/>
      <x:c r="S1043" s="12" t="str"/>
      <x:c r="T1043" s="12" t="str">
        <x:v>ABM</x:v>
      </x:c>
      <x:c r="U1043" s="12" t="str"/>
      <x:c r="V1043" s="12" t="str"/>
      <x:c r="W1043" s="12" t="str"/>
      <x:c r="X1043" s="12" t="str">
        <x:v>LVTH24</x:v>
      </x:c>
      <x:c r="Y1043" s="12" t="str">
        <x:v>BADRI &amp; KAMRAN</x:v>
      </x:c>
      <x:c r="Z1043" s="12" t="str">
        <x:v>COAL HAULING</x:v>
      </x:c>
      <x:c r="AA1043" s="32" t="n">
        <x:f>IFERROR(VLOOKUP(G1043,Master_Unit!$A$2:$N$78,7,FALSE),"")</x:f>
        <x:v>0.2</x:v>
      </x:c>
      <x:c r="AB1043" s="32" t="n">
        <x:f>IF(OR(N1043="",AA1043=""),"",N1043-AA1043)</x:f>
        <x:v>-0.01132075471698113</x:v>
      </x:c>
      <x:c r="AC1043" s="20" t="n">
        <x:f>IF(OR(N1043="",AA1043="",AA1043=0),"",AB1043/AA1043)</x:f>
        <x:v>-0.05660377358490565</x:v>
      </x:c>
      <x:c r="AD1043" t="str">
        <x:f>IF(AA1043="","NO STANDARD",IF(AC1043&lt;=Config_Status!$B$2,"EFFICIENT",IF(AC1043&lt;=Config_Status!$B$3,"NORMAL",IF(AC1043&lt;=Config_Status!$B$4,"WARNING","OVER CONSUMPTION"))))</x:f>
        <x:v>NORMAL</x:v>
      </x:c>
      <x:c r="AE1043" t="str">
        <x:f>IFERROR(VLOOKUP(G1043,Master_Unit!$A$2:$N$78,13,FALSE),"UNIT NOT FOUND")</x:f>
        <x:v>Matched</x:v>
      </x:c>
    </x:row>
    <x:row r="1044">
      <x:c r="A1044" s="12" t="str">
        <x:v>FU-20260616-01043</x:v>
      </x:c>
      <x:c r="B1044" s="12" t="n">
        <x:v>1173</x:v>
      </x:c>
      <x:c r="C1044" s="14" t="n">
        <x:v>46189</x:v>
      </x:c>
      <x:c r="D1044" s="12" t="str">
        <x:v>Selasa</x:v>
      </x:c>
      <x:c r="E1044" s="12" t="str">
        <x:v>07:41:00</x:v>
      </x:c>
      <x:c r="F1044" s="12" t="str">
        <x:v>All Shift Day</x:v>
      </x:c>
      <x:c r="G1044" s="12" t="str">
        <x:v>STRL44G135</x:v>
      </x:c>
      <x:c r="H1044" s="12" t="str">
        <x:v>Dump Truck</x:v>
      </x:c>
      <x:c r="I1044" s="12" t="str">
        <x:v>DUMP TRUCK RENAULT KRANGE440-P6X4 A/T</x:v>
      </x:c>
      <x:c r="J1044" s="16" t="n">
        <x:v>104</x:v>
      </x:c>
      <x:c r="K1044" s="16" t="n">
        <x:v>5912</x:v>
      </x:c>
      <x:c r="L1044" s="16" t="n">
        <x:v>5920</x:v>
      </x:c>
      <x:c r="M1044" s="16" t="n">
        <x:v>8</x:v>
      </x:c>
      <x:c r="N1044" s="16" t="n">
        <x:v>13</x:v>
      </x:c>
      <x:c r="O1044" s="12" t="str">
        <x:v>FTRL44G005</x:v>
      </x:c>
      <x:c r="P1044" s="12" t="str">
        <x:v>STRL44G135</x:v>
      </x:c>
      <x:c r="Q1044" s="12" t="str"/>
      <x:c r="R1044" s="12" t="str"/>
      <x:c r="S1044" s="12" t="str"/>
      <x:c r="T1044" s="12" t="str">
        <x:v>ABM</x:v>
      </x:c>
      <x:c r="U1044" s="12" t="str"/>
      <x:c r="V1044" s="12" t="str"/>
      <x:c r="W1044" s="12" t="str"/>
      <x:c r="X1044" s="12" t="str">
        <x:v>STRL44</x:v>
      </x:c>
      <x:c r="Y1044" s="12" t="str">
        <x:v>BADRI &amp; KAMRAN</x:v>
      </x:c>
      <x:c r="Z1044" s="12" t="str">
        <x:v>COAL HAULING</x:v>
      </x:c>
      <x:c r="AA1044" s="32" t="n">
        <x:f>IFERROR(VLOOKUP(G1044,Master_Unit!$A$2:$N$78,7,FALSE),"")</x:f>
        <x:v>20</x:v>
      </x:c>
      <x:c r="AB1044" s="32" t="n">
        <x:f>IF(OR(N1044="",AA1044=""),"",N1044-AA1044)</x:f>
        <x:v>-7</x:v>
      </x:c>
      <x:c r="AC1044" s="20" t="n">
        <x:f>IF(OR(N1044="",AA1044="",AA1044=0),"",AB1044/AA1044)</x:f>
        <x:v>-0.35</x:v>
      </x:c>
      <x:c r="AD1044" t="str">
        <x:f>IF(AA1044="","NO STANDARD",IF(AC1044&lt;=Config_Status!$B$2,"EFFICIENT",IF(AC1044&lt;=Config_Status!$B$3,"NORMAL",IF(AC1044&lt;=Config_Status!$B$4,"WARNING","OVER CONSUMPTION"))))</x:f>
        <x:v>EFFICIENT</x:v>
      </x:c>
      <x:c r="AE1044" t="str">
        <x:f>IFERROR(VLOOKUP(G1044,Master_Unit!$A$2:$N$78,13,FALSE),"UNIT NOT FOUND")</x:f>
        <x:v>Matched</x:v>
      </x:c>
    </x:row>
    <x:row r="1045">
      <x:c r="A1045" s="12" t="str">
        <x:v>FU-20260616-01044</x:v>
      </x:c>
      <x:c r="B1045" s="12" t="n">
        <x:v>1174</x:v>
      </x:c>
      <x:c r="C1045" s="14" t="n">
        <x:v>46189</x:v>
      </x:c>
      <x:c r="D1045" s="12" t="str">
        <x:v>Selasa</x:v>
      </x:c>
      <x:c r="E1045" s="12" t="str">
        <x:v>07:46:00</x:v>
      </x:c>
      <x:c r="F1045" s="12" t="str">
        <x:v>All Shift Day</x:v>
      </x:c>
      <x:c r="G1045" s="12" t="str">
        <x:v>MGSD20G006</x:v>
      </x:c>
      <x:c r="H1045" s="12" t="str">
        <x:v>Other</x:v>
      </x:c>
      <x:c r="I1045" s="12" t="str">
        <x:v>MOTOR GRADER SDLG GD9220F</x:v>
      </x:c>
      <x:c r="J1045" s="16" t="n">
        <x:v>99</x:v>
      </x:c>
      <x:c r="K1045" s="16" t="n">
        <x:v>1999.5</x:v>
      </x:c>
      <x:c r="L1045" s="16" t="n">
        <x:v>2005.1</x:v>
      </x:c>
      <x:c r="M1045" s="16" t="n">
        <x:v>5.599999999999909</x:v>
      </x:c>
      <x:c r="N1045" s="16" t="n">
        <x:v>17.678571428571715</x:v>
      </x:c>
      <x:c r="O1045" s="12" t="str">
        <x:v>FTRL44G005</x:v>
      </x:c>
      <x:c r="P1045" s="12" t="str">
        <x:v>MGSD20G006</x:v>
      </x:c>
      <x:c r="Q1045" s="12" t="str"/>
      <x:c r="R1045" s="12" t="str"/>
      <x:c r="S1045" s="12" t="str"/>
      <x:c r="T1045" s="12" t="str">
        <x:v>ABM</x:v>
      </x:c>
      <x:c r="U1045" s="12" t="str"/>
      <x:c r="V1045" s="12" t="str"/>
      <x:c r="W1045" s="12" t="str"/>
      <x:c r="X1045" s="12" t="str">
        <x:v>MGSD20</x:v>
      </x:c>
      <x:c r="Y1045" s="12" t="str">
        <x:v>BADRI &amp; KAMRAN</x:v>
      </x:c>
      <x:c r="Z1045" s="12" t="str">
        <x:v>COAL HAULING</x:v>
      </x:c>
      <x:c r="AA1045" s="32" t="n">
        <x:f>IFERROR(VLOOKUP(G1045,Master_Unit!$A$2:$N$78,7,FALSE),"")</x:f>
        <x:v>20</x:v>
      </x:c>
      <x:c r="AB1045" s="32" t="n">
        <x:f>IF(OR(N1045="",AA1045=""),"",N1045-AA1045)</x:f>
        <x:v>-2.321428571428285</x:v>
      </x:c>
      <x:c r="AC1045" s="20" t="n">
        <x:f>IF(OR(N1045="",AA1045="",AA1045=0),"",AB1045/AA1045)</x:f>
        <x:v>-0.11607142857141425</x:v>
      </x:c>
      <x:c r="AD1045" t="str">
        <x:f>IF(AA1045="","NO STANDARD",IF(AC1045&lt;=Config_Status!$B$2,"EFFICIENT",IF(AC1045&lt;=Config_Status!$B$3,"NORMAL",IF(AC1045&lt;=Config_Status!$B$4,"WARNING","OVER CONSUMPTION"))))</x:f>
        <x:v>EFFICIENT</x:v>
      </x:c>
      <x:c r="AE1045" t="str">
        <x:f>IFERROR(VLOOKUP(G1045,Master_Unit!$A$2:$N$78,13,FALSE),"UNIT NOT FOUND")</x:f>
        <x:v>Matched</x:v>
      </x:c>
    </x:row>
    <x:row r="1046">
      <x:c r="A1046" s="12" t="str">
        <x:v>FU-20260616-01045</x:v>
      </x:c>
      <x:c r="B1046" s="12" t="n">
        <x:v>1175</x:v>
      </x:c>
      <x:c r="C1046" s="14" t="n">
        <x:v>46189</x:v>
      </x:c>
      <x:c r="D1046" s="12" t="str">
        <x:v>Selasa</x:v>
      </x:c>
      <x:c r="E1046" s="12" t="str">
        <x:v>07:57:00</x:v>
      </x:c>
      <x:c r="F1046" s="12" t="str">
        <x:v>All Shift Day</x:v>
      </x:c>
      <x:c r="G1046" s="12" t="str">
        <x:v>STRL44G136</x:v>
      </x:c>
      <x:c r="H1046" s="12" t="str">
        <x:v>Dump Truck</x:v>
      </x:c>
      <x:c r="I1046" s="12" t="str">
        <x:v>DUMP TRUCK RENAULT KRANGE440-P6X4 A/T</x:v>
      </x:c>
      <x:c r="J1046" s="16" t="n">
        <x:v>104</x:v>
      </x:c>
      <x:c r="K1046" s="16" t="n">
        <x:v>5892</x:v>
      </x:c>
      <x:c r="L1046" s="16" t="n">
        <x:v>5908</x:v>
      </x:c>
      <x:c r="M1046" s="16" t="n">
        <x:v>16</x:v>
      </x:c>
      <x:c r="N1046" s="16" t="n">
        <x:v>6.5</x:v>
      </x:c>
      <x:c r="O1046" s="12" t="str">
        <x:v>FTRL44G005</x:v>
      </x:c>
      <x:c r="P1046" s="12" t="str">
        <x:v>STRL44G136</x:v>
      </x:c>
      <x:c r="Q1046" s="12" t="str"/>
      <x:c r="R1046" s="12" t="str"/>
      <x:c r="S1046" s="12" t="str"/>
      <x:c r="T1046" s="12" t="str">
        <x:v>ABM</x:v>
      </x:c>
      <x:c r="U1046" s="12" t="str"/>
      <x:c r="V1046" s="12" t="str"/>
      <x:c r="W1046" s="12" t="str"/>
      <x:c r="X1046" s="12" t="str">
        <x:v>STRL44</x:v>
      </x:c>
      <x:c r="Y1046" s="12" t="str">
        <x:v>BADRI &amp; KAMRAN</x:v>
      </x:c>
      <x:c r="Z1046" s="12" t="str">
        <x:v>COAL HAULING</x:v>
      </x:c>
      <x:c r="AA1046" s="32" t="n">
        <x:f>IFERROR(VLOOKUP(G1046,Master_Unit!$A$2:$N$78,7,FALSE),"")</x:f>
        <x:v>20</x:v>
      </x:c>
      <x:c r="AB1046" s="32" t="n">
        <x:f>IF(OR(N1046="",AA1046=""),"",N1046-AA1046)</x:f>
        <x:v>-13.5</x:v>
      </x:c>
      <x:c r="AC1046" s="20" t="n">
        <x:f>IF(OR(N1046="",AA1046="",AA1046=0),"",AB1046/AA1046)</x:f>
        <x:v>-0.675</x:v>
      </x:c>
      <x:c r="AD1046" t="str">
        <x:f>IF(AA1046="","NO STANDARD",IF(AC1046&lt;=Config_Status!$B$2,"EFFICIENT",IF(AC1046&lt;=Config_Status!$B$3,"NORMAL",IF(AC1046&lt;=Config_Status!$B$4,"WARNING","OVER CONSUMPTION"))))</x:f>
        <x:v>EFFICIENT</x:v>
      </x:c>
      <x:c r="AE1046" t="str">
        <x:f>IFERROR(VLOOKUP(G1046,Master_Unit!$A$2:$N$78,13,FALSE),"UNIT NOT FOUND")</x:f>
        <x:v>Matched</x:v>
      </x:c>
    </x:row>
    <x:row r="1047">
      <x:c r="A1047" s="12" t="str">
        <x:v>FU-20260616-01046</x:v>
      </x:c>
      <x:c r="B1047" s="12" t="n">
        <x:v>1176</x:v>
      </x:c>
      <x:c r="C1047" s="14" t="n">
        <x:v>46189</x:v>
      </x:c>
      <x:c r="D1047" s="12" t="str">
        <x:v>Selasa</x:v>
      </x:c>
      <x:c r="E1047" s="12" t="str">
        <x:v>08:00:00</x:v>
      </x:c>
      <x:c r="F1047" s="12" t="str">
        <x:v>All Shift Day</x:v>
      </x:c>
      <x:c r="G1047" s="12" t="str">
        <x:v>LVTH24R023</x:v>
      </x:c>
      <x:c r="H1047" s="12" t="str">
        <x:v>Light Vehicle</x:v>
      </x:c>
      <x:c r="I1047" s="12" t="str">
        <x:v>LIGHT VEHICLE TOYOTA HILUX</x:v>
      </x:c>
      <x:c r="J1047" s="16" t="n">
        <x:v>20</x:v>
      </x:c>
      <x:c r="K1047" s="16" t="n">
        <x:v>49441</x:v>
      </x:c>
      <x:c r="L1047" s="16" t="n">
        <x:v>49485</x:v>
      </x:c>
      <x:c r="M1047" s="16" t="n">
        <x:v>44</x:v>
      </x:c>
      <x:c r="N1047" s="16" t="n">
        <x:v>0.45454545454545453</x:v>
      </x:c>
      <x:c r="O1047" s="12" t="str">
        <x:v>FTRL44G005</x:v>
      </x:c>
      <x:c r="P1047" s="12" t="str">
        <x:v>LVTH24R023</x:v>
      </x:c>
      <x:c r="Q1047" s="12" t="str"/>
      <x:c r="R1047" s="12" t="str"/>
      <x:c r="S1047" s="12" t="str"/>
      <x:c r="T1047" s="12" t="str">
        <x:v>ABM</x:v>
      </x:c>
      <x:c r="U1047" s="12" t="str"/>
      <x:c r="V1047" s="12" t="str"/>
      <x:c r="W1047" s="12" t="str"/>
      <x:c r="X1047" s="12" t="str">
        <x:v>LVTH24</x:v>
      </x:c>
      <x:c r="Y1047" s="12" t="str">
        <x:v>BADRI &amp; KAMRAN</x:v>
      </x:c>
      <x:c r="Z1047" s="12" t="str">
        <x:v>COAL HAULING</x:v>
      </x:c>
      <x:c r="AA1047" s="32" t="n">
        <x:f>IFERROR(VLOOKUP(G1047,Master_Unit!$A$2:$N$78,7,FALSE),"")</x:f>
        <x:v>0.2</x:v>
      </x:c>
      <x:c r="AB1047" s="32" t="n">
        <x:f>IF(OR(N1047="",AA1047=""),"",N1047-AA1047)</x:f>
        <x:v>0.2545454545454545</x:v>
      </x:c>
      <x:c r="AC1047" s="20" t="n">
        <x:f>IF(OR(N1047="",AA1047="",AA1047=0),"",AB1047/AA1047)</x:f>
        <x:v>1.2727272727272725</x:v>
      </x:c>
      <x:c r="AD1047" t="str">
        <x:f>IF(AA1047="","NO STANDARD",IF(AC1047&lt;=Config_Status!$B$2,"EFFICIENT",IF(AC1047&lt;=Config_Status!$B$3,"NORMAL",IF(AC1047&lt;=Config_Status!$B$4,"WARNING","OVER CONSUMPTION"))))</x:f>
        <x:v>OVER CONSUMPTION</x:v>
      </x:c>
      <x:c r="AE1047" t="str">
        <x:f>IFERROR(VLOOKUP(G1047,Master_Unit!$A$2:$N$78,13,FALSE),"UNIT NOT FOUND")</x:f>
        <x:v>Matched</x:v>
      </x:c>
    </x:row>
    <x:row r="1048">
      <x:c r="A1048" s="12" t="str">
        <x:v>FU-20260616-01047</x:v>
      </x:c>
      <x:c r="B1048" s="12" t="n">
        <x:v>1177</x:v>
      </x:c>
      <x:c r="C1048" s="14" t="n">
        <x:v>46189</x:v>
      </x:c>
      <x:c r="D1048" s="12" t="str">
        <x:v>Selasa</x:v>
      </x:c>
      <x:c r="E1048" s="12" t="str">
        <x:v>08:01:00</x:v>
      </x:c>
      <x:c r="F1048" s="12" t="str">
        <x:v>All Shift Day</x:v>
      </x:c>
      <x:c r="G1048" s="12" t="str">
        <x:v>STRL44G138</x:v>
      </x:c>
      <x:c r="H1048" s="12" t="str">
        <x:v>Dump Truck</x:v>
      </x:c>
      <x:c r="I1048" s="12" t="str">
        <x:v>DUMP TRUCK RENAULT KRANGE440-P6X4 A/T</x:v>
      </x:c>
      <x:c r="J1048" s="16" t="n">
        <x:v>135</x:v>
      </x:c>
      <x:c r="K1048" s="16" t="n">
        <x:v>5366</x:v>
      </x:c>
      <x:c r="L1048" s="16" t="n">
        <x:v>5380</x:v>
      </x:c>
      <x:c r="M1048" s="16" t="n">
        <x:v>14</x:v>
      </x:c>
      <x:c r="N1048" s="16" t="n">
        <x:v>9.642857142857142</x:v>
      </x:c>
      <x:c r="O1048" s="12" t="str">
        <x:v>FTRL44G005</x:v>
      </x:c>
      <x:c r="P1048" s="12" t="str">
        <x:v>STRL44G138</x:v>
      </x:c>
      <x:c r="Q1048" s="12" t="str"/>
      <x:c r="R1048" s="12" t="str"/>
      <x:c r="S1048" s="12" t="str"/>
      <x:c r="T1048" s="12" t="str">
        <x:v>ABM</x:v>
      </x:c>
      <x:c r="U1048" s="12" t="str"/>
      <x:c r="V1048" s="12" t="str"/>
      <x:c r="W1048" s="12" t="str"/>
      <x:c r="X1048" s="12" t="str">
        <x:v>STRL44</x:v>
      </x:c>
      <x:c r="Y1048" s="12" t="str">
        <x:v>BADRI &amp; KAMRAN</x:v>
      </x:c>
      <x:c r="Z1048" s="12" t="str">
        <x:v>COAL HAULING</x:v>
      </x:c>
      <x:c r="AA1048" s="32" t="n">
        <x:f>IFERROR(VLOOKUP(G1048,Master_Unit!$A$2:$N$78,7,FALSE),"")</x:f>
        <x:v>20</x:v>
      </x:c>
      <x:c r="AB1048" s="32" t="n">
        <x:f>IF(OR(N1048="",AA1048=""),"",N1048-AA1048)</x:f>
        <x:v>-10.357142857142858</x:v>
      </x:c>
      <x:c r="AC1048" s="20" t="n">
        <x:f>IF(OR(N1048="",AA1048="",AA1048=0),"",AB1048/AA1048)</x:f>
        <x:v>-0.5178571428571429</x:v>
      </x:c>
      <x:c r="AD1048" t="str">
        <x:f>IF(AA1048="","NO STANDARD",IF(AC1048&lt;=Config_Status!$B$2,"EFFICIENT",IF(AC1048&lt;=Config_Status!$B$3,"NORMAL",IF(AC1048&lt;=Config_Status!$B$4,"WARNING","OVER CONSUMPTION"))))</x:f>
        <x:v>EFFICIENT</x:v>
      </x:c>
      <x:c r="AE1048" t="str">
        <x:f>IFERROR(VLOOKUP(G1048,Master_Unit!$A$2:$N$78,13,FALSE),"UNIT NOT FOUND")</x:f>
        <x:v>Matched</x:v>
      </x:c>
    </x:row>
    <x:row r="1049">
      <x:c r="A1049" s="12" t="str">
        <x:v>FU-20260616-01048</x:v>
      </x:c>
      <x:c r="B1049" s="12" t="n">
        <x:v>1178</x:v>
      </x:c>
      <x:c r="C1049" s="14" t="n">
        <x:v>46189</x:v>
      </x:c>
      <x:c r="D1049" s="12" t="str">
        <x:v>Selasa</x:v>
      </x:c>
      <x:c r="E1049" s="12" t="str">
        <x:v>08:08:00</x:v>
      </x:c>
      <x:c r="F1049" s="12" t="str">
        <x:v>All Shift Day</x:v>
      </x:c>
      <x:c r="G1049" s="12" t="str">
        <x:v>STRL44G137</x:v>
      </x:c>
      <x:c r="H1049" s="12" t="str">
        <x:v>Dump Truck</x:v>
      </x:c>
      <x:c r="I1049" s="12" t="str">
        <x:v>DUMP TRUCK RENAULT KRANGE440-P6X4 A/T</x:v>
      </x:c>
      <x:c r="J1049" s="16" t="n">
        <x:v>104</x:v>
      </x:c>
      <x:c r="K1049" s="16" t="n">
        <x:v>6481</x:v>
      </x:c>
      <x:c r="L1049" s="16" t="n">
        <x:v>6490</x:v>
      </x:c>
      <x:c r="M1049" s="16" t="n">
        <x:v>9</x:v>
      </x:c>
      <x:c r="N1049" s="16" t="n">
        <x:v>11.555555555555555</x:v>
      </x:c>
      <x:c r="O1049" s="12" t="str">
        <x:v>FTRL44G005</x:v>
      </x:c>
      <x:c r="P1049" s="12" t="str">
        <x:v>STRL44G137</x:v>
      </x:c>
      <x:c r="Q1049" s="12" t="str"/>
      <x:c r="R1049" s="12" t="str"/>
      <x:c r="S1049" s="12" t="str"/>
      <x:c r="T1049" s="12" t="str">
        <x:v>ABM</x:v>
      </x:c>
      <x:c r="U1049" s="12" t="str"/>
      <x:c r="V1049" s="12" t="str"/>
      <x:c r="W1049" s="12" t="str"/>
      <x:c r="X1049" s="12" t="str">
        <x:v>STRL44</x:v>
      </x:c>
      <x:c r="Y1049" s="12" t="str">
        <x:v>BADRI &amp; KAMRAN</x:v>
      </x:c>
      <x:c r="Z1049" s="12" t="str">
        <x:v>COAL HAULING</x:v>
      </x:c>
      <x:c r="AA1049" s="32" t="n">
        <x:f>IFERROR(VLOOKUP(G1049,Master_Unit!$A$2:$N$78,7,FALSE),"")</x:f>
        <x:v>20</x:v>
      </x:c>
      <x:c r="AB1049" s="32" t="n">
        <x:f>IF(OR(N1049="",AA1049=""),"",N1049-AA1049)</x:f>
        <x:v>-8.444444444444445</x:v>
      </x:c>
      <x:c r="AC1049" s="20" t="n">
        <x:f>IF(OR(N1049="",AA1049="",AA1049=0),"",AB1049/AA1049)</x:f>
        <x:v>-0.4222222222222222</x:v>
      </x:c>
      <x:c r="AD1049" t="str">
        <x:f>IF(AA1049="","NO STANDARD",IF(AC1049&lt;=Config_Status!$B$2,"EFFICIENT",IF(AC1049&lt;=Config_Status!$B$3,"NORMAL",IF(AC1049&lt;=Config_Status!$B$4,"WARNING","OVER CONSUMPTION"))))</x:f>
        <x:v>EFFICIENT</x:v>
      </x:c>
      <x:c r="AE1049" t="str">
        <x:f>IFERROR(VLOOKUP(G1049,Master_Unit!$A$2:$N$78,13,FALSE),"UNIT NOT FOUND")</x:f>
        <x:v>Matched</x:v>
      </x:c>
    </x:row>
    <x:row r="1050">
      <x:c r="A1050" s="12" t="str">
        <x:v>FU-20260616-01049</x:v>
      </x:c>
      <x:c r="B1050" s="12" t="n">
        <x:v>1179</x:v>
      </x:c>
      <x:c r="C1050" s="14" t="n">
        <x:v>46189</x:v>
      </x:c>
      <x:c r="D1050" s="12" t="str">
        <x:v>Selasa</x:v>
      </x:c>
      <x:c r="E1050" s="12" t="str">
        <x:v>08:11:00</x:v>
      </x:c>
      <x:c r="F1050" s="12" t="str">
        <x:v>All Shift Day</x:v>
      </x:c>
      <x:c r="G1050" s="12" t="str">
        <x:v>LTRL44G002</x:v>
      </x:c>
      <x:c r="H1050" s="12" t="str">
        <x:v>Lube Truck</x:v>
      </x:c>
      <x:c r="I1050" s="12" t="str">
        <x:v>LUBE TRUCK RENAULT KRANGE440-P6X4 A/T</x:v>
      </x:c>
      <x:c r="J1050" s="16" t="n">
        <x:v>72</x:v>
      </x:c>
      <x:c r="K1050" s="16" t="n">
        <x:v>2076</x:v>
      </x:c>
      <x:c r="L1050" s="16" t="n">
        <x:v>2098</x:v>
      </x:c>
      <x:c r="M1050" s="16" t="n">
        <x:v>22</x:v>
      </x:c>
      <x:c r="N1050" s="16" t="n">
        <x:v>3.272727272727273</x:v>
      </x:c>
      <x:c r="O1050" s="12" t="str">
        <x:v>FTRL44G005</x:v>
      </x:c>
      <x:c r="P1050" s="12" t="str">
        <x:v>LTRL44G002</x:v>
      </x:c>
      <x:c r="Q1050" s="12" t="str"/>
      <x:c r="R1050" s="12" t="str"/>
      <x:c r="S1050" s="12" t="str"/>
      <x:c r="T1050" s="12" t="str">
        <x:v>ABM</x:v>
      </x:c>
      <x:c r="U1050" s="12" t="str"/>
      <x:c r="V1050" s="12" t="str"/>
      <x:c r="W1050" s="12" t="str"/>
      <x:c r="X1050" s="12" t="str">
        <x:v>LTRL44</x:v>
      </x:c>
      <x:c r="Y1050" s="12" t="str">
        <x:v>BADRI &amp; KAMRAN</x:v>
      </x:c>
      <x:c r="Z1050" s="12" t="str">
        <x:v>COAL HAULING</x:v>
      </x:c>
      <x:c r="AA1050" s="32" t="n">
        <x:f>IFERROR(VLOOKUP(G1050,Master_Unit!$A$2:$N$78,7,FALSE),"")</x:f>
        <x:v>20</x:v>
      </x:c>
      <x:c r="AB1050" s="32" t="n">
        <x:f>IF(OR(N1050="",AA1050=""),"",N1050-AA1050)</x:f>
        <x:v>-16.727272727272727</x:v>
      </x:c>
      <x:c r="AC1050" s="20" t="n">
        <x:f>IF(OR(N1050="",AA1050="",AA1050=0),"",AB1050/AA1050)</x:f>
        <x:v>-0.8363636363636363</x:v>
      </x:c>
      <x:c r="AD1050" t="str">
        <x:f>IF(AA1050="","NO STANDARD",IF(AC1050&lt;=Config_Status!$B$2,"EFFICIENT",IF(AC1050&lt;=Config_Status!$B$3,"NORMAL",IF(AC1050&lt;=Config_Status!$B$4,"WARNING","OVER CONSUMPTION"))))</x:f>
        <x:v>EFFICIENT</x:v>
      </x:c>
      <x:c r="AE1050" t="str">
        <x:f>IFERROR(VLOOKUP(G1050,Master_Unit!$A$2:$N$78,13,FALSE),"UNIT NOT FOUND")</x:f>
        <x:v>Matched</x:v>
      </x:c>
    </x:row>
    <x:row r="1051">
      <x:c r="A1051" s="12" t="str">
        <x:v>FU-20260616-01050</x:v>
      </x:c>
      <x:c r="B1051" s="12" t="n">
        <x:v>1180</x:v>
      </x:c>
      <x:c r="C1051" s="14" t="n">
        <x:v>46189</x:v>
      </x:c>
      <x:c r="D1051" s="12" t="str">
        <x:v>Selasa</x:v>
      </x:c>
      <x:c r="E1051" s="12" t="str">
        <x:v>08:14:00</x:v>
      </x:c>
      <x:c r="F1051" s="12" t="str">
        <x:v>All Shift Day</x:v>
      </x:c>
      <x:c r="G1051" s="12" t="str">
        <x:v>STRL44G142</x:v>
      </x:c>
      <x:c r="H1051" s="12" t="str">
        <x:v>Dump Truck</x:v>
      </x:c>
      <x:c r="I1051" s="12" t="str">
        <x:v>DUMP TRUCK RENAULT KRANGE440-P6X4 A/T</x:v>
      </x:c>
      <x:c r="J1051" s="16" t="n">
        <x:v>77</x:v>
      </x:c>
      <x:c r="K1051" s="16" t="n">
        <x:v>3421</x:v>
      </x:c>
      <x:c r="L1051" s="16" t="n">
        <x:v>3428</x:v>
      </x:c>
      <x:c r="M1051" s="16" t="n">
        <x:v>7</x:v>
      </x:c>
      <x:c r="N1051" s="16" t="n">
        <x:v>11</x:v>
      </x:c>
      <x:c r="O1051" s="12" t="str">
        <x:v>FTRL44G005</x:v>
      </x:c>
      <x:c r="P1051" s="12" t="str">
        <x:v>STRL44G142</x:v>
      </x:c>
      <x:c r="Q1051" s="12" t="str"/>
      <x:c r="R1051" s="12" t="str"/>
      <x:c r="S1051" s="12" t="str"/>
      <x:c r="T1051" s="12" t="str">
        <x:v>ABM</x:v>
      </x:c>
      <x:c r="U1051" s="12" t="str"/>
      <x:c r="V1051" s="12" t="str"/>
      <x:c r="W1051" s="12" t="str"/>
      <x:c r="X1051" s="12" t="str">
        <x:v>STRL44</x:v>
      </x:c>
      <x:c r="Y1051" s="12" t="str">
        <x:v>BADRI &amp; KAMRAN</x:v>
      </x:c>
      <x:c r="Z1051" s="12" t="str">
        <x:v>COAL HAULING</x:v>
      </x:c>
      <x:c r="AA1051" s="32" t="n">
        <x:f>IFERROR(VLOOKUP(G1051,Master_Unit!$A$2:$N$78,7,FALSE),"")</x:f>
        <x:v>20</x:v>
      </x:c>
      <x:c r="AB1051" s="32" t="n">
        <x:f>IF(OR(N1051="",AA1051=""),"",N1051-AA1051)</x:f>
        <x:v>-9</x:v>
      </x:c>
      <x:c r="AC1051" s="20" t="n">
        <x:f>IF(OR(N1051="",AA1051="",AA1051=0),"",AB1051/AA1051)</x:f>
        <x:v>-0.45</x:v>
      </x:c>
      <x:c r="AD1051" t="str">
        <x:f>IF(AA1051="","NO STANDARD",IF(AC1051&lt;=Config_Status!$B$2,"EFFICIENT",IF(AC1051&lt;=Config_Status!$B$3,"NORMAL",IF(AC1051&lt;=Config_Status!$B$4,"WARNING","OVER CONSUMPTION"))))</x:f>
        <x:v>EFFICIENT</x:v>
      </x:c>
      <x:c r="AE1051" t="str">
        <x:f>IFERROR(VLOOKUP(G1051,Master_Unit!$A$2:$N$78,13,FALSE),"UNIT NOT FOUND")</x:f>
        <x:v>Matched</x:v>
      </x:c>
    </x:row>
    <x:row r="1052">
      <x:c r="A1052" s="12" t="str">
        <x:v>FU-20260616-01051</x:v>
      </x:c>
      <x:c r="B1052" s="12" t="n">
        <x:v>1181</x:v>
      </x:c>
      <x:c r="C1052" s="14" t="n">
        <x:v>46189</x:v>
      </x:c>
      <x:c r="D1052" s="12" t="str">
        <x:v>Selasa</x:v>
      </x:c>
      <x:c r="E1052" s="12" t="str">
        <x:v>08:19:00</x:v>
      </x:c>
      <x:c r="F1052" s="12" t="str">
        <x:v>All Shift Day</x:v>
      </x:c>
      <x:c r="G1052" s="12" t="str">
        <x:v>LVTH24R035</x:v>
      </x:c>
      <x:c r="H1052" s="12" t="str">
        <x:v>Light Vehicle</x:v>
      </x:c>
      <x:c r="I1052" s="12" t="str">
        <x:v>LIGHT VEHICLE TOYOTA HILUX</x:v>
      </x:c>
      <x:c r="J1052" s="16" t="n">
        <x:v>20</x:v>
      </x:c>
      <x:c r="K1052" s="16" t="n">
        <x:v>70825</x:v>
      </x:c>
      <x:c r="L1052" s="16" t="n">
        <x:v>70940</x:v>
      </x:c>
      <x:c r="M1052" s="16" t="n">
        <x:v>115</x:v>
      </x:c>
      <x:c r="N1052" s="16" t="n">
        <x:v>0.17391304347826086</x:v>
      </x:c>
      <x:c r="O1052" s="12" t="str">
        <x:v>FTRL44G005</x:v>
      </x:c>
      <x:c r="P1052" s="12" t="str">
        <x:v>LVTH24R035</x:v>
      </x:c>
      <x:c r="Q1052" s="12" t="str"/>
      <x:c r="R1052" s="12" t="str"/>
      <x:c r="S1052" s="12" t="str"/>
      <x:c r="T1052" s="12" t="str">
        <x:v>ABM</x:v>
      </x:c>
      <x:c r="U1052" s="12" t="str"/>
      <x:c r="V1052" s="12" t="str"/>
      <x:c r="W1052" s="12" t="str"/>
      <x:c r="X1052" s="12" t="str">
        <x:v>LVTH24</x:v>
      </x:c>
      <x:c r="Y1052" s="12" t="str">
        <x:v>BADRI &amp; KAMRAN</x:v>
      </x:c>
      <x:c r="Z1052" s="12" t="str">
        <x:v>ETO</x:v>
      </x:c>
      <x:c r="AA1052" s="32" t="n">
        <x:f>IFERROR(VLOOKUP(G1052,Master_Unit!$A$2:$N$78,7,FALSE),"")</x:f>
        <x:v>0.2</x:v>
      </x:c>
      <x:c r="AB1052" s="32" t="n">
        <x:f>IF(OR(N1052="",AA1052=""),"",N1052-AA1052)</x:f>
        <x:v>-0.026086956521739146</x:v>
      </x:c>
      <x:c r="AC1052" s="20" t="n">
        <x:f>IF(OR(N1052="",AA1052="",AA1052=0),"",AB1052/AA1052)</x:f>
        <x:v>-0.13043478260869573</x:v>
      </x:c>
      <x:c r="AD1052" t="str">
        <x:f>IF(AA1052="","NO STANDARD",IF(AC1052&lt;=Config_Status!$B$2,"EFFICIENT",IF(AC1052&lt;=Config_Status!$B$3,"NORMAL",IF(AC1052&lt;=Config_Status!$B$4,"WARNING","OVER CONSUMPTION"))))</x:f>
        <x:v>EFFICIENT</x:v>
      </x:c>
      <x:c r="AE1052" t="str">
        <x:f>IFERROR(VLOOKUP(G1052,Master_Unit!$A$2:$N$78,13,FALSE),"UNIT NOT FOUND")</x:f>
        <x:v>Matched</x:v>
      </x:c>
    </x:row>
    <x:row r="1053">
      <x:c r="A1053" s="12" t="str">
        <x:v>FU-20260616-01052</x:v>
      </x:c>
      <x:c r="B1053" s="12" t="n">
        <x:v>1182</x:v>
      </x:c>
      <x:c r="C1053" s="14" t="n">
        <x:v>46189</x:v>
      </x:c>
      <x:c r="D1053" s="12" t="str">
        <x:v>Selasa</x:v>
      </x:c>
      <x:c r="E1053" s="12" t="str">
        <x:v>08:29:00</x:v>
      </x:c>
      <x:c r="F1053" s="12" t="str">
        <x:v>All Shift Day</x:v>
      </x:c>
      <x:c r="G1053" s="12" t="str">
        <x:v>LVTH24R026</x:v>
      </x:c>
      <x:c r="H1053" s="12" t="str">
        <x:v>Light Vehicle</x:v>
      </x:c>
      <x:c r="I1053" s="12" t="str">
        <x:v>LIGHT VEHICLE TOYOTA HILUX</x:v>
      </x:c>
      <x:c r="J1053" s="16" t="n">
        <x:v>20</x:v>
      </x:c>
      <x:c r="K1053" s="16" t="n">
        <x:v>59871</x:v>
      </x:c>
      <x:c r="L1053" s="16" t="n">
        <x:v>59965</x:v>
      </x:c>
      <x:c r="M1053" s="16" t="n">
        <x:v>94</x:v>
      </x:c>
      <x:c r="N1053" s="16" t="n">
        <x:v>0.2127659574468085</x:v>
      </x:c>
      <x:c r="O1053" s="12" t="str">
        <x:v>FTRL44G005</x:v>
      </x:c>
      <x:c r="P1053" s="12" t="str">
        <x:v>LVTH24R026</x:v>
      </x:c>
      <x:c r="Q1053" s="12" t="str"/>
      <x:c r="R1053" s="12" t="str"/>
      <x:c r="S1053" s="12" t="str"/>
      <x:c r="T1053" s="12" t="str">
        <x:v>ABM</x:v>
      </x:c>
      <x:c r="U1053" s="12" t="str"/>
      <x:c r="V1053" s="12" t="str"/>
      <x:c r="W1053" s="12" t="str"/>
      <x:c r="X1053" s="12" t="str">
        <x:v>LVTH24</x:v>
      </x:c>
      <x:c r="Y1053" s="12" t="str">
        <x:v>BADRI &amp; KAMRAN</x:v>
      </x:c>
      <x:c r="Z1053" s="12" t="str">
        <x:v>ETO</x:v>
      </x:c>
      <x:c r="AA1053" s="32" t="n">
        <x:f>IFERROR(VLOOKUP(G1053,Master_Unit!$A$2:$N$78,7,FALSE),"")</x:f>
        <x:v>0.2</x:v>
      </x:c>
      <x:c r="AB1053" s="32" t="n">
        <x:f>IF(OR(N1053="",AA1053=""),"",N1053-AA1053)</x:f>
        <x:v>0.012765957446808501</x:v>
      </x:c>
      <x:c r="AC1053" s="20" t="n">
        <x:f>IF(OR(N1053="",AA1053="",AA1053=0),"",AB1053/AA1053)</x:f>
        <x:v>0.0638297872340425</x:v>
      </x:c>
      <x:c r="AD1053" t="str">
        <x:f>IF(AA1053="","NO STANDARD",IF(AC1053&lt;=Config_Status!$B$2,"EFFICIENT",IF(AC1053&lt;=Config_Status!$B$3,"NORMAL",IF(AC1053&lt;=Config_Status!$B$4,"WARNING","OVER CONSUMPTION"))))</x:f>
        <x:v>NORMAL</x:v>
      </x:c>
      <x:c r="AE1053" t="str">
        <x:f>IFERROR(VLOOKUP(G1053,Master_Unit!$A$2:$N$78,13,FALSE),"UNIT NOT FOUND")</x:f>
        <x:v>Matched</x:v>
      </x:c>
    </x:row>
    <x:row r="1054">
      <x:c r="A1054" s="12" t="str">
        <x:v>FU-20260616-01053</x:v>
      </x:c>
      <x:c r="B1054" s="12" t="n">
        <x:v>1183</x:v>
      </x:c>
      <x:c r="C1054" s="14" t="n">
        <x:v>46189</x:v>
      </x:c>
      <x:c r="D1054" s="12" t="str">
        <x:v>Selasa</x:v>
      </x:c>
      <x:c r="E1054" s="12" t="str">
        <x:v>06:20:00</x:v>
      </x:c>
      <x:c r="F1054" s="12" t="str">
        <x:v>All Shift Day</x:v>
      </x:c>
      <x:c r="G1054" s="12" t="str">
        <x:v>GSHT40G002</x:v>
      </x:c>
      <x:c r="H1054" s="12" t="str">
        <x:v>Genset</x:v>
      </x:c>
      <x:c r="I1054" s="12" t="str">
        <x:v>GENSET HARTECH HT-400-V</x:v>
      </x:c>
      <x:c r="J1054" s="16" t="n">
        <x:v>400</x:v>
      </x:c>
      <x:c r="K1054" s="16" t="n">
        <x:v>14723</x:v>
      </x:c>
      <x:c r="L1054" s="16" t="n">
        <x:v>14746.52</x:v>
      </x:c>
      <x:c r="M1054" s="16" t="n">
        <x:v>23.520000000000437</x:v>
      </x:c>
      <x:c r="N1054" s="16" t="n">
        <x:v>17.00680272108812</x:v>
      </x:c>
      <x:c r="O1054" s="12" t="str">
        <x:v>FTRL44G004</x:v>
      </x:c>
      <x:c r="P1054" s="12" t="str">
        <x:v>GSHT40G002</x:v>
      </x:c>
      <x:c r="Q1054" s="12" t="str"/>
      <x:c r="R1054" s="12" t="str"/>
      <x:c r="S1054" s="12" t="str"/>
      <x:c r="T1054" s="12" t="str">
        <x:v>ABM</x:v>
      </x:c>
      <x:c r="U1054" s="12" t="str"/>
      <x:c r="V1054" s="12" t="str"/>
      <x:c r="W1054" s="12" t="str"/>
      <x:c r="X1054" s="12" t="str">
        <x:v>GSHT40</x:v>
      </x:c>
      <x:c r="Y1054" s="12" t="str">
        <x:v>RAFIF &amp; YOGI</x:v>
      </x:c>
      <x:c r="Z1054" s="12" t="str">
        <x:v>ETO</x:v>
      </x:c>
      <x:c r="AA1054" s="32" t="n">
        <x:f>IFERROR(VLOOKUP(G1054,Master_Unit!$A$2:$N$78,7,FALSE),"")</x:f>
        <x:v>25</x:v>
      </x:c>
      <x:c r="AB1054" s="32" t="n">
        <x:f>IF(OR(N1054="",AA1054=""),"",N1054-AA1054)</x:f>
        <x:v>-7.993197278911879</x:v>
      </x:c>
      <x:c r="AC1054" s="20" t="n">
        <x:f>IF(OR(N1054="",AA1054="",AA1054=0),"",AB1054/AA1054)</x:f>
        <x:v>-0.31972789115647515</x:v>
      </x:c>
      <x:c r="AD1054" t="str">
        <x:f>IF(AA1054="","NO STANDARD",IF(AC1054&lt;=Config_Status!$B$2,"EFFICIENT",IF(AC1054&lt;=Config_Status!$B$3,"NORMAL",IF(AC1054&lt;=Config_Status!$B$4,"WARNING","OVER CONSUMPTION"))))</x:f>
        <x:v>EFFICIENT</x:v>
      </x:c>
      <x:c r="AE1054" t="str">
        <x:f>IFERROR(VLOOKUP(G1054,Master_Unit!$A$2:$N$78,13,FALSE),"UNIT NOT FOUND")</x:f>
        <x:v>Matched</x:v>
      </x:c>
    </x:row>
    <x:row r="1055">
      <x:c r="A1055" s="12" t="str">
        <x:v>FU-20260616-01054</x:v>
      </x:c>
      <x:c r="B1055" s="12" t="n">
        <x:v>1184</x:v>
      </x:c>
      <x:c r="C1055" s="14" t="n">
        <x:v>46189</x:v>
      </x:c>
      <x:c r="D1055" s="12" t="str">
        <x:v>Selasa</x:v>
      </x:c>
      <x:c r="E1055" s="12" t="str">
        <x:v>06:24:00</x:v>
      </x:c>
      <x:c r="F1055" s="12" t="str">
        <x:v>All Shift Day</x:v>
      </x:c>
      <x:c r="G1055" s="12" t="str">
        <x:v>FTRL44G004</x:v>
      </x:c>
      <x:c r="H1055" s="12" t="str">
        <x:v>Fuel Truck</x:v>
      </x:c>
      <x:c r="I1055" s="12" t="str">
        <x:v>FUEL TRUCK RENAULT KRANGE440-P6X4 A/T</x:v>
      </x:c>
      <x:c r="J1055" s="16" t="n">
        <x:v>82</x:v>
      </x:c>
      <x:c r="K1055" s="16" t="n">
        <x:v>3905</x:v>
      </x:c>
      <x:c r="L1055" s="16" t="n">
        <x:v>3918</x:v>
      </x:c>
      <x:c r="M1055" s="16" t="n">
        <x:v>13</x:v>
      </x:c>
      <x:c r="N1055" s="16" t="n">
        <x:v>6.3076923076923075</x:v>
      </x:c>
      <x:c r="O1055" s="12" t="str">
        <x:v>FTRL44G004</x:v>
      </x:c>
      <x:c r="P1055" s="12" t="str">
        <x:v>FTRL44G004</x:v>
      </x:c>
      <x:c r="Q1055" s="12" t="str"/>
      <x:c r="R1055" s="12" t="str"/>
      <x:c r="S1055" s="12" t="str"/>
      <x:c r="T1055" s="12" t="str">
        <x:v>ABM</x:v>
      </x:c>
      <x:c r="U1055" s="12" t="str"/>
      <x:c r="V1055" s="12" t="str"/>
      <x:c r="W1055" s="12" t="str"/>
      <x:c r="X1055" s="12" t="str">
        <x:v>FTRL44</x:v>
      </x:c>
      <x:c r="Y1055" s="12" t="str">
        <x:v>RAFIF &amp; YOGI</x:v>
      </x:c>
      <x:c r="Z1055" s="12" t="str">
        <x:v>SUPPORT</x:v>
      </x:c>
      <x:c r="AA1055" s="32" t="n">
        <x:f>IFERROR(VLOOKUP(G1055,Master_Unit!$A$2:$N$78,7,FALSE),"")</x:f>
        <x:v>13</x:v>
      </x:c>
      <x:c r="AB1055" s="32" t="n">
        <x:f>IF(OR(N1055="",AA1055=""),"",N1055-AA1055)</x:f>
        <x:v>-6.6923076923076925</x:v>
      </x:c>
      <x:c r="AC1055" s="20" t="n">
        <x:f>IF(OR(N1055="",AA1055="",AA1055=0),"",AB1055/AA1055)</x:f>
        <x:v>-0.514792899408284</x:v>
      </x:c>
      <x:c r="AD1055" t="str">
        <x:f>IF(AA1055="","NO STANDARD",IF(AC1055&lt;=Config_Status!$B$2,"EFFICIENT",IF(AC1055&lt;=Config_Status!$B$3,"NORMAL",IF(AC1055&lt;=Config_Status!$B$4,"WARNING","OVER CONSUMPTION"))))</x:f>
        <x:v>EFFICIENT</x:v>
      </x:c>
      <x:c r="AE1055" t="str">
        <x:f>IFERROR(VLOOKUP(G1055,Master_Unit!$A$2:$N$78,13,FALSE),"UNIT NOT FOUND")</x:f>
        <x:v>Matched</x:v>
      </x:c>
    </x:row>
    <x:row r="1056">
      <x:c r="A1056" s="12" t="str">
        <x:v>FU-20260616-01055</x:v>
      </x:c>
      <x:c r="B1056" s="12" t="n">
        <x:v>1185</x:v>
      </x:c>
      <x:c r="C1056" s="14" t="n">
        <x:v>46189</x:v>
      </x:c>
      <x:c r="D1056" s="12" t="str">
        <x:v>Selasa</x:v>
      </x:c>
      <x:c r="E1056" s="12" t="str">
        <x:v>06:34:00</x:v>
      </x:c>
      <x:c r="F1056" s="12" t="str">
        <x:v>All Shift Day</x:v>
      </x:c>
      <x:c r="G1056" s="12" t="str">
        <x:v>EXVV21G040</x:v>
      </x:c>
      <x:c r="H1056" s="12" t="str">
        <x:v>Excavator</x:v>
      </x:c>
      <x:c r="I1056" s="12" t="str">
        <x:v>EXCAVATOR VOLVO EC210D</x:v>
      </x:c>
      <x:c r="J1056" s="16" t="n">
        <x:v>133</x:v>
      </x:c>
      <x:c r="K1056" s="16" t="n">
        <x:v>6652.7</x:v>
      </x:c>
      <x:c r="L1056" s="16" t="n">
        <x:v>6661.6</x:v>
      </x:c>
      <x:c r="M1056" s="16" t="n">
        <x:v>8.900000000000546</x:v>
      </x:c>
      <x:c r="N1056" s="16" t="n">
        <x:v>14.943820224718184</x:v>
      </x:c>
      <x:c r="O1056" s="12" t="str">
        <x:v>FTRL44G004</x:v>
      </x:c>
      <x:c r="P1056" s="12" t="str">
        <x:v>EXVV21G040</x:v>
      </x:c>
      <x:c r="Q1056" s="12" t="str"/>
      <x:c r="R1056" s="12" t="str"/>
      <x:c r="S1056" s="12" t="str"/>
      <x:c r="T1056" s="12" t="str">
        <x:v>ABM</x:v>
      </x:c>
      <x:c r="U1056" s="12" t="str"/>
      <x:c r="V1056" s="12" t="str"/>
      <x:c r="W1056" s="12" t="str"/>
      <x:c r="X1056" s="12" t="str">
        <x:v>EXVV21</x:v>
      </x:c>
      <x:c r="Y1056" s="12" t="str">
        <x:v>RAFIF &amp; YOGI</x:v>
      </x:c>
      <x:c r="Z1056" s="12" t="str">
        <x:v>PIT</x:v>
      </x:c>
      <x:c r="AA1056" s="32" t="n">
        <x:f>IFERROR(VLOOKUP(G1056,Master_Unit!$A$2:$N$78,7,FALSE),"")</x:f>
        <x:v>20</x:v>
      </x:c>
      <x:c r="AB1056" s="32" t="n">
        <x:f>IF(OR(N1056="",AA1056=""),"",N1056-AA1056)</x:f>
        <x:v>-5.056179775281816</x:v>
      </x:c>
      <x:c r="AC1056" s="20" t="n">
        <x:f>IF(OR(N1056="",AA1056="",AA1056=0),"",AB1056/AA1056)</x:f>
        <x:v>-0.2528089887640908</x:v>
      </x:c>
      <x:c r="AD1056" t="str">
        <x:f>IF(AA1056="","NO STANDARD",IF(AC1056&lt;=Config_Status!$B$2,"EFFICIENT",IF(AC1056&lt;=Config_Status!$B$3,"NORMAL",IF(AC1056&lt;=Config_Status!$B$4,"WARNING","OVER CONSUMPTION"))))</x:f>
        <x:v>EFFICIENT</x:v>
      </x:c>
      <x:c r="AE1056" t="str">
        <x:f>IFERROR(VLOOKUP(G1056,Master_Unit!$A$2:$N$78,13,FALSE),"UNIT NOT FOUND")</x:f>
        <x:v>Matched</x:v>
      </x:c>
    </x:row>
    <x:row r="1057">
      <x:c r="A1057" s="12" t="str">
        <x:v>FU-20260616-01056</x:v>
      </x:c>
      <x:c r="B1057" s="12" t="n">
        <x:v>1186</x:v>
      </x:c>
      <x:c r="C1057" s="14" t="n">
        <x:v>46189</x:v>
      </x:c>
      <x:c r="D1057" s="12" t="str">
        <x:v>Selasa</x:v>
      </x:c>
      <x:c r="E1057" s="12" t="str">
        <x:v>06:37:00</x:v>
      </x:c>
      <x:c r="F1057" s="12" t="str">
        <x:v>All Shift Day</x:v>
      </x:c>
      <x:c r="G1057" s="12" t="str">
        <x:v>VRVV11G013</x:v>
      </x:c>
      <x:c r="H1057" s="12" t="str">
        <x:v>Compactor</x:v>
      </x:c>
      <x:c r="I1057" s="12" t="str">
        <x:v>VIBRO COMPACTOR VOLVO SD110NE</x:v>
      </x:c>
      <x:c r="J1057" s="16" t="n">
        <x:v>65</x:v>
      </x:c>
      <x:c r="K1057" s="16" t="n">
        <x:v>3231.9</x:v>
      </x:c>
      <x:c r="L1057" s="16" t="n">
        <x:v>3240.8</x:v>
      </x:c>
      <x:c r="M1057" s="16" t="n">
        <x:v>8.900000000000091</x:v>
      </x:c>
      <x:c r="N1057" s="16" t="n">
        <x:v>7.303370786516779</x:v>
      </x:c>
      <x:c r="O1057" s="12" t="str">
        <x:v>FTRL44G004</x:v>
      </x:c>
      <x:c r="P1057" s="12" t="str">
        <x:v>VRVV11G013</x:v>
      </x:c>
      <x:c r="Q1057" s="12" t="str"/>
      <x:c r="R1057" s="12" t="str"/>
      <x:c r="S1057" s="12" t="str"/>
      <x:c r="T1057" s="12" t="str">
        <x:v>ABM</x:v>
      </x:c>
      <x:c r="U1057" s="12" t="str"/>
      <x:c r="V1057" s="12" t="str"/>
      <x:c r="W1057" s="12" t="str"/>
      <x:c r="X1057" s="12" t="str">
        <x:v>VRVV11</x:v>
      </x:c>
      <x:c r="Y1057" s="12" t="str">
        <x:v>RAFIF &amp; YOGI</x:v>
      </x:c>
      <x:c r="Z1057" s="12" t="str">
        <x:v>PIT</x:v>
      </x:c>
      <x:c r="AA1057" s="32" t="n">
        <x:f>IFERROR(VLOOKUP(G1057,Master_Unit!$A$2:$N$78,7,FALSE),"")</x:f>
        <x:v>15</x:v>
      </x:c>
      <x:c r="AB1057" s="32" t="n">
        <x:f>IF(OR(N1057="",AA1057=""),"",N1057-AA1057)</x:f>
        <x:v>-7.696629213483221</x:v>
      </x:c>
      <x:c r="AC1057" s="20" t="n">
        <x:f>IF(OR(N1057="",AA1057="",AA1057=0),"",AB1057/AA1057)</x:f>
        <x:v>-0.5131086142322148</x:v>
      </x:c>
      <x:c r="AD1057" t="str">
        <x:f>IF(AA1057="","NO STANDARD",IF(AC1057&lt;=Config_Status!$B$2,"EFFICIENT",IF(AC1057&lt;=Config_Status!$B$3,"NORMAL",IF(AC1057&lt;=Config_Status!$B$4,"WARNING","OVER CONSUMPTION"))))</x:f>
        <x:v>EFFICIENT</x:v>
      </x:c>
      <x:c r="AE1057" t="str">
        <x:f>IFERROR(VLOOKUP(G1057,Master_Unit!$A$2:$N$78,13,FALSE),"UNIT NOT FOUND")</x:f>
        <x:v>Matched</x:v>
      </x:c>
    </x:row>
    <x:row r="1058">
      <x:c r="A1058" s="12" t="str">
        <x:v>FU-20260616-01057</x:v>
      </x:c>
      <x:c r="B1058" s="12" t="n">
        <x:v>1187</x:v>
      </x:c>
      <x:c r="C1058" s="14" t="n">
        <x:v>46189</x:v>
      </x:c>
      <x:c r="D1058" s="12" t="str">
        <x:v>Selasa</x:v>
      </x:c>
      <x:c r="E1058" s="12" t="str">
        <x:v>06:42:00</x:v>
      </x:c>
      <x:c r="F1058" s="12" t="str">
        <x:v>All Shift Day</x:v>
      </x:c>
      <x:c r="G1058" s="12" t="str">
        <x:v>EXVV35G006</x:v>
      </x:c>
      <x:c r="H1058" s="12" t="str">
        <x:v>Excavator</x:v>
      </x:c>
      <x:c r="I1058" s="12" t="str">
        <x:v>EXCAVATOR VOLVO EC350D</x:v>
      </x:c>
      <x:c r="J1058" s="16" t="n">
        <x:v>188</x:v>
      </x:c>
      <x:c r="K1058" s="16" t="n">
        <x:v>3233.4</x:v>
      </x:c>
      <x:c r="L1058" s="16" t="n">
        <x:v>3242.7</x:v>
      </x:c>
      <x:c r="M1058" s="16" t="n">
        <x:v>9.299999999999727</x:v>
      </x:c>
      <x:c r="N1058" s="16" t="n">
        <x:v>20.215053763441453</x:v>
      </x:c>
      <x:c r="O1058" s="12" t="str">
        <x:v>FTRL44G004</x:v>
      </x:c>
      <x:c r="P1058" s="12" t="str">
        <x:v>EXVV35G006</x:v>
      </x:c>
      <x:c r="Q1058" s="12" t="str"/>
      <x:c r="R1058" s="12" t="str"/>
      <x:c r="S1058" s="12" t="str"/>
      <x:c r="T1058" s="12" t="str">
        <x:v>ABM</x:v>
      </x:c>
      <x:c r="U1058" s="12" t="str"/>
      <x:c r="V1058" s="12" t="str"/>
      <x:c r="W1058" s="12" t="str"/>
      <x:c r="X1058" s="12" t="str">
        <x:v>EXVV35</x:v>
      </x:c>
      <x:c r="Y1058" s="12" t="str">
        <x:v>RAFIF &amp; YOGI</x:v>
      </x:c>
      <x:c r="Z1058" s="12" t="str">
        <x:v>PIT</x:v>
      </x:c>
      <x:c r="AA1058" s="32" t="n">
        <x:f>IFERROR(VLOOKUP(G1058,Master_Unit!$A$2:$N$78,7,FALSE),"")</x:f>
        <x:v>25</x:v>
      </x:c>
      <x:c r="AB1058" s="32" t="n">
        <x:f>IF(OR(N1058="",AA1058=""),"",N1058-AA1058)</x:f>
        <x:v>-4.784946236558547</x:v>
      </x:c>
      <x:c r="AC1058" s="20" t="n">
        <x:f>IF(OR(N1058="",AA1058="",AA1058=0),"",AB1058/AA1058)</x:f>
        <x:v>-0.19139784946234187</x:v>
      </x:c>
      <x:c r="AD1058" t="str">
        <x:f>IF(AA1058="","NO STANDARD",IF(AC1058&lt;=Config_Status!$B$2,"EFFICIENT",IF(AC1058&lt;=Config_Status!$B$3,"NORMAL",IF(AC1058&lt;=Config_Status!$B$4,"WARNING","OVER CONSUMPTION"))))</x:f>
        <x:v>EFFICIENT</x:v>
      </x:c>
      <x:c r="AE1058" t="str">
        <x:f>IFERROR(VLOOKUP(G1058,Master_Unit!$A$2:$N$78,13,FALSE),"UNIT NOT FOUND")</x:f>
        <x:v>Matched</x:v>
      </x:c>
    </x:row>
    <x:row r="1059">
      <x:c r="A1059" s="12" t="str">
        <x:v>FU-20260616-01058</x:v>
      </x:c>
      <x:c r="B1059" s="12" t="n">
        <x:v>1188</x:v>
      </x:c>
      <x:c r="C1059" s="14" t="n">
        <x:v>46189</x:v>
      </x:c>
      <x:c r="D1059" s="12" t="str">
        <x:v>Selasa</x:v>
      </x:c>
      <x:c r="E1059" s="12" t="str">
        <x:v>06:55:00</x:v>
      </x:c>
      <x:c r="F1059" s="12" t="str">
        <x:v>All Shift Day</x:v>
      </x:c>
      <x:c r="G1059" s="12" t="str">
        <x:v>TLYM50G020</x:v>
      </x:c>
      <x:c r="H1059" s="12" t="str">
        <x:v>Other</x:v>
      </x:c>
      <x:c r="I1059" s="12" t="str">
        <x:v>TOWERLAMP YAMAGEN YDG5001SE-D-TLD4</x:v>
      </x:c>
      <x:c r="J1059" s="16" t="n">
        <x:v>8</x:v>
      </x:c>
      <x:c r="K1059" s="16" t="n">
        <x:v>4573.99</x:v>
      </x:c>
      <x:c r="L1059" s="16" t="n">
        <x:v>4579.99</x:v>
      </x:c>
      <x:c r="M1059" s="16" t="n">
        <x:v>6</x:v>
      </x:c>
      <x:c r="N1059" s="16" t="n">
        <x:v>1.3333333333333333</x:v>
      </x:c>
      <x:c r="O1059" s="12" t="str">
        <x:v>FTRL44G004</x:v>
      </x:c>
      <x:c r="P1059" s="12" t="str">
        <x:v>TLYM50G020</x:v>
      </x:c>
      <x:c r="Q1059" s="12" t="str"/>
      <x:c r="R1059" s="12" t="str"/>
      <x:c r="S1059" s="12" t="str"/>
      <x:c r="T1059" s="12" t="str">
        <x:v>ABM</x:v>
      </x:c>
      <x:c r="U1059" s="12" t="str"/>
      <x:c r="V1059" s="12" t="str"/>
      <x:c r="W1059" s="12" t="str"/>
      <x:c r="X1059" s="12" t="str">
        <x:v>TLYM50</x:v>
      </x:c>
      <x:c r="Y1059" s="12" t="str">
        <x:v>RAFIF &amp; YOGI</x:v>
      </x:c>
      <x:c r="Z1059" s="12" t="str">
        <x:v>SUPPORT</x:v>
      </x:c>
      <x:c r="AA1059" s="32" t="n">
        <x:f>IFERROR(VLOOKUP(G1059,Master_Unit!$A$2:$N$78,7,FALSE),"")</x:f>
        <x:v>2</x:v>
      </x:c>
      <x:c r="AB1059" s="32" t="n">
        <x:f>IF(OR(N1059="",AA1059=""),"",N1059-AA1059)</x:f>
        <x:v>-0.6666666666666667</x:v>
      </x:c>
      <x:c r="AC1059" s="20" t="n">
        <x:f>IF(OR(N1059="",AA1059="",AA1059=0),"",AB1059/AA1059)</x:f>
        <x:v>-0.33333333333333337</x:v>
      </x:c>
      <x:c r="AD1059" t="str">
        <x:f>IF(AA1059="","NO STANDARD",IF(AC1059&lt;=Config_Status!$B$2,"EFFICIENT",IF(AC1059&lt;=Config_Status!$B$3,"NORMAL",IF(AC1059&lt;=Config_Status!$B$4,"WARNING","OVER CONSUMPTION"))))</x:f>
        <x:v>EFFICIENT</x:v>
      </x:c>
      <x:c r="AE1059" t="str">
        <x:f>IFERROR(VLOOKUP(G1059,Master_Unit!$A$2:$N$78,13,FALSE),"UNIT NOT FOUND")</x:f>
        <x:v>Matched</x:v>
      </x:c>
    </x:row>
    <x:row r="1060">
      <x:c r="A1060" s="12" t="str">
        <x:v>FU-20260616-01059</x:v>
      </x:c>
      <x:c r="B1060" s="12" t="n">
        <x:v>1189</x:v>
      </x:c>
      <x:c r="C1060" s="14" t="n">
        <x:v>46189</x:v>
      </x:c>
      <x:c r="D1060" s="12" t="str">
        <x:v>Selasa</x:v>
      </x:c>
      <x:c r="E1060" s="12" t="str">
        <x:v>07:17:00</x:v>
      </x:c>
      <x:c r="F1060" s="12" t="str">
        <x:v>All Shift Day</x:v>
      </x:c>
      <x:c r="G1060" s="12" t="str">
        <x:v>ACKS50G001</x:v>
      </x:c>
      <x:c r="H1060" s="12" t="str">
        <x:v>Air Compressor</x:v>
      </x:c>
      <x:c r="I1060" s="12" t="str">
        <x:v>AIR COMPRESSOR MOBILAR MOBILAIR M50</x:v>
      </x:c>
      <x:c r="J1060" s="16" t="n">
        <x:v>34</x:v>
      </x:c>
      <x:c r="K1060" s="16" t="n">
        <x:v>1178.21</x:v>
      </x:c>
      <x:c r="L1060" s="16" t="n">
        <x:v>1194.48</x:v>
      </x:c>
      <x:c r="M1060" s="16" t="n">
        <x:v>16.269999999999982</x:v>
      </x:c>
      <x:c r="N1060" s="16" t="n">
        <x:v>2.0897357098955154</x:v>
      </x:c>
      <x:c r="O1060" s="12" t="str">
        <x:v>FTRL44G004</x:v>
      </x:c>
      <x:c r="P1060" s="12" t="str">
        <x:v>ACKS50G001</x:v>
      </x:c>
      <x:c r="Q1060" s="12" t="str"/>
      <x:c r="R1060" s="12" t="str"/>
      <x:c r="S1060" s="12" t="str"/>
      <x:c r="T1060" s="12" t="str">
        <x:v>ABM</x:v>
      </x:c>
      <x:c r="U1060" s="12" t="str"/>
      <x:c r="V1060" s="12" t="str"/>
      <x:c r="W1060" s="12" t="str"/>
      <x:c r="X1060" s="12" t="str">
        <x:v>ACKS50</x:v>
      </x:c>
      <x:c r="Y1060" s="12" t="str">
        <x:v>RAFIF &amp; YOGI</x:v>
      </x:c>
      <x:c r="Z1060" s="12" t="str">
        <x:v>SUPPORT</x:v>
      </x:c>
      <x:c r="AA1060" s="32" t="n">
        <x:f>IFERROR(VLOOKUP(G1060,Master_Unit!$A$2:$N$78,7,FALSE),"")</x:f>
        <x:v>8</x:v>
      </x:c>
      <x:c r="AB1060" s="32" t="n">
        <x:f>IF(OR(N1060="",AA1060=""),"",N1060-AA1060)</x:f>
        <x:v>-5.910264290104484</x:v>
      </x:c>
      <x:c r="AC1060" s="20" t="n">
        <x:f>IF(OR(N1060="",AA1060="",AA1060=0),"",AB1060/AA1060)</x:f>
        <x:v>-0.7387830362630605</x:v>
      </x:c>
      <x:c r="AD1060" t="str">
        <x:f>IF(AA1060="","NO STANDARD",IF(AC1060&lt;=Config_Status!$B$2,"EFFICIENT",IF(AC1060&lt;=Config_Status!$B$3,"NORMAL",IF(AC1060&lt;=Config_Status!$B$4,"WARNING","OVER CONSUMPTION"))))</x:f>
        <x:v>EFFICIENT</x:v>
      </x:c>
      <x:c r="AE1060" t="str">
        <x:f>IFERROR(VLOOKUP(G1060,Master_Unit!$A$2:$N$78,13,FALSE),"UNIT NOT FOUND")</x:f>
        <x:v>Matched</x:v>
      </x:c>
    </x:row>
    <x:row r="1061">
      <x:c r="A1061" s="12" t="str">
        <x:v>FU-20260616-01060</x:v>
      </x:c>
      <x:c r="B1061" s="12" t="n">
        <x:v>1190</x:v>
      </x:c>
      <x:c r="C1061" s="14" t="n">
        <x:v>46189</x:v>
      </x:c>
      <x:c r="D1061" s="12" t="str">
        <x:v>Selasa</x:v>
      </x:c>
      <x:c r="E1061" s="12" t="str">
        <x:v>07:19:00</x:v>
      </x:c>
      <x:c r="F1061" s="12" t="str">
        <x:v>All Shift Day</x:v>
      </x:c>
      <x:c r="G1061" s="12" t="str">
        <x:v>WMML50G009</x:v>
      </x:c>
      <x:c r="H1061" s="12" t="str">
        <x:v>Other</x:v>
      </x:c>
      <x:c r="I1061" s="12" t="str">
        <x:v>WELDING MACHINE MILLER BIG BLUE 500X CC</x:v>
      </x:c>
      <x:c r="J1061" s="16" t="n">
        <x:v>30</x:v>
      </x:c>
      <x:c r="K1061" s="16" t="n">
        <x:v>1087.5</x:v>
      </x:c>
      <x:c r="L1061" s="16" t="n">
        <x:v>1092</x:v>
      </x:c>
      <x:c r="M1061" s="16" t="n">
        <x:v>4.5</x:v>
      </x:c>
      <x:c r="N1061" s="16" t="n">
        <x:v>6.666666666666667</x:v>
      </x:c>
      <x:c r="O1061" s="12" t="str">
        <x:v>FTRL44G004</x:v>
      </x:c>
      <x:c r="P1061" s="12" t="str">
        <x:v>WMML50G009</x:v>
      </x:c>
      <x:c r="Q1061" s="12" t="str"/>
      <x:c r="R1061" s="12" t="str"/>
      <x:c r="S1061" s="12" t="str"/>
      <x:c r="T1061" s="12" t="str">
        <x:v>ABM</x:v>
      </x:c>
      <x:c r="U1061" s="12" t="str"/>
      <x:c r="V1061" s="12" t="str"/>
      <x:c r="W1061" s="12" t="str"/>
      <x:c r="X1061" s="12" t="str">
        <x:v>WMML50</x:v>
      </x:c>
      <x:c r="Y1061" s="12" t="str">
        <x:v>RAFIF &amp; YOGI</x:v>
      </x:c>
      <x:c r="Z1061" s="12" t="str">
        <x:v>PIT</x:v>
      </x:c>
      <x:c r="AA1061" s="32" t="str">
        <x:f>IFERROR(VLOOKUP(G1061,Master_Unit!$A$2:$N$78,7,FALSE),"")</x:f>
      </x:c>
      <x:c r="AB1061" s="32" t="str">
        <x:f>IF(OR(N1061="",AA1061=""),"",N1061-AA1061)</x:f>
      </x:c>
      <x:c r="AC1061" s="20" t="str">
        <x:f>IF(OR(N1061="",AA1061="",AA1061=0),"",AB1061/AA1061)</x:f>
      </x:c>
      <x:c r="AD1061" t="str">
        <x:f>IF(AA1061="","NO STANDARD",IF(AC1061&lt;=Config_Status!$B$2,"EFFICIENT",IF(AC1061&lt;=Config_Status!$B$3,"NORMAL",IF(AC1061&lt;=Config_Status!$B$4,"WARNING","OVER CONSUMPTION"))))</x:f>
        <x:v>NO STANDARD</x:v>
      </x:c>
      <x:c r="AE1061" t="str">
        <x:f>IFERROR(VLOOKUP(G1061,Master_Unit!$A$2:$N$78,13,FALSE),"UNIT NOT FOUND")</x:f>
        <x:v>No Standard</x:v>
      </x:c>
    </x:row>
    <x:row r="1062">
      <x:c r="A1062" s="12" t="str">
        <x:v>FU-20260616-01061</x:v>
      </x:c>
      <x:c r="B1062" s="12" t="n">
        <x:v>1191</x:v>
      </x:c>
      <x:c r="C1062" s="14" t="n">
        <x:v>46189</x:v>
      </x:c>
      <x:c r="D1062" s="12" t="str">
        <x:v>Selasa</x:v>
      </x:c>
      <x:c r="E1062" s="12" t="str">
        <x:v>08:57:00</x:v>
      </x:c>
      <x:c r="F1062" s="12" t="str">
        <x:v>All Shift Day</x:v>
      </x:c>
      <x:c r="G1062" s="12" t="str">
        <x:v>EXVV35G004</x:v>
      </x:c>
      <x:c r="H1062" s="12" t="str">
        <x:v>Excavator</x:v>
      </x:c>
      <x:c r="I1062" s="12" t="str">
        <x:v>EXCAVATOR VOLVO EC350D</x:v>
      </x:c>
      <x:c r="J1062" s="16" t="n">
        <x:v>188</x:v>
      </x:c>
      <x:c r="K1062" s="16" t="n">
        <x:v>2581.7</x:v>
      </x:c>
      <x:c r="L1062" s="16" t="n">
        <x:v>2587.7</x:v>
      </x:c>
      <x:c r="M1062" s="16" t="n">
        <x:v>6</x:v>
      </x:c>
      <x:c r="N1062" s="16" t="n">
        <x:v>31.333333333333332</x:v>
      </x:c>
      <x:c r="O1062" s="12" t="str">
        <x:v>FTRL44G004</x:v>
      </x:c>
      <x:c r="P1062" s="12" t="str">
        <x:v>EXVV35G004</x:v>
      </x:c>
      <x:c r="Q1062" s="12" t="str"/>
      <x:c r="R1062" s="12" t="str"/>
      <x:c r="S1062" s="12" t="str"/>
      <x:c r="T1062" s="12" t="str">
        <x:v>ABM</x:v>
      </x:c>
      <x:c r="U1062" s="12" t="str"/>
      <x:c r="V1062" s="12" t="str"/>
      <x:c r="W1062" s="12" t="str"/>
      <x:c r="X1062" s="12" t="str">
        <x:v>EXVV35</x:v>
      </x:c>
      <x:c r="Y1062" s="12" t="str">
        <x:v>RAFIF &amp; YOGI</x:v>
      </x:c>
      <x:c r="Z1062" s="12" t="str">
        <x:v>PIT</x:v>
      </x:c>
      <x:c r="AA1062" s="32" t="n">
        <x:f>IFERROR(VLOOKUP(G1062,Master_Unit!$A$2:$N$78,7,FALSE),"")</x:f>
        <x:v>25</x:v>
      </x:c>
      <x:c r="AB1062" s="32" t="n">
        <x:f>IF(OR(N1062="",AA1062=""),"",N1062-AA1062)</x:f>
        <x:v>6.333333333333332</x:v>
      </x:c>
      <x:c r="AC1062" s="20" t="n">
        <x:f>IF(OR(N1062="",AA1062="",AA1062=0),"",AB1062/AA1062)</x:f>
        <x:v>0.2533333333333333</x:v>
      </x:c>
      <x:c r="AD1062" t="str">
        <x:f>IF(AA1062="","NO STANDARD",IF(AC1062&lt;=Config_Status!$B$2,"EFFICIENT",IF(AC1062&lt;=Config_Status!$B$3,"NORMAL",IF(AC1062&lt;=Config_Status!$B$4,"WARNING","OVER CONSUMPTION"))))</x:f>
        <x:v>OVER CONSUMPTION</x:v>
      </x:c>
      <x:c r="AE1062" t="str">
        <x:f>IFERROR(VLOOKUP(G1062,Master_Unit!$A$2:$N$78,13,FALSE),"UNIT NOT FOUND")</x:f>
        <x:v>Matched</x:v>
      </x:c>
    </x:row>
    <x:row r="1063">
      <x:c r="A1063" s="12" t="str">
        <x:v>FU-20260616-01062</x:v>
      </x:c>
      <x:c r="B1063" s="12" t="n">
        <x:v>1192</x:v>
      </x:c>
      <x:c r="C1063" s="14" t="n">
        <x:v>46189</x:v>
      </x:c>
      <x:c r="D1063" s="12" t="str">
        <x:v>Selasa</x:v>
      </x:c>
      <x:c r="E1063" s="12" t="str">
        <x:v>09:05:00</x:v>
      </x:c>
      <x:c r="F1063" s="12" t="str">
        <x:v>All Shift Day</x:v>
      </x:c>
      <x:c r="G1063" s="12" t="str">
        <x:v>EXVV21G036</x:v>
      </x:c>
      <x:c r="H1063" s="12" t="str">
        <x:v>Excavator</x:v>
      </x:c>
      <x:c r="I1063" s="12" t="str">
        <x:v>EXCAVATOR VOLVO EC210D</x:v>
      </x:c>
      <x:c r="J1063" s="16" t="n">
        <x:v>132</x:v>
      </x:c>
      <x:c r="K1063" s="16" t="n">
        <x:v>7646.9</x:v>
      </x:c>
      <x:c r="L1063" s="16" t="n">
        <x:v>7653</x:v>
      </x:c>
      <x:c r="M1063" s="16" t="n">
        <x:v>6.100000000000364</x:v>
      </x:c>
      <x:c r="N1063" s="16" t="n">
        <x:v>21.63934426229379</x:v>
      </x:c>
      <x:c r="O1063" s="12" t="str">
        <x:v>FTRL44G004</x:v>
      </x:c>
      <x:c r="P1063" s="12" t="str">
        <x:v>EXVV21G036</x:v>
      </x:c>
      <x:c r="Q1063" s="12" t="str"/>
      <x:c r="R1063" s="12" t="str"/>
      <x:c r="S1063" s="12" t="str"/>
      <x:c r="T1063" s="12" t="str">
        <x:v>ABM</x:v>
      </x:c>
      <x:c r="U1063" s="12" t="str"/>
      <x:c r="V1063" s="12" t="str"/>
      <x:c r="W1063" s="12" t="str"/>
      <x:c r="X1063" s="12" t="str">
        <x:v>EXVV21</x:v>
      </x:c>
      <x:c r="Y1063" s="12" t="str">
        <x:v>RAFIF &amp; YOGI</x:v>
      </x:c>
      <x:c r="Z1063" s="12" t="str">
        <x:v>SUPPORT</x:v>
      </x:c>
      <x:c r="AA1063" s="32" t="n">
        <x:f>IFERROR(VLOOKUP(G1063,Master_Unit!$A$2:$N$78,7,FALSE),"")</x:f>
        <x:v>20</x:v>
      </x:c>
      <x:c r="AB1063" s="32" t="n">
        <x:f>IF(OR(N1063="",AA1063=""),"",N1063-AA1063)</x:f>
        <x:v>1.6393442622937897</x:v>
      </x:c>
      <x:c r="AC1063" s="20" t="n">
        <x:f>IF(OR(N1063="",AA1063="",AA1063=0),"",AB1063/AA1063)</x:f>
        <x:v>0.08196721311468949</x:v>
      </x:c>
      <x:c r="AD1063" t="str">
        <x:f>IF(AA1063="","NO STANDARD",IF(AC1063&lt;=Config_Status!$B$2,"EFFICIENT",IF(AC1063&lt;=Config_Status!$B$3,"NORMAL",IF(AC1063&lt;=Config_Status!$B$4,"WARNING","OVER CONSUMPTION"))))</x:f>
        <x:v>NORMAL</x:v>
      </x:c>
      <x:c r="AE1063" t="str">
        <x:f>IFERROR(VLOOKUP(G1063,Master_Unit!$A$2:$N$78,13,FALSE),"UNIT NOT FOUND")</x:f>
        <x:v>Matched</x:v>
      </x:c>
    </x:row>
    <x:row r="1064">
      <x:c r="A1064" s="12" t="str">
        <x:v>FU-20260616-01063</x:v>
      </x:c>
      <x:c r="B1064" s="12" t="n">
        <x:v>1193</x:v>
      </x:c>
      <x:c r="C1064" s="14" t="n">
        <x:v>46189</x:v>
      </x:c>
      <x:c r="D1064" s="12" t="str">
        <x:v>Selasa</x:v>
      </x:c>
      <x:c r="E1064" s="12" t="str">
        <x:v>10:55:00</x:v>
      </x:c>
      <x:c r="F1064" s="12" t="str">
        <x:v>All Shift Day</x:v>
      </x:c>
      <x:c r="G1064" s="12" t="str">
        <x:v>CTRL44G004</x:v>
      </x:c>
      <x:c r="H1064" s="12" t="str">
        <x:v>Crane Truck</x:v>
      </x:c>
      <x:c r="I1064" s="12" t="str">
        <x:v>CRANE TRUCK RENAULT KRANGE440-P6X4 A/T</x:v>
      </x:c>
      <x:c r="J1064" s="16" t="n">
        <x:v>35</x:v>
      </x:c>
      <x:c r="K1064" s="16" t="n">
        <x:v>999</x:v>
      </x:c>
      <x:c r="L1064" s="16" t="n">
        <x:v>1007</x:v>
      </x:c>
      <x:c r="M1064" s="16" t="n">
        <x:v>8</x:v>
      </x:c>
      <x:c r="N1064" s="16" t="n">
        <x:v>4.375</x:v>
      </x:c>
      <x:c r="O1064" s="12" t="str">
        <x:v>FTRL44G004</x:v>
      </x:c>
      <x:c r="P1064" s="12" t="str">
        <x:v>CTRL44G004</x:v>
      </x:c>
      <x:c r="Q1064" s="12" t="str"/>
      <x:c r="R1064" s="12" t="str"/>
      <x:c r="S1064" s="12" t="str"/>
      <x:c r="T1064" s="12" t="str">
        <x:v>ABM</x:v>
      </x:c>
      <x:c r="U1064" s="12" t="str"/>
      <x:c r="V1064" s="12" t="str"/>
      <x:c r="W1064" s="12" t="str"/>
      <x:c r="X1064" s="12" t="str">
        <x:v>CTRL44</x:v>
      </x:c>
      <x:c r="Y1064" s="12" t="str">
        <x:v>RAFIF &amp; YOGI</x:v>
      </x:c>
      <x:c r="Z1064" s="12" t="str">
        <x:v>SUPPORT</x:v>
      </x:c>
      <x:c r="AA1064" s="32" t="n">
        <x:f>IFERROR(VLOOKUP(G1064,Master_Unit!$A$2:$N$78,7,FALSE),"")</x:f>
        <x:v>20</x:v>
      </x:c>
      <x:c r="AB1064" s="32" t="n">
        <x:f>IF(OR(N1064="",AA1064=""),"",N1064-AA1064)</x:f>
        <x:v>-15.625</x:v>
      </x:c>
      <x:c r="AC1064" s="20" t="n">
        <x:f>IF(OR(N1064="",AA1064="",AA1064=0),"",AB1064/AA1064)</x:f>
        <x:v>-0.78125</x:v>
      </x:c>
      <x:c r="AD1064" t="str">
        <x:f>IF(AA1064="","NO STANDARD",IF(AC1064&lt;=Config_Status!$B$2,"EFFICIENT",IF(AC1064&lt;=Config_Status!$B$3,"NORMAL",IF(AC1064&lt;=Config_Status!$B$4,"WARNING","OVER CONSUMPTION"))))</x:f>
        <x:v>EFFICIENT</x:v>
      </x:c>
      <x:c r="AE1064" t="str">
        <x:f>IFERROR(VLOOKUP(G1064,Master_Unit!$A$2:$N$78,13,FALSE),"UNIT NOT FOUND")</x:f>
        <x:v>Matched</x:v>
      </x:c>
    </x:row>
    <x:row r="1065">
      <x:c r="A1065" s="12" t="str">
        <x:v>FU-20260616-01064</x:v>
      </x:c>
      <x:c r="B1065" s="12" t="n">
        <x:v>1194</x:v>
      </x:c>
      <x:c r="C1065" s="14" t="n">
        <x:v>46189</x:v>
      </x:c>
      <x:c r="D1065" s="12" t="str">
        <x:v>Selasa</x:v>
      </x:c>
      <x:c r="E1065" s="12" t="str">
        <x:v>11:07:00</x:v>
      </x:c>
      <x:c r="F1065" s="12" t="str">
        <x:v>All Shift Day</x:v>
      </x:c>
      <x:c r="G1065" s="12" t="str">
        <x:v>TLYM50G017</x:v>
      </x:c>
      <x:c r="H1065" s="12" t="str">
        <x:v>Other</x:v>
      </x:c>
      <x:c r="I1065" s="12" t="str">
        <x:v>TOWERLAMP YAMAGEN YDG5001SE-D-TLD4</x:v>
      </x:c>
      <x:c r="J1065" s="16" t="n">
        <x:v>15</x:v>
      </x:c>
      <x:c r="K1065" s="16" t="n">
        <x:v>3414.12</x:v>
      </x:c>
      <x:c r="L1065" s="16" t="n">
        <x:v>3423.77</x:v>
      </x:c>
      <x:c r="M1065" s="16" t="n">
        <x:v>9.650000000000091</x:v>
      </x:c>
      <x:c r="N1065" s="16" t="n">
        <x:v>1.5544041450777055</x:v>
      </x:c>
      <x:c r="O1065" s="12" t="str">
        <x:v>FTRL44G004</x:v>
      </x:c>
      <x:c r="P1065" s="12" t="str">
        <x:v>TLYM50G017</x:v>
      </x:c>
      <x:c r="Q1065" s="12" t="str"/>
      <x:c r="R1065" s="12" t="str"/>
      <x:c r="S1065" s="12" t="str"/>
      <x:c r="T1065" s="12" t="str">
        <x:v>ABM</x:v>
      </x:c>
      <x:c r="U1065" s="12" t="str"/>
      <x:c r="V1065" s="12" t="str"/>
      <x:c r="W1065" s="12" t="str"/>
      <x:c r="X1065" s="12" t="str">
        <x:v>TLYM50</x:v>
      </x:c>
      <x:c r="Y1065" s="12" t="str">
        <x:v>RAFIF &amp; YOGI</x:v>
      </x:c>
      <x:c r="Z1065" s="12" t="str">
        <x:v>SUPPORT</x:v>
      </x:c>
      <x:c r="AA1065" s="32" t="n">
        <x:f>IFERROR(VLOOKUP(G1065,Master_Unit!$A$2:$N$78,7,FALSE),"")</x:f>
        <x:v>2</x:v>
      </x:c>
      <x:c r="AB1065" s="32" t="n">
        <x:f>IF(OR(N1065="",AA1065=""),"",N1065-AA1065)</x:f>
        <x:v>-0.4455958549222945</x:v>
      </x:c>
      <x:c r="AC1065" s="20" t="n">
        <x:f>IF(OR(N1065="",AA1065="",AA1065=0),"",AB1065/AA1065)</x:f>
        <x:v>-0.22279792746114724</x:v>
      </x:c>
      <x:c r="AD1065" t="str">
        <x:f>IF(AA1065="","NO STANDARD",IF(AC1065&lt;=Config_Status!$B$2,"EFFICIENT",IF(AC1065&lt;=Config_Status!$B$3,"NORMAL",IF(AC1065&lt;=Config_Status!$B$4,"WARNING","OVER CONSUMPTION"))))</x:f>
        <x:v>EFFICIENT</x:v>
      </x:c>
      <x:c r="AE1065" t="str">
        <x:f>IFERROR(VLOOKUP(G1065,Master_Unit!$A$2:$N$78,13,FALSE),"UNIT NOT FOUND")</x:f>
        <x:v>Matched</x:v>
      </x:c>
    </x:row>
    <x:row r="1066">
      <x:c r="A1066" s="12" t="str">
        <x:v>FU-20260616-01065</x:v>
      </x:c>
      <x:c r="B1066" s="12" t="n">
        <x:v>1195</x:v>
      </x:c>
      <x:c r="C1066" s="14" t="n">
        <x:v>46189</x:v>
      </x:c>
      <x:c r="D1066" s="12" t="str">
        <x:v>Selasa</x:v>
      </x:c>
      <x:c r="E1066" s="12" t="str">
        <x:v>11:09:00</x:v>
      </x:c>
      <x:c r="F1066" s="12" t="str">
        <x:v>All Shift Day</x:v>
      </x:c>
      <x:c r="G1066" s="12" t="str">
        <x:v>STRL44G144</x:v>
      </x:c>
      <x:c r="H1066" s="12" t="str">
        <x:v>Dump Truck</x:v>
      </x:c>
      <x:c r="I1066" s="12" t="str">
        <x:v>DUMP TRUCK RENAULT KRANGE440-P6X4 A/T</x:v>
      </x:c>
      <x:c r="J1066" s="16" t="n">
        <x:v>129</x:v>
      </x:c>
      <x:c r="K1066" s="16" t="n">
        <x:v>1596</x:v>
      </x:c>
      <x:c r="L1066" s="16" t="n">
        <x:v>1604</x:v>
      </x:c>
      <x:c r="M1066" s="16" t="n">
        <x:v>8</x:v>
      </x:c>
      <x:c r="N1066" s="16" t="n">
        <x:v>16.125</x:v>
      </x:c>
      <x:c r="O1066" s="12" t="str">
        <x:v>FTRL44G004</x:v>
      </x:c>
      <x:c r="P1066" s="12" t="str">
        <x:v>STRL44G144</x:v>
      </x:c>
      <x:c r="Q1066" s="12" t="str"/>
      <x:c r="R1066" s="12" t="str"/>
      <x:c r="S1066" s="12" t="str"/>
      <x:c r="T1066" s="12" t="str">
        <x:v>ABM</x:v>
      </x:c>
      <x:c r="U1066" s="12" t="str"/>
      <x:c r="V1066" s="12" t="str"/>
      <x:c r="W1066" s="12" t="str"/>
      <x:c r="X1066" s="12" t="str">
        <x:v>STRL44</x:v>
      </x:c>
      <x:c r="Y1066" s="12" t="str">
        <x:v>RAFIF &amp; YOGI</x:v>
      </x:c>
      <x:c r="Z1066" s="12" t="str">
        <x:v>SUPPORT</x:v>
      </x:c>
      <x:c r="AA1066" s="32" t="n">
        <x:f>IFERROR(VLOOKUP(G1066,Master_Unit!$A$2:$N$78,7,FALSE),"")</x:f>
        <x:v>20</x:v>
      </x:c>
      <x:c r="AB1066" s="32" t="n">
        <x:f>IF(OR(N1066="",AA1066=""),"",N1066-AA1066)</x:f>
        <x:v>-3.875</x:v>
      </x:c>
      <x:c r="AC1066" s="20" t="n">
        <x:f>IF(OR(N1066="",AA1066="",AA1066=0),"",AB1066/AA1066)</x:f>
        <x:v>-0.19375</x:v>
      </x:c>
      <x:c r="AD1066" t="str">
        <x:f>IF(AA1066="","NO STANDARD",IF(AC1066&lt;=Config_Status!$B$2,"EFFICIENT",IF(AC1066&lt;=Config_Status!$B$3,"NORMAL",IF(AC1066&lt;=Config_Status!$B$4,"WARNING","OVER CONSUMPTION"))))</x:f>
        <x:v>EFFICIENT</x:v>
      </x:c>
      <x:c r="AE1066" t="str">
        <x:f>IFERROR(VLOOKUP(G1066,Master_Unit!$A$2:$N$78,13,FALSE),"UNIT NOT FOUND")</x:f>
        <x:v>Matched</x:v>
      </x:c>
    </x:row>
    <x:row r="1067">
      <x:c r="A1067" s="12" t="str">
        <x:v>FU-20260616-01066</x:v>
      </x:c>
      <x:c r="B1067" s="12" t="n">
        <x:v>1196</x:v>
      </x:c>
      <x:c r="C1067" s="14" t="n">
        <x:v>46189</x:v>
      </x:c>
      <x:c r="D1067" s="12" t="str">
        <x:v>Selasa</x:v>
      </x:c>
      <x:c r="E1067" s="12" t="str">
        <x:v>11:13:00</x:v>
      </x:c>
      <x:c r="F1067" s="12" t="str">
        <x:v>All Shift Day</x:v>
      </x:c>
      <x:c r="G1067" s="12" t="str">
        <x:v>STRL44G156</x:v>
      </x:c>
      <x:c r="H1067" s="12" t="str">
        <x:v>Dump Truck</x:v>
      </x:c>
      <x:c r="I1067" s="12" t="str">
        <x:v>DUMP TRUCK RENAULT KRANGE440-P6X4 A/T</x:v>
      </x:c>
      <x:c r="J1067" s="16" t="n">
        <x:v>135</x:v>
      </x:c>
      <x:c r="K1067" s="16" t="n">
        <x:v>3843</x:v>
      </x:c>
      <x:c r="L1067" s="16" t="n">
        <x:v>3852</x:v>
      </x:c>
      <x:c r="M1067" s="16" t="n">
        <x:v>9</x:v>
      </x:c>
      <x:c r="N1067" s="16" t="n">
        <x:v>15</x:v>
      </x:c>
      <x:c r="O1067" s="12" t="str">
        <x:v>FTRL44G004</x:v>
      </x:c>
      <x:c r="P1067" s="12" t="str">
        <x:v>STRL44G156</x:v>
      </x:c>
      <x:c r="Q1067" s="12" t="str"/>
      <x:c r="R1067" s="12" t="str"/>
      <x:c r="S1067" s="12" t="str"/>
      <x:c r="T1067" s="12" t="str">
        <x:v>ABM</x:v>
      </x:c>
      <x:c r="U1067" s="12" t="str"/>
      <x:c r="V1067" s="12" t="str"/>
      <x:c r="W1067" s="12" t="str"/>
      <x:c r="X1067" s="12" t="str">
        <x:v>STRL44</x:v>
      </x:c>
      <x:c r="Y1067" s="12" t="str">
        <x:v>RAFIF &amp; YOGI</x:v>
      </x:c>
      <x:c r="Z1067" s="12" t="str">
        <x:v>PIT</x:v>
      </x:c>
      <x:c r="AA1067" s="32" t="n">
        <x:f>IFERROR(VLOOKUP(G1067,Master_Unit!$A$2:$N$78,7,FALSE),"")</x:f>
        <x:v>20</x:v>
      </x:c>
      <x:c r="AB1067" s="32" t="n">
        <x:f>IF(OR(N1067="",AA1067=""),"",N1067-AA1067)</x:f>
        <x:v>-5</x:v>
      </x:c>
      <x:c r="AC1067" s="20" t="n">
        <x:f>IF(OR(N1067="",AA1067="",AA1067=0),"",AB1067/AA1067)</x:f>
        <x:v>-0.25</x:v>
      </x:c>
      <x:c r="AD1067" t="str">
        <x:f>IF(AA1067="","NO STANDARD",IF(AC1067&lt;=Config_Status!$B$2,"EFFICIENT",IF(AC1067&lt;=Config_Status!$B$3,"NORMAL",IF(AC1067&lt;=Config_Status!$B$4,"WARNING","OVER CONSUMPTION"))))</x:f>
        <x:v>EFFICIENT</x:v>
      </x:c>
      <x:c r="AE1067" t="str">
        <x:f>IFERROR(VLOOKUP(G1067,Master_Unit!$A$2:$N$78,13,FALSE),"UNIT NOT FOUND")</x:f>
        <x:v>Matched</x:v>
      </x:c>
    </x:row>
    <x:row r="1068">
      <x:c r="A1068" s="12" t="str">
        <x:v>FU-20260616-01067</x:v>
      </x:c>
      <x:c r="B1068" s="12" t="n">
        <x:v>1197</x:v>
      </x:c>
      <x:c r="C1068" s="14" t="n">
        <x:v>46189</x:v>
      </x:c>
      <x:c r="D1068" s="12" t="str">
        <x:v>Selasa</x:v>
      </x:c>
      <x:c r="E1068" s="12" t="str">
        <x:v>11:20:00</x:v>
      </x:c>
      <x:c r="F1068" s="12" t="str">
        <x:v>All Shift Day</x:v>
      </x:c>
      <x:c r="G1068" s="12" t="str">
        <x:v>STRL44G143</x:v>
      </x:c>
      <x:c r="H1068" s="12" t="str">
        <x:v>Dump Truck</x:v>
      </x:c>
      <x:c r="I1068" s="12" t="str">
        <x:v>DUMP TRUCK RENAULT KRANGE440-P6X4 A/T</x:v>
      </x:c>
      <x:c r="J1068" s="16" t="n">
        <x:v>135</x:v>
      </x:c>
      <x:c r="K1068" s="16" t="n">
        <x:v>5307</x:v>
      </x:c>
      <x:c r="L1068" s="16" t="n">
        <x:v>5316</x:v>
      </x:c>
      <x:c r="M1068" s="16" t="n">
        <x:v>9</x:v>
      </x:c>
      <x:c r="N1068" s="16" t="n">
        <x:v>15</x:v>
      </x:c>
      <x:c r="O1068" s="12" t="str">
        <x:v>FTRL44G004</x:v>
      </x:c>
      <x:c r="P1068" s="12" t="str">
        <x:v>STRL44G143</x:v>
      </x:c>
      <x:c r="Q1068" s="12" t="str"/>
      <x:c r="R1068" s="12" t="str"/>
      <x:c r="S1068" s="12" t="str"/>
      <x:c r="T1068" s="12" t="str">
        <x:v>ABM</x:v>
      </x:c>
      <x:c r="U1068" s="12" t="str"/>
      <x:c r="V1068" s="12" t="str"/>
      <x:c r="W1068" s="12" t="str"/>
      <x:c r="X1068" s="12" t="str">
        <x:v>STRL44</x:v>
      </x:c>
      <x:c r="Y1068" s="12" t="str">
        <x:v>RAFIF &amp; YOGI</x:v>
      </x:c>
      <x:c r="Z1068" s="12" t="str">
        <x:v>SUPPORT</x:v>
      </x:c>
      <x:c r="AA1068" s="32" t="n">
        <x:f>IFERROR(VLOOKUP(G1068,Master_Unit!$A$2:$N$78,7,FALSE),"")</x:f>
        <x:v>20</x:v>
      </x:c>
      <x:c r="AB1068" s="32" t="n">
        <x:f>IF(OR(N1068="",AA1068=""),"",N1068-AA1068)</x:f>
        <x:v>-5</x:v>
      </x:c>
      <x:c r="AC1068" s="20" t="n">
        <x:f>IF(OR(N1068="",AA1068="",AA1068=0),"",AB1068/AA1068)</x:f>
        <x:v>-0.25</x:v>
      </x:c>
      <x:c r="AD1068" t="str">
        <x:f>IF(AA1068="","NO STANDARD",IF(AC1068&lt;=Config_Status!$B$2,"EFFICIENT",IF(AC1068&lt;=Config_Status!$B$3,"NORMAL",IF(AC1068&lt;=Config_Status!$B$4,"WARNING","OVER CONSUMPTION"))))</x:f>
        <x:v>EFFICIENT</x:v>
      </x:c>
      <x:c r="AE1068" t="str">
        <x:f>IFERROR(VLOOKUP(G1068,Master_Unit!$A$2:$N$78,13,FALSE),"UNIT NOT FOUND")</x:f>
        <x:v>Matched</x:v>
      </x:c>
    </x:row>
    <x:row r="1069">
      <x:c r="A1069" s="12" t="str">
        <x:v>FU-20260616-01068</x:v>
      </x:c>
      <x:c r="B1069" s="12" t="n">
        <x:v>1198</x:v>
      </x:c>
      <x:c r="C1069" s="14" t="n">
        <x:v>46189</x:v>
      </x:c>
      <x:c r="D1069" s="12" t="str">
        <x:v>Selasa</x:v>
      </x:c>
      <x:c r="E1069" s="12" t="str">
        <x:v>11:26:00</x:v>
      </x:c>
      <x:c r="F1069" s="12" t="str">
        <x:v>All Shift Day</x:v>
      </x:c>
      <x:c r="G1069" s="12" t="str">
        <x:v>STRL44G147</x:v>
      </x:c>
      <x:c r="H1069" s="12" t="str">
        <x:v>Dump Truck</x:v>
      </x:c>
      <x:c r="I1069" s="12" t="str">
        <x:v>DUMP TRUCK RENAULT KRANGE440-P6X4 A/T</x:v>
      </x:c>
      <x:c r="J1069" s="16" t="n">
        <x:v>135</x:v>
      </x:c>
      <x:c r="K1069" s="16" t="n">
        <x:v>5083</x:v>
      </x:c>
      <x:c r="L1069" s="16" t="n">
        <x:v>5093</x:v>
      </x:c>
      <x:c r="M1069" s="16" t="n">
        <x:v>10</x:v>
      </x:c>
      <x:c r="N1069" s="16" t="n">
        <x:v>13.5</x:v>
      </x:c>
      <x:c r="O1069" s="12" t="str">
        <x:v>FTRL44G004</x:v>
      </x:c>
      <x:c r="P1069" s="12" t="str">
        <x:v>STRL44G147</x:v>
      </x:c>
      <x:c r="Q1069" s="12" t="str"/>
      <x:c r="R1069" s="12" t="str"/>
      <x:c r="S1069" s="12" t="str"/>
      <x:c r="T1069" s="12" t="str">
        <x:v>ABM</x:v>
      </x:c>
      <x:c r="U1069" s="12" t="str"/>
      <x:c r="V1069" s="12" t="str"/>
      <x:c r="W1069" s="12" t="str"/>
      <x:c r="X1069" s="12" t="str">
        <x:v>STRL44</x:v>
      </x:c>
      <x:c r="Y1069" s="12" t="str">
        <x:v>RAFIF &amp; YOGI</x:v>
      </x:c>
      <x:c r="Z1069" s="12" t="str">
        <x:v>SUPPORT</x:v>
      </x:c>
      <x:c r="AA1069" s="32" t="n">
        <x:f>IFERROR(VLOOKUP(G1069,Master_Unit!$A$2:$N$78,7,FALSE),"")</x:f>
        <x:v>20</x:v>
      </x:c>
      <x:c r="AB1069" s="32" t="n">
        <x:f>IF(OR(N1069="",AA1069=""),"",N1069-AA1069)</x:f>
        <x:v>-6.5</x:v>
      </x:c>
      <x:c r="AC1069" s="20" t="n">
        <x:f>IF(OR(N1069="",AA1069="",AA1069=0),"",AB1069/AA1069)</x:f>
        <x:v>-0.325</x:v>
      </x:c>
      <x:c r="AD1069" t="str">
        <x:f>IF(AA1069="","NO STANDARD",IF(AC1069&lt;=Config_Status!$B$2,"EFFICIENT",IF(AC1069&lt;=Config_Status!$B$3,"NORMAL",IF(AC1069&lt;=Config_Status!$B$4,"WARNING","OVER CONSUMPTION"))))</x:f>
        <x:v>EFFICIENT</x:v>
      </x:c>
      <x:c r="AE1069" t="str">
        <x:f>IFERROR(VLOOKUP(G1069,Master_Unit!$A$2:$N$78,13,FALSE),"UNIT NOT FOUND")</x:f>
        <x:v>Matched</x:v>
      </x:c>
    </x:row>
    <x:row r="1070">
      <x:c r="A1070" s="12" t="str">
        <x:v>FU-20260616-01069</x:v>
      </x:c>
      <x:c r="B1070" s="12" t="n">
        <x:v>1199</x:v>
      </x:c>
      <x:c r="C1070" s="14" t="n">
        <x:v>46189</x:v>
      </x:c>
      <x:c r="D1070" s="12" t="str">
        <x:v>Selasa</x:v>
      </x:c>
      <x:c r="E1070" s="12" t="str">
        <x:v>11:35:00</x:v>
      </x:c>
      <x:c r="F1070" s="12" t="str">
        <x:v>All Shift Day</x:v>
      </x:c>
      <x:c r="G1070" s="12" t="str">
        <x:v>STRL44G155</x:v>
      </x:c>
      <x:c r="H1070" s="12" t="str">
        <x:v>Dump Truck</x:v>
      </x:c>
      <x:c r="I1070" s="12" t="str">
        <x:v>DUMP TRUCK RENAULT KRANGE440-P6X4 A/T</x:v>
      </x:c>
      <x:c r="J1070" s="16" t="n">
        <x:v>136</x:v>
      </x:c>
      <x:c r="K1070" s="16" t="n">
        <x:v>4033</x:v>
      </x:c>
      <x:c r="L1070" s="16" t="n">
        <x:v>4042</x:v>
      </x:c>
      <x:c r="M1070" s="16" t="n">
        <x:v>9</x:v>
      </x:c>
      <x:c r="N1070" s="16" t="n">
        <x:v>15.11111111111111</x:v>
      </x:c>
      <x:c r="O1070" s="12" t="str">
        <x:v>FTRL44G004</x:v>
      </x:c>
      <x:c r="P1070" s="12" t="str">
        <x:v>STRL44G155</x:v>
      </x:c>
      <x:c r="Q1070" s="12" t="str"/>
      <x:c r="R1070" s="12" t="str"/>
      <x:c r="S1070" s="12" t="str"/>
      <x:c r="T1070" s="12" t="str">
        <x:v>ABM</x:v>
      </x:c>
      <x:c r="U1070" s="12" t="str"/>
      <x:c r="V1070" s="12" t="str"/>
      <x:c r="W1070" s="12" t="str"/>
      <x:c r="X1070" s="12" t="str">
        <x:v>STRL44</x:v>
      </x:c>
      <x:c r="Y1070" s="12" t="str">
        <x:v>RAFIF &amp; YOGI</x:v>
      </x:c>
      <x:c r="Z1070" s="12" t="str">
        <x:v>SUPPORT</x:v>
      </x:c>
      <x:c r="AA1070" s="32" t="n">
        <x:f>IFERROR(VLOOKUP(G1070,Master_Unit!$A$2:$N$78,7,FALSE),"")</x:f>
        <x:v>20</x:v>
      </x:c>
      <x:c r="AB1070" s="32" t="n">
        <x:f>IF(OR(N1070="",AA1070=""),"",N1070-AA1070)</x:f>
        <x:v>-4.888888888888889</x:v>
      </x:c>
      <x:c r="AC1070" s="20" t="n">
        <x:f>IF(OR(N1070="",AA1070="",AA1070=0),"",AB1070/AA1070)</x:f>
        <x:v>-0.24444444444444446</x:v>
      </x:c>
      <x:c r="AD1070" t="str">
        <x:f>IF(AA1070="","NO STANDARD",IF(AC1070&lt;=Config_Status!$B$2,"EFFICIENT",IF(AC1070&lt;=Config_Status!$B$3,"NORMAL",IF(AC1070&lt;=Config_Status!$B$4,"WARNING","OVER CONSUMPTION"))))</x:f>
        <x:v>EFFICIENT</x:v>
      </x:c>
      <x:c r="AE1070" t="str">
        <x:f>IFERROR(VLOOKUP(G1070,Master_Unit!$A$2:$N$78,13,FALSE),"UNIT NOT FOUND")</x:f>
        <x:v>Matched</x:v>
      </x:c>
    </x:row>
    <x:row r="1071">
      <x:c r="A1071" s="12" t="str">
        <x:v>FU-20260616-01070</x:v>
      </x:c>
      <x:c r="B1071" s="12" t="n">
        <x:v>1200</x:v>
      </x:c>
      <x:c r="C1071" s="14" t="n">
        <x:v>46189</x:v>
      </x:c>
      <x:c r="D1071" s="12" t="str">
        <x:v>Selasa</x:v>
      </x:c>
      <x:c r="E1071" s="12" t="str">
        <x:v>11:40:00</x:v>
      </x:c>
      <x:c r="F1071" s="12" t="str">
        <x:v>All Shift Day</x:v>
      </x:c>
      <x:c r="G1071" s="12" t="str">
        <x:v>STRL44G152</x:v>
      </x:c>
      <x:c r="H1071" s="12" t="str">
        <x:v>Dump Truck</x:v>
      </x:c>
      <x:c r="I1071" s="12" t="str">
        <x:v>DUMP TRUCK RENAULT KRANGE440-P6X4 A/T</x:v>
      </x:c>
      <x:c r="J1071" s="16" t="n">
        <x:v>135</x:v>
      </x:c>
      <x:c r="K1071" s="16" t="n">
        <x:v>3767</x:v>
      </x:c>
      <x:c r="L1071" s="16" t="n">
        <x:v>3777</x:v>
      </x:c>
      <x:c r="M1071" s="16" t="n">
        <x:v>10</x:v>
      </x:c>
      <x:c r="N1071" s="16" t="n">
        <x:v>13.5</x:v>
      </x:c>
      <x:c r="O1071" s="12" t="str">
        <x:v>FTRL44G004</x:v>
      </x:c>
      <x:c r="P1071" s="12" t="str">
        <x:v>STRL44G152</x:v>
      </x:c>
      <x:c r="Q1071" s="12" t="str"/>
      <x:c r="R1071" s="12" t="str"/>
      <x:c r="S1071" s="12" t="str"/>
      <x:c r="T1071" s="12" t="str">
        <x:v>ABM</x:v>
      </x:c>
      <x:c r="U1071" s="12" t="str"/>
      <x:c r="V1071" s="12" t="str"/>
      <x:c r="W1071" s="12" t="str"/>
      <x:c r="X1071" s="12" t="str">
        <x:v>STRL44</x:v>
      </x:c>
      <x:c r="Y1071" s="12" t="str">
        <x:v>RAFIF &amp; YOGI</x:v>
      </x:c>
      <x:c r="Z1071" s="12" t="str">
        <x:v>PIT</x:v>
      </x:c>
      <x:c r="AA1071" s="32" t="n">
        <x:f>IFERROR(VLOOKUP(G1071,Master_Unit!$A$2:$N$78,7,FALSE),"")</x:f>
        <x:v>20</x:v>
      </x:c>
      <x:c r="AB1071" s="32" t="n">
        <x:f>IF(OR(N1071="",AA1071=""),"",N1071-AA1071)</x:f>
        <x:v>-6.5</x:v>
      </x:c>
      <x:c r="AC1071" s="20" t="n">
        <x:f>IF(OR(N1071="",AA1071="",AA1071=0),"",AB1071/AA1071)</x:f>
        <x:v>-0.325</x:v>
      </x:c>
      <x:c r="AD1071" t="str">
        <x:f>IF(AA1071="","NO STANDARD",IF(AC1071&lt;=Config_Status!$B$2,"EFFICIENT",IF(AC1071&lt;=Config_Status!$B$3,"NORMAL",IF(AC1071&lt;=Config_Status!$B$4,"WARNING","OVER CONSUMPTION"))))</x:f>
        <x:v>EFFICIENT</x:v>
      </x:c>
      <x:c r="AE1071" t="str">
        <x:f>IFERROR(VLOOKUP(G1071,Master_Unit!$A$2:$N$78,13,FALSE),"UNIT NOT FOUND")</x:f>
        <x:v>Matched</x:v>
      </x:c>
    </x:row>
    <x:row r="1072">
      <x:c r="A1072" s="12" t="str">
        <x:v>FU-20260616-01071</x:v>
      </x:c>
      <x:c r="B1072" s="12" t="n">
        <x:v>1201</x:v>
      </x:c>
      <x:c r="C1072" s="14" t="n">
        <x:v>46189</x:v>
      </x:c>
      <x:c r="D1072" s="12" t="str">
        <x:v>Selasa</x:v>
      </x:c>
      <x:c r="E1072" s="12" t="str">
        <x:v>11:46:00</x:v>
      </x:c>
      <x:c r="F1072" s="12" t="str">
        <x:v>All Shift Day</x:v>
      </x:c>
      <x:c r="G1072" s="12" t="str">
        <x:v>STRL44G157</x:v>
      </x:c>
      <x:c r="H1072" s="12" t="str">
        <x:v>Dump Truck</x:v>
      </x:c>
      <x:c r="I1072" s="12" t="str">
        <x:v>DUMP TRUCK RENAULT KRANGE440-P6X4 A/T</x:v>
      </x:c>
      <x:c r="J1072" s="16" t="n">
        <x:v>135</x:v>
      </x:c>
      <x:c r="K1072" s="16" t="n">
        <x:v>4135</x:v>
      </x:c>
      <x:c r="L1072" s="16" t="n">
        <x:v>4145</x:v>
      </x:c>
      <x:c r="M1072" s="16" t="n">
        <x:v>10</x:v>
      </x:c>
      <x:c r="N1072" s="16" t="n">
        <x:v>13.5</x:v>
      </x:c>
      <x:c r="O1072" s="12" t="str">
        <x:v>FTRL44G004</x:v>
      </x:c>
      <x:c r="P1072" s="12" t="str">
        <x:v>STRL44G157</x:v>
      </x:c>
      <x:c r="Q1072" s="12" t="str"/>
      <x:c r="R1072" s="12" t="str"/>
      <x:c r="S1072" s="12" t="str"/>
      <x:c r="T1072" s="12" t="str">
        <x:v>ABM</x:v>
      </x:c>
      <x:c r="U1072" s="12" t="str"/>
      <x:c r="V1072" s="12" t="str"/>
      <x:c r="W1072" s="12" t="str"/>
      <x:c r="X1072" s="12" t="str">
        <x:v>STRL44</x:v>
      </x:c>
      <x:c r="Y1072" s="12" t="str">
        <x:v>RAFIF &amp; YOGI</x:v>
      </x:c>
      <x:c r="Z1072" s="12" t="str">
        <x:v>SUPPORT</x:v>
      </x:c>
      <x:c r="AA1072" s="32" t="n">
        <x:f>IFERROR(VLOOKUP(G1072,Master_Unit!$A$2:$N$78,7,FALSE),"")</x:f>
        <x:v>20</x:v>
      </x:c>
      <x:c r="AB1072" s="32" t="n">
        <x:f>IF(OR(N1072="",AA1072=""),"",N1072-AA1072)</x:f>
        <x:v>-6.5</x:v>
      </x:c>
      <x:c r="AC1072" s="20" t="n">
        <x:f>IF(OR(N1072="",AA1072="",AA1072=0),"",AB1072/AA1072)</x:f>
        <x:v>-0.325</x:v>
      </x:c>
      <x:c r="AD1072" t="str">
        <x:f>IF(AA1072="","NO STANDARD",IF(AC1072&lt;=Config_Status!$B$2,"EFFICIENT",IF(AC1072&lt;=Config_Status!$B$3,"NORMAL",IF(AC1072&lt;=Config_Status!$B$4,"WARNING","OVER CONSUMPTION"))))</x:f>
        <x:v>EFFICIENT</x:v>
      </x:c>
      <x:c r="AE1072" t="str">
        <x:f>IFERROR(VLOOKUP(G1072,Master_Unit!$A$2:$N$78,13,FALSE),"UNIT NOT FOUND")</x:f>
        <x:v>Matched</x:v>
      </x:c>
    </x:row>
    <x:row r="1073">
      <x:c r="A1073" s="12" t="str">
        <x:v>FU-20260616-01072</x:v>
      </x:c>
      <x:c r="B1073" s="12" t="n">
        <x:v>1202</x:v>
      </x:c>
      <x:c r="C1073" s="14" t="n">
        <x:v>46189</x:v>
      </x:c>
      <x:c r="D1073" s="12" t="str">
        <x:v>Selasa</x:v>
      </x:c>
      <x:c r="E1073" s="12" t="str">
        <x:v>11:51:00</x:v>
      </x:c>
      <x:c r="F1073" s="12" t="str">
        <x:v>All Shift Day</x:v>
      </x:c>
      <x:c r="G1073" s="12" t="str">
        <x:v>STRL44G154</x:v>
      </x:c>
      <x:c r="H1073" s="12" t="str">
        <x:v>Dump Truck</x:v>
      </x:c>
      <x:c r="I1073" s="12" t="str">
        <x:v>DUMP TRUCK RENAULT KRANGE440-P6X4 A/T</x:v>
      </x:c>
      <x:c r="J1073" s="16" t="n">
        <x:v>135</x:v>
      </x:c>
      <x:c r="K1073" s="16" t="n">
        <x:v>4159</x:v>
      </x:c>
      <x:c r="L1073" s="16" t="n">
        <x:v>4168</x:v>
      </x:c>
      <x:c r="M1073" s="16" t="n">
        <x:v>9</x:v>
      </x:c>
      <x:c r="N1073" s="16" t="n">
        <x:v>15</x:v>
      </x:c>
      <x:c r="O1073" s="12" t="str">
        <x:v>FTRL44G004</x:v>
      </x:c>
      <x:c r="P1073" s="12" t="str">
        <x:v>STRL44G154</x:v>
      </x:c>
      <x:c r="Q1073" s="12" t="str"/>
      <x:c r="R1073" s="12" t="str"/>
      <x:c r="S1073" s="12" t="str"/>
      <x:c r="T1073" s="12" t="str">
        <x:v>ABM</x:v>
      </x:c>
      <x:c r="U1073" s="12" t="str"/>
      <x:c r="V1073" s="12" t="str"/>
      <x:c r="W1073" s="12" t="str"/>
      <x:c r="X1073" s="12" t="str">
        <x:v>STRL44</x:v>
      </x:c>
      <x:c r="Y1073" s="12" t="str">
        <x:v>RAFIF &amp; YOGI</x:v>
      </x:c>
      <x:c r="Z1073" s="12" t="str">
        <x:v>SUPPORT</x:v>
      </x:c>
      <x:c r="AA1073" s="32" t="n">
        <x:f>IFERROR(VLOOKUP(G1073,Master_Unit!$A$2:$N$78,7,FALSE),"")</x:f>
        <x:v>20</x:v>
      </x:c>
      <x:c r="AB1073" s="32" t="n">
        <x:f>IF(OR(N1073="",AA1073=""),"",N1073-AA1073)</x:f>
        <x:v>-5</x:v>
      </x:c>
      <x:c r="AC1073" s="20" t="n">
        <x:f>IF(OR(N1073="",AA1073="",AA1073=0),"",AB1073/AA1073)</x:f>
        <x:v>-0.25</x:v>
      </x:c>
      <x:c r="AD1073" t="str">
        <x:f>IF(AA1073="","NO STANDARD",IF(AC1073&lt;=Config_Status!$B$2,"EFFICIENT",IF(AC1073&lt;=Config_Status!$B$3,"NORMAL",IF(AC1073&lt;=Config_Status!$B$4,"WARNING","OVER CONSUMPTION"))))</x:f>
        <x:v>EFFICIENT</x:v>
      </x:c>
      <x:c r="AE1073" t="str">
        <x:f>IFERROR(VLOOKUP(G1073,Master_Unit!$A$2:$N$78,13,FALSE),"UNIT NOT FOUND")</x:f>
        <x:v>Matched</x:v>
      </x:c>
    </x:row>
    <x:row r="1074">
      <x:c r="A1074" s="12" t="str">
        <x:v>FU-20260616-01073</x:v>
      </x:c>
      <x:c r="B1074" s="12" t="n">
        <x:v>1203</x:v>
      </x:c>
      <x:c r="C1074" s="14" t="n">
        <x:v>46189</x:v>
      </x:c>
      <x:c r="D1074" s="12" t="str">
        <x:v>Selasa</x:v>
      </x:c>
      <x:c r="E1074" s="12" t="str">
        <x:v>11:57:00</x:v>
      </x:c>
      <x:c r="F1074" s="12" t="str">
        <x:v>All Shift Day</x:v>
      </x:c>
      <x:c r="G1074" s="12" t="str">
        <x:v>EXVV21G041</x:v>
      </x:c>
      <x:c r="H1074" s="12" t="str">
        <x:v>Excavator</x:v>
      </x:c>
      <x:c r="I1074" s="12" t="str">
        <x:v>EXCAVATOR VOLVO EC210D</x:v>
      </x:c>
      <x:c r="J1074" s="16" t="n">
        <x:v>132</x:v>
      </x:c>
      <x:c r="K1074" s="16" t="n">
        <x:v>4591.1</x:v>
      </x:c>
      <x:c r="L1074" s="16" t="n">
        <x:v>4604.4</x:v>
      </x:c>
      <x:c r="M1074" s="16" t="n">
        <x:v>13.299999999999272</x:v>
      </x:c>
      <x:c r="N1074" s="16" t="n">
        <x:v>9.924812030075731</x:v>
      </x:c>
      <x:c r="O1074" s="12" t="str">
        <x:v>FTRL44G004</x:v>
      </x:c>
      <x:c r="P1074" s="12" t="str">
        <x:v>EXVV21G041</x:v>
      </x:c>
      <x:c r="Q1074" s="12" t="str"/>
      <x:c r="R1074" s="12" t="str"/>
      <x:c r="S1074" s="12" t="str"/>
      <x:c r="T1074" s="12" t="str">
        <x:v>ABM</x:v>
      </x:c>
      <x:c r="U1074" s="12" t="str"/>
      <x:c r="V1074" s="12" t="str"/>
      <x:c r="W1074" s="12" t="str"/>
      <x:c r="X1074" s="12" t="str">
        <x:v>EXVV21</x:v>
      </x:c>
      <x:c r="Y1074" s="12" t="str">
        <x:v>RAFIF &amp; YOGI</x:v>
      </x:c>
      <x:c r="Z1074" s="12" t="str">
        <x:v>SUPPORT</x:v>
      </x:c>
      <x:c r="AA1074" s="32" t="n">
        <x:f>IFERROR(VLOOKUP(G1074,Master_Unit!$A$2:$N$78,7,FALSE),"")</x:f>
        <x:v>20</x:v>
      </x:c>
      <x:c r="AB1074" s="32" t="n">
        <x:f>IF(OR(N1074="",AA1074=""),"",N1074-AA1074)</x:f>
        <x:v>-10.075187969924269</x:v>
      </x:c>
      <x:c r="AC1074" s="20" t="n">
        <x:f>IF(OR(N1074="",AA1074="",AA1074=0),"",AB1074/AA1074)</x:f>
        <x:v>-0.5037593984962134</x:v>
      </x:c>
      <x:c r="AD1074" t="str">
        <x:f>IF(AA1074="","NO STANDARD",IF(AC1074&lt;=Config_Status!$B$2,"EFFICIENT",IF(AC1074&lt;=Config_Status!$B$3,"NORMAL",IF(AC1074&lt;=Config_Status!$B$4,"WARNING","OVER CONSUMPTION"))))</x:f>
        <x:v>EFFICIENT</x:v>
      </x:c>
      <x:c r="AE1074" t="str">
        <x:f>IFERROR(VLOOKUP(G1074,Master_Unit!$A$2:$N$78,13,FALSE),"UNIT NOT FOUND")</x:f>
        <x:v>Matched</x:v>
      </x:c>
    </x:row>
    <x:row r="1075">
      <x:c r="A1075" s="12" t="str">
        <x:v>FU-20260616-01074</x:v>
      </x:c>
      <x:c r="B1075" s="12" t="n">
        <x:v>1204</x:v>
      </x:c>
      <x:c r="C1075" s="14" t="n">
        <x:v>46189</x:v>
      </x:c>
      <x:c r="D1075" s="12" t="str">
        <x:v>Selasa</x:v>
      </x:c>
      <x:c r="E1075" s="12" t="str">
        <x:v>12:03:00</x:v>
      </x:c>
      <x:c r="F1075" s="12" t="str">
        <x:v>All Shift Day</x:v>
      </x:c>
      <x:c r="G1075" s="12" t="str">
        <x:v>STRL44G145</x:v>
      </x:c>
      <x:c r="H1075" s="12" t="str">
        <x:v>Dump Truck</x:v>
      </x:c>
      <x:c r="I1075" s="12" t="str">
        <x:v>DUMP TRUCK RENAULT KRANGE440-P6X4 A/T</x:v>
      </x:c>
      <x:c r="J1075" s="16" t="n">
        <x:v>135</x:v>
      </x:c>
      <x:c r="K1075" s="16" t="n">
        <x:v>5015</x:v>
      </x:c>
      <x:c r="L1075" s="16" t="n">
        <x:v>5026</x:v>
      </x:c>
      <x:c r="M1075" s="16" t="n">
        <x:v>11</x:v>
      </x:c>
      <x:c r="N1075" s="16" t="n">
        <x:v>12.272727272727273</x:v>
      </x:c>
      <x:c r="O1075" s="12" t="str">
        <x:v>FTRL44G004</x:v>
      </x:c>
      <x:c r="P1075" s="12" t="str">
        <x:v>STRL44G145</x:v>
      </x:c>
      <x:c r="Q1075" s="12" t="str"/>
      <x:c r="R1075" s="12" t="str"/>
      <x:c r="S1075" s="12" t="str"/>
      <x:c r="T1075" s="12" t="str">
        <x:v>ABM</x:v>
      </x:c>
      <x:c r="U1075" s="12" t="str"/>
      <x:c r="V1075" s="12" t="str"/>
      <x:c r="W1075" s="12" t="str"/>
      <x:c r="X1075" s="12" t="str">
        <x:v>STRL44</x:v>
      </x:c>
      <x:c r="Y1075" s="12" t="str">
        <x:v>RAFIF &amp; YOGI</x:v>
      </x:c>
      <x:c r="Z1075" s="12" t="str">
        <x:v>PIT</x:v>
      </x:c>
      <x:c r="AA1075" s="32" t="n">
        <x:f>IFERROR(VLOOKUP(G1075,Master_Unit!$A$2:$N$78,7,FALSE),"")</x:f>
        <x:v>20</x:v>
      </x:c>
      <x:c r="AB1075" s="32" t="n">
        <x:f>IF(OR(N1075="",AA1075=""),"",N1075-AA1075)</x:f>
        <x:v>-7.727272727272727</x:v>
      </x:c>
      <x:c r="AC1075" s="20" t="n">
        <x:f>IF(OR(N1075="",AA1075="",AA1075=0),"",AB1075/AA1075)</x:f>
        <x:v>-0.38636363636363635</x:v>
      </x:c>
      <x:c r="AD1075" t="str">
        <x:f>IF(AA1075="","NO STANDARD",IF(AC1075&lt;=Config_Status!$B$2,"EFFICIENT",IF(AC1075&lt;=Config_Status!$B$3,"NORMAL",IF(AC1075&lt;=Config_Status!$B$4,"WARNING","OVER CONSUMPTION"))))</x:f>
        <x:v>EFFICIENT</x:v>
      </x:c>
      <x:c r="AE1075" t="str">
        <x:f>IFERROR(VLOOKUP(G1075,Master_Unit!$A$2:$N$78,13,FALSE),"UNIT NOT FOUND")</x:f>
        <x:v>Matched</x:v>
      </x:c>
    </x:row>
    <x:row r="1076">
      <x:c r="A1076" s="12" t="str">
        <x:v>FU-20260616-01075</x:v>
      </x:c>
      <x:c r="B1076" s="12" t="n">
        <x:v>1205</x:v>
      </x:c>
      <x:c r="C1076" s="14" t="n">
        <x:v>46189</x:v>
      </x:c>
      <x:c r="D1076" s="12" t="str">
        <x:v>Selasa</x:v>
      </x:c>
      <x:c r="E1076" s="12" t="str">
        <x:v>13:25:00</x:v>
      </x:c>
      <x:c r="F1076" s="12" t="str">
        <x:v>All Shift Day</x:v>
      </x:c>
      <x:c r="G1076" s="12" t="str">
        <x:v>STRL44G140</x:v>
      </x:c>
      <x:c r="H1076" s="12" t="str">
        <x:v>Dump Truck</x:v>
      </x:c>
      <x:c r="I1076" s="12" t="str">
        <x:v>DUMP TRUCK RENAULT KRANGE440-P6X4 A/T</x:v>
      </x:c>
      <x:c r="J1076" s="16" t="n">
        <x:v>102</x:v>
      </x:c>
      <x:c r="K1076" s="16" t="n">
        <x:v>5178</x:v>
      </x:c>
      <x:c r="L1076" s="16" t="n">
        <x:v>5190</x:v>
      </x:c>
      <x:c r="M1076" s="16" t="n">
        <x:v>12</x:v>
      </x:c>
      <x:c r="N1076" s="16" t="n">
        <x:v>8.5</x:v>
      </x:c>
      <x:c r="O1076" s="12" t="str">
        <x:v>FTRL44G004</x:v>
      </x:c>
      <x:c r="P1076" s="12" t="str">
        <x:v>STRL44G140</x:v>
      </x:c>
      <x:c r="Q1076" s="12" t="str"/>
      <x:c r="R1076" s="12" t="str"/>
      <x:c r="S1076" s="12" t="str"/>
      <x:c r="T1076" s="12" t="str">
        <x:v>ABM</x:v>
      </x:c>
      <x:c r="U1076" s="12" t="str"/>
      <x:c r="V1076" s="12" t="str"/>
      <x:c r="W1076" s="12" t="str"/>
      <x:c r="X1076" s="12" t="str">
        <x:v>STRL44</x:v>
      </x:c>
      <x:c r="Y1076" s="12" t="str">
        <x:v>RAFIF &amp; YOGI</x:v>
      </x:c>
      <x:c r="Z1076" s="12" t="str">
        <x:v>PIT</x:v>
      </x:c>
      <x:c r="AA1076" s="32" t="n">
        <x:f>IFERROR(VLOOKUP(G1076,Master_Unit!$A$2:$N$78,7,FALSE),"")</x:f>
        <x:v>20</x:v>
      </x:c>
      <x:c r="AB1076" s="32" t="n">
        <x:f>IF(OR(N1076="",AA1076=""),"",N1076-AA1076)</x:f>
        <x:v>-11.5</x:v>
      </x:c>
      <x:c r="AC1076" s="20" t="n">
        <x:f>IF(OR(N1076="",AA1076="",AA1076=0),"",AB1076/AA1076)</x:f>
        <x:v>-0.575</x:v>
      </x:c>
      <x:c r="AD1076" t="str">
        <x:f>IF(AA1076="","NO STANDARD",IF(AC1076&lt;=Config_Status!$B$2,"EFFICIENT",IF(AC1076&lt;=Config_Status!$B$3,"NORMAL",IF(AC1076&lt;=Config_Status!$B$4,"WARNING","OVER CONSUMPTION"))))</x:f>
        <x:v>EFFICIENT</x:v>
      </x:c>
      <x:c r="AE1076" t="str">
        <x:f>IFERROR(VLOOKUP(G1076,Master_Unit!$A$2:$N$78,13,FALSE),"UNIT NOT FOUND")</x:f>
        <x:v>Matched</x:v>
      </x:c>
    </x:row>
    <x:row r="1077">
      <x:c r="A1077" s="12" t="str">
        <x:v>FU-20260616-01076</x:v>
      </x:c>
      <x:c r="B1077" s="12" t="n">
        <x:v>1206</x:v>
      </x:c>
      <x:c r="C1077" s="14" t="n">
        <x:v>46189</x:v>
      </x:c>
      <x:c r="D1077" s="12" t="str">
        <x:v>Selasa</x:v>
      </x:c>
      <x:c r="E1077" s="12" t="str">
        <x:v>14:04:00</x:v>
      </x:c>
      <x:c r="F1077" s="12" t="str">
        <x:v>All Shift Day</x:v>
      </x:c>
      <x:c r="G1077" s="12" t="str">
        <x:v>STRL44G146</x:v>
      </x:c>
      <x:c r="H1077" s="12" t="str">
        <x:v>Dump Truck</x:v>
      </x:c>
      <x:c r="I1077" s="12" t="str">
        <x:v>DUMP TRUCK RENAULT KRANGE440-P6X4 A/T</x:v>
      </x:c>
      <x:c r="J1077" s="16" t="n">
        <x:v>135</x:v>
      </x:c>
      <x:c r="K1077" s="16" t="n">
        <x:v>5007</x:v>
      </x:c>
      <x:c r="L1077" s="16" t="n">
        <x:v>5017</x:v>
      </x:c>
      <x:c r="M1077" s="16" t="n">
        <x:v>10</x:v>
      </x:c>
      <x:c r="N1077" s="16" t="n">
        <x:v>13.5</x:v>
      </x:c>
      <x:c r="O1077" s="12" t="str">
        <x:v>FTRL44G004</x:v>
      </x:c>
      <x:c r="P1077" s="12" t="str">
        <x:v>STRL44G146</x:v>
      </x:c>
      <x:c r="Q1077" s="12" t="str"/>
      <x:c r="R1077" s="12" t="str"/>
      <x:c r="S1077" s="12" t="str"/>
      <x:c r="T1077" s="12" t="str">
        <x:v>ABM</x:v>
      </x:c>
      <x:c r="U1077" s="12" t="str"/>
      <x:c r="V1077" s="12" t="str"/>
      <x:c r="W1077" s="12" t="str"/>
      <x:c r="X1077" s="12" t="str">
        <x:v>STRL44</x:v>
      </x:c>
      <x:c r="Y1077" s="12" t="str">
        <x:v>RAFIF &amp; YOGI</x:v>
      </x:c>
      <x:c r="Z1077" s="12" t="str">
        <x:v>PIT</x:v>
      </x:c>
      <x:c r="AA1077" s="32" t="n">
        <x:f>IFERROR(VLOOKUP(G1077,Master_Unit!$A$2:$N$78,7,FALSE),"")</x:f>
        <x:v>20</x:v>
      </x:c>
      <x:c r="AB1077" s="32" t="n">
        <x:f>IF(OR(N1077="",AA1077=""),"",N1077-AA1077)</x:f>
        <x:v>-6.5</x:v>
      </x:c>
      <x:c r="AC1077" s="20" t="n">
        <x:f>IF(OR(N1077="",AA1077="",AA1077=0),"",AB1077/AA1077)</x:f>
        <x:v>-0.325</x:v>
      </x:c>
      <x:c r="AD1077" t="str">
        <x:f>IF(AA1077="","NO STANDARD",IF(AC1077&lt;=Config_Status!$B$2,"EFFICIENT",IF(AC1077&lt;=Config_Status!$B$3,"NORMAL",IF(AC1077&lt;=Config_Status!$B$4,"WARNING","OVER CONSUMPTION"))))</x:f>
        <x:v>EFFICIENT</x:v>
      </x:c>
      <x:c r="AE1077" t="str">
        <x:f>IFERROR(VLOOKUP(G1077,Master_Unit!$A$2:$N$78,13,FALSE),"UNIT NOT FOUND")</x:f>
        <x:v>Matched</x:v>
      </x:c>
    </x:row>
    <x:row r="1078">
      <x:c r="A1078" s="12" t="str">
        <x:v>FU-20260616-01077</x:v>
      </x:c>
      <x:c r="B1078" s="12" t="n">
        <x:v>1207</x:v>
      </x:c>
      <x:c r="C1078" s="14" t="n">
        <x:v>46189</x:v>
      </x:c>
      <x:c r="D1078" s="12" t="str">
        <x:v>Selasa</x:v>
      </x:c>
      <x:c r="E1078" s="12" t="str">
        <x:v>14:21:00</x:v>
      </x:c>
      <x:c r="F1078" s="12" t="str">
        <x:v>All Shift Day</x:v>
      </x:c>
      <x:c r="G1078" s="12" t="str">
        <x:v>LVTH24R033</x:v>
      </x:c>
      <x:c r="H1078" s="12" t="str">
        <x:v>Light Vehicle</x:v>
      </x:c>
      <x:c r="I1078" s="12" t="str">
        <x:v>LIGHT VEHICLE TOYOTA HILUX</x:v>
      </x:c>
      <x:c r="J1078" s="16" t="n">
        <x:v>20</x:v>
      </x:c>
      <x:c r="K1078" s="16" t="n">
        <x:v>139801</x:v>
      </x:c>
      <x:c r="L1078" s="16" t="n">
        <x:v>139944</x:v>
      </x:c>
      <x:c r="M1078" s="16" t="n">
        <x:v>143</x:v>
      </x:c>
      <x:c r="N1078" s="16" t="n">
        <x:v>0.13986013986013987</x:v>
      </x:c>
      <x:c r="O1078" s="12" t="str">
        <x:v>FTRL44G004</x:v>
      </x:c>
      <x:c r="P1078" s="12" t="str">
        <x:v>LVTH24R033</x:v>
      </x:c>
      <x:c r="Q1078" s="12" t="str"/>
      <x:c r="R1078" s="12" t="str"/>
      <x:c r="S1078" s="12" t="str"/>
      <x:c r="T1078" s="12" t="str">
        <x:v>ABM</x:v>
      </x:c>
      <x:c r="U1078" s="12" t="str"/>
      <x:c r="V1078" s="12" t="str"/>
      <x:c r="W1078" s="12" t="str"/>
      <x:c r="X1078" s="12" t="str">
        <x:v>LVTH24</x:v>
      </x:c>
      <x:c r="Y1078" s="12" t="str">
        <x:v>RAFIF &amp; YOGI</x:v>
      </x:c>
      <x:c r="Z1078" s="12" t="str">
        <x:v>PIT</x:v>
      </x:c>
      <x:c r="AA1078" s="32" t="n">
        <x:f>IFERROR(VLOOKUP(G1078,Master_Unit!$A$2:$N$78,7,FALSE),"")</x:f>
        <x:v>0.2</x:v>
      </x:c>
      <x:c r="AB1078" s="32" t="n">
        <x:f>IF(OR(N1078="",AA1078=""),"",N1078-AA1078)</x:f>
        <x:v>-0.06013986013986014</x:v>
      </x:c>
      <x:c r="AC1078" s="20" t="n">
        <x:f>IF(OR(N1078="",AA1078="",AA1078=0),"",AB1078/AA1078)</x:f>
        <x:v>-0.3006993006993007</x:v>
      </x:c>
      <x:c r="AD1078" t="str">
        <x:f>IF(AA1078="","NO STANDARD",IF(AC1078&lt;=Config_Status!$B$2,"EFFICIENT",IF(AC1078&lt;=Config_Status!$B$3,"NORMAL",IF(AC1078&lt;=Config_Status!$B$4,"WARNING","OVER CONSUMPTION"))))</x:f>
        <x:v>EFFICIENT</x:v>
      </x:c>
      <x:c r="AE1078" t="str">
        <x:f>IFERROR(VLOOKUP(G1078,Master_Unit!$A$2:$N$78,13,FALSE),"UNIT NOT FOUND")</x:f>
        <x:v>Matched</x:v>
      </x:c>
    </x:row>
    <x:row r="1079">
      <x:c r="A1079" s="12" t="str">
        <x:v>FU-20260616-01078</x:v>
      </x:c>
      <x:c r="B1079" s="12" t="n">
        <x:v>1208</x:v>
      </x:c>
      <x:c r="C1079" s="14" t="n">
        <x:v>46189</x:v>
      </x:c>
      <x:c r="D1079" s="12" t="str">
        <x:v>Selasa</x:v>
      </x:c>
      <x:c r="E1079" s="12" t="str">
        <x:v>15:02:00</x:v>
      </x:c>
      <x:c r="F1079" s="12" t="str">
        <x:v>All Shift Day</x:v>
      </x:c>
      <x:c r="G1079" s="12" t="str">
        <x:v>WFIZ15G001</x:v>
      </x:c>
      <x:c r="H1079" s="12" t="str">
        <x:v>Other</x:v>
      </x:c>
      <x:c r="I1079" s="12" t="str">
        <x:v>WATERFILL ISUZU ELF-150</x:v>
      </x:c>
      <x:c r="J1079" s="16" t="n">
        <x:v>3</x:v>
      </x:c>
      <x:c r="K1079" s="16" t="n">
        <x:v>461</x:v>
      </x:c>
      <x:c r="L1079" s="16" t="n">
        <x:v>464.2</x:v>
      </x:c>
      <x:c r="M1079" s="16" t="n">
        <x:v>3.1999999999999886</x:v>
      </x:c>
      <x:c r="N1079" s="16" t="n">
        <x:v>0.9375000000000033</x:v>
      </x:c>
      <x:c r="O1079" s="12" t="str">
        <x:v>FTRL44G004</x:v>
      </x:c>
      <x:c r="P1079" s="12" t="str">
        <x:v>WFIZ15G001</x:v>
      </x:c>
      <x:c r="Q1079" s="12" t="str"/>
      <x:c r="R1079" s="12" t="str"/>
      <x:c r="S1079" s="12" t="str"/>
      <x:c r="T1079" s="12" t="str">
        <x:v>ABM</x:v>
      </x:c>
      <x:c r="U1079" s="12" t="str"/>
      <x:c r="V1079" s="12" t="str"/>
      <x:c r="W1079" s="12" t="str"/>
      <x:c r="X1079" s="12" t="str">
        <x:v>WFIZ15</x:v>
      </x:c>
      <x:c r="Y1079" s="12" t="str">
        <x:v>RAFIF &amp; YOGI</x:v>
      </x:c>
      <x:c r="Z1079" s="12" t="str">
        <x:v>PIT</x:v>
      </x:c>
      <x:c r="AA1079" s="32" t="str">
        <x:f>IFERROR(VLOOKUP(G1079,Master_Unit!$A$2:$N$78,7,FALSE),"")</x:f>
      </x:c>
      <x:c r="AB1079" s="32" t="str">
        <x:f>IF(OR(N1079="",AA1079=""),"",N1079-AA1079)</x:f>
      </x:c>
      <x:c r="AC1079" s="20" t="str">
        <x:f>IF(OR(N1079="",AA1079="",AA1079=0),"",AB1079/AA1079)</x:f>
      </x:c>
      <x:c r="AD1079" t="str">
        <x:f>IF(AA1079="","NO STANDARD",IF(AC1079&lt;=Config_Status!$B$2,"EFFICIENT",IF(AC1079&lt;=Config_Status!$B$3,"NORMAL",IF(AC1079&lt;=Config_Status!$B$4,"WARNING","OVER CONSUMPTION"))))</x:f>
        <x:v>NO STANDARD</x:v>
      </x:c>
      <x:c r="AE1079" t="str">
        <x:f>IFERROR(VLOOKUP(G1079,Master_Unit!$A$2:$N$78,13,FALSE),"UNIT NOT FOUND")</x:f>
        <x:v>No Standard</x:v>
      </x:c>
    </x:row>
    <x:row r="1080">
      <x:c r="A1080" s="12" t="str">
        <x:v>FU-20260616-01079</x:v>
      </x:c>
      <x:c r="B1080" s="12" t="n">
        <x:v>1209</x:v>
      </x:c>
      <x:c r="C1080" s="14" t="n">
        <x:v>46189</x:v>
      </x:c>
      <x:c r="D1080" s="12" t="str">
        <x:v>Selasa</x:v>
      </x:c>
      <x:c r="E1080" s="12" t="str">
        <x:v>18:34:00</x:v>
      </x:c>
      <x:c r="F1080" s="12" t="str">
        <x:v>All Shift Night</x:v>
      </x:c>
      <x:c r="G1080" s="12" t="str">
        <x:v>EXVV35G006</x:v>
      </x:c>
      <x:c r="H1080" s="12" t="str">
        <x:v>Excavator</x:v>
      </x:c>
      <x:c r="I1080" s="12" t="str">
        <x:v>EXCAVATOR VOLVO EC350D</x:v>
      </x:c>
      <x:c r="J1080" s="16" t="n">
        <x:v>189</x:v>
      </x:c>
      <x:c r="K1080" s="16" t="n">
        <x:v>3242.7</x:v>
      </x:c>
      <x:c r="L1080" s="16" t="n">
        <x:v>3249</x:v>
      </x:c>
      <x:c r="M1080" s="16" t="n">
        <x:v>6.300000000000182</x:v>
      </x:c>
      <x:c r="N1080" s="16" t="n">
        <x:v>29.999999999999133</x:v>
      </x:c>
      <x:c r="O1080" s="12" t="str">
        <x:v>FTRL44G005</x:v>
      </x:c>
      <x:c r="P1080" s="12" t="str">
        <x:v>EXVV35G006</x:v>
      </x:c>
      <x:c r="Q1080" s="12" t="str"/>
      <x:c r="R1080" s="12" t="str"/>
      <x:c r="S1080" s="12" t="str"/>
      <x:c r="T1080" s="12" t="str">
        <x:v>ABM</x:v>
      </x:c>
      <x:c r="U1080" s="12" t="str"/>
      <x:c r="V1080" s="12" t="str"/>
      <x:c r="W1080" s="12" t="str"/>
      <x:c r="X1080" s="12" t="str">
        <x:v>EXVV35</x:v>
      </x:c>
      <x:c r="Y1080" s="12" t="str">
        <x:v>FANGKI &amp; ACUNG</x:v>
      </x:c>
      <x:c r="Z1080" s="12" t="str">
        <x:v>PIT</x:v>
      </x:c>
      <x:c r="AA1080" s="32" t="n">
        <x:f>IFERROR(VLOOKUP(G1080,Master_Unit!$A$2:$N$78,7,FALSE),"")</x:f>
        <x:v>25</x:v>
      </x:c>
      <x:c r="AB1080" s="32" t="n">
        <x:f>IF(OR(N1080="",AA1080=""),"",N1080-AA1080)</x:f>
        <x:v>4.999999999999133</x:v>
      </x:c>
      <x:c r="AC1080" s="20" t="n">
        <x:f>IF(OR(N1080="",AA1080="",AA1080=0),"",AB1080/AA1080)</x:f>
        <x:v>0.19999999999996532</x:v>
      </x:c>
      <x:c r="AD1080" t="str">
        <x:f>IF(AA1080="","NO STANDARD",IF(AC1080&lt;=Config_Status!$B$2,"EFFICIENT",IF(AC1080&lt;=Config_Status!$B$3,"NORMAL",IF(AC1080&lt;=Config_Status!$B$4,"WARNING","OVER CONSUMPTION"))))</x:f>
        <x:v>WARNING</x:v>
      </x:c>
      <x:c r="AE1080" t="str">
        <x:f>IFERROR(VLOOKUP(G1080,Master_Unit!$A$2:$N$78,13,FALSE),"UNIT NOT FOUND")</x:f>
        <x:v>Matched</x:v>
      </x:c>
    </x:row>
    <x:row r="1081">
      <x:c r="A1081" s="12" t="str">
        <x:v>FU-20260616-01080</x:v>
      </x:c>
      <x:c r="B1081" s="12" t="n">
        <x:v>1210</x:v>
      </x:c>
      <x:c r="C1081" s="14" t="n">
        <x:v>46189</x:v>
      </x:c>
      <x:c r="D1081" s="12" t="str">
        <x:v>Selasa</x:v>
      </x:c>
      <x:c r="E1081" s="12" t="str">
        <x:v>18:40:00</x:v>
      </x:c>
      <x:c r="F1081" s="12" t="str">
        <x:v>All Shift Night</x:v>
      </x:c>
      <x:c r="G1081" s="12" t="str">
        <x:v>EXVV21G036</x:v>
      </x:c>
      <x:c r="H1081" s="12" t="str">
        <x:v>Excavator</x:v>
      </x:c>
      <x:c r="I1081" s="12" t="str">
        <x:v>EXCAVATOR VOLVO EC210D</x:v>
      </x:c>
      <x:c r="J1081" s="16" t="n">
        <x:v>140</x:v>
      </x:c>
      <x:c r="K1081" s="16" t="n">
        <x:v>7653</x:v>
      </x:c>
      <x:c r="L1081" s="16" t="n">
        <x:v>7659.8</x:v>
      </x:c>
      <x:c r="M1081" s="16" t="n">
        <x:v>6.800000000000182</x:v>
      </x:c>
      <x:c r="N1081" s="16" t="n">
        <x:v>20.588235294117098</x:v>
      </x:c>
      <x:c r="O1081" s="12" t="str">
        <x:v>FTRL44G005</x:v>
      </x:c>
      <x:c r="P1081" s="12" t="str">
        <x:v>EXVV21G036</x:v>
      </x:c>
      <x:c r="Q1081" s="12" t="str"/>
      <x:c r="R1081" s="12" t="str"/>
      <x:c r="S1081" s="12" t="str"/>
      <x:c r="T1081" s="12" t="str">
        <x:v>ABM</x:v>
      </x:c>
      <x:c r="U1081" s="12" t="str"/>
      <x:c r="V1081" s="12" t="str"/>
      <x:c r="W1081" s="12" t="str"/>
      <x:c r="X1081" s="12" t="str">
        <x:v>EXVV21</x:v>
      </x:c>
      <x:c r="Y1081" s="12" t="str">
        <x:v>FANGKI &amp; ACUNG</x:v>
      </x:c>
      <x:c r="Z1081" s="12" t="str">
        <x:v>PIT</x:v>
      </x:c>
      <x:c r="AA1081" s="32" t="n">
        <x:f>IFERROR(VLOOKUP(G1081,Master_Unit!$A$2:$N$78,7,FALSE),"")</x:f>
        <x:v>20</x:v>
      </x:c>
      <x:c r="AB1081" s="32" t="n">
        <x:f>IF(OR(N1081="",AA1081=""),"",N1081-AA1081)</x:f>
        <x:v>0.5882352941170979</x:v>
      </x:c>
      <x:c r="AC1081" s="20" t="n">
        <x:f>IF(OR(N1081="",AA1081="",AA1081=0),"",AB1081/AA1081)</x:f>
        <x:v>0.029411764705854892</x:v>
      </x:c>
      <x:c r="AD1081" t="str">
        <x:f>IF(AA1081="","NO STANDARD",IF(AC1081&lt;=Config_Status!$B$2,"EFFICIENT",IF(AC1081&lt;=Config_Status!$B$3,"NORMAL",IF(AC1081&lt;=Config_Status!$B$4,"WARNING","OVER CONSUMPTION"))))</x:f>
        <x:v>NORMAL</x:v>
      </x:c>
      <x:c r="AE1081" t="str">
        <x:f>IFERROR(VLOOKUP(G1081,Master_Unit!$A$2:$N$78,13,FALSE),"UNIT NOT FOUND")</x:f>
        <x:v>Matched</x:v>
      </x:c>
    </x:row>
    <x:row r="1082">
      <x:c r="A1082" s="12" t="str">
        <x:v>FU-20260616-01081</x:v>
      </x:c>
      <x:c r="B1082" s="12" t="n">
        <x:v>1211</x:v>
      </x:c>
      <x:c r="C1082" s="14" t="n">
        <x:v>46189</x:v>
      </x:c>
      <x:c r="D1082" s="12" t="str">
        <x:v>Selasa</x:v>
      </x:c>
      <x:c r="E1082" s="12" t="str">
        <x:v>19:21:00</x:v>
      </x:c>
      <x:c r="F1082" s="12" t="str">
        <x:v>All Shift Night</x:v>
      </x:c>
      <x:c r="G1082" s="12" t="str">
        <x:v>EXVV21G038</x:v>
      </x:c>
      <x:c r="H1082" s="12" t="str">
        <x:v>Excavator</x:v>
      </x:c>
      <x:c r="I1082" s="12" t="str">
        <x:v>EXCAVATOR VOLVO EC210D</x:v>
      </x:c>
      <x:c r="J1082" s="16" t="n">
        <x:v>132</x:v>
      </x:c>
      <x:c r="K1082" s="16" t="n">
        <x:v>4289.8</x:v>
      </x:c>
      <x:c r="L1082" s="16" t="n">
        <x:v>4307.9</x:v>
      </x:c>
      <x:c r="M1082" s="16" t="n">
        <x:v>18.099999999999454</x:v>
      </x:c>
      <x:c r="N1082" s="16" t="n">
        <x:v>7.292817679558231</x:v>
      </x:c>
      <x:c r="O1082" s="12" t="str">
        <x:v>FTRL44G005</x:v>
      </x:c>
      <x:c r="P1082" s="12" t="str">
        <x:v>EXVV21G038</x:v>
      </x:c>
      <x:c r="Q1082" s="12" t="str"/>
      <x:c r="R1082" s="12" t="str"/>
      <x:c r="S1082" s="12" t="str"/>
      <x:c r="T1082" s="12" t="str">
        <x:v>ABM</x:v>
      </x:c>
      <x:c r="U1082" s="12" t="str"/>
      <x:c r="V1082" s="12" t="str"/>
      <x:c r="W1082" s="12" t="str"/>
      <x:c r="X1082" s="12" t="str">
        <x:v>EXVV21</x:v>
      </x:c>
      <x:c r="Y1082" s="12" t="str">
        <x:v>FANGKI &amp; ACUNG</x:v>
      </x:c>
      <x:c r="Z1082" s="12" t="str">
        <x:v>SUPPORT</x:v>
      </x:c>
      <x:c r="AA1082" s="32" t="n">
        <x:f>IFERROR(VLOOKUP(G1082,Master_Unit!$A$2:$N$78,7,FALSE),"")</x:f>
        <x:v>20</x:v>
      </x:c>
      <x:c r="AB1082" s="32" t="n">
        <x:f>IF(OR(N1082="",AA1082=""),"",N1082-AA1082)</x:f>
        <x:v>-12.707182320441769</x:v>
      </x:c>
      <x:c r="AC1082" s="20" t="n">
        <x:f>IF(OR(N1082="",AA1082="",AA1082=0),"",AB1082/AA1082)</x:f>
        <x:v>-0.6353591160220884</x:v>
      </x:c>
      <x:c r="AD1082" t="str">
        <x:f>IF(AA1082="","NO STANDARD",IF(AC1082&lt;=Config_Status!$B$2,"EFFICIENT",IF(AC1082&lt;=Config_Status!$B$3,"NORMAL",IF(AC1082&lt;=Config_Status!$B$4,"WARNING","OVER CONSUMPTION"))))</x:f>
        <x:v>EFFICIENT</x:v>
      </x:c>
      <x:c r="AE1082" t="str">
        <x:f>IFERROR(VLOOKUP(G1082,Master_Unit!$A$2:$N$78,13,FALSE),"UNIT NOT FOUND")</x:f>
        <x:v>Matched</x:v>
      </x:c>
    </x:row>
    <x:row r="1083">
      <x:c r="A1083" s="12" t="str">
        <x:v>FU-20260616-01082</x:v>
      </x:c>
      <x:c r="B1083" s="12" t="n">
        <x:v>1212</x:v>
      </x:c>
      <x:c r="C1083" s="14" t="n">
        <x:v>46189</x:v>
      </x:c>
      <x:c r="D1083" s="12" t="str">
        <x:v>Selasa</x:v>
      </x:c>
      <x:c r="E1083" s="12" t="str">
        <x:v>19:23:00</x:v>
      </x:c>
      <x:c r="F1083" s="12" t="str">
        <x:v>All Shift Night</x:v>
      </x:c>
      <x:c r="G1083" s="12" t="str">
        <x:v>EXVV21G041</x:v>
      </x:c>
      <x:c r="H1083" s="12" t="str">
        <x:v>Excavator</x:v>
      </x:c>
      <x:c r="I1083" s="12" t="str">
        <x:v>EXCAVATOR VOLVO EC210D</x:v>
      </x:c>
      <x:c r="J1083" s="16" t="n">
        <x:v>132</x:v>
      </x:c>
      <x:c r="K1083" s="16" t="n">
        <x:v>4604.4</x:v>
      </x:c>
      <x:c r="L1083" s="16" t="n">
        <x:v>4609.7</x:v>
      </x:c>
      <x:c r="M1083" s="16" t="n">
        <x:v>5.300000000000182</x:v>
      </x:c>
      <x:c r="N1083" s="16" t="n">
        <x:v>24.905660377357634</x:v>
      </x:c>
      <x:c r="O1083" s="12" t="str">
        <x:v>FTRL44G005</x:v>
      </x:c>
      <x:c r="P1083" s="12" t="str">
        <x:v>EXVV21G041</x:v>
      </x:c>
      <x:c r="Q1083" s="12" t="str"/>
      <x:c r="R1083" s="12" t="str"/>
      <x:c r="S1083" s="12" t="str"/>
      <x:c r="T1083" s="12" t="str">
        <x:v>ABM</x:v>
      </x:c>
      <x:c r="U1083" s="12" t="str"/>
      <x:c r="V1083" s="12" t="str"/>
      <x:c r="W1083" s="12" t="str"/>
      <x:c r="X1083" s="12" t="str">
        <x:v>EXVV21</x:v>
      </x:c>
      <x:c r="Y1083" s="12" t="str">
        <x:v>FANGKI &amp; ACUNG</x:v>
      </x:c>
      <x:c r="Z1083" s="12" t="str">
        <x:v>PIT</x:v>
      </x:c>
      <x:c r="AA1083" s="32" t="n">
        <x:f>IFERROR(VLOOKUP(G1083,Master_Unit!$A$2:$N$78,7,FALSE),"")</x:f>
        <x:v>20</x:v>
      </x:c>
      <x:c r="AB1083" s="32" t="n">
        <x:f>IF(OR(N1083="",AA1083=""),"",N1083-AA1083)</x:f>
        <x:v>4.905660377357634</x:v>
      </x:c>
      <x:c r="AC1083" s="20" t="n">
        <x:f>IF(OR(N1083="",AA1083="",AA1083=0),"",AB1083/AA1083)</x:f>
        <x:v>0.2452830188678817</x:v>
      </x:c>
      <x:c r="AD1083" t="str">
        <x:f>IF(AA1083="","NO STANDARD",IF(AC1083&lt;=Config_Status!$B$2,"EFFICIENT",IF(AC1083&lt;=Config_Status!$B$3,"NORMAL",IF(AC1083&lt;=Config_Status!$B$4,"WARNING","OVER CONSUMPTION"))))</x:f>
        <x:v>OVER CONSUMPTION</x:v>
      </x:c>
      <x:c r="AE1083" t="str">
        <x:f>IFERROR(VLOOKUP(G1083,Master_Unit!$A$2:$N$78,13,FALSE),"UNIT NOT FOUND")</x:f>
        <x:v>Matched</x:v>
      </x:c>
    </x:row>
    <x:row r="1084">
      <x:c r="A1084" s="12" t="str">
        <x:v>FU-20260616-01083</x:v>
      </x:c>
      <x:c r="B1084" s="12" t="n">
        <x:v>1213</x:v>
      </x:c>
      <x:c r="C1084" s="14" t="n">
        <x:v>46189</x:v>
      </x:c>
      <x:c r="D1084" s="12" t="str">
        <x:v>Selasa</x:v>
      </x:c>
      <x:c r="E1084" s="12" t="str">
        <x:v>19:41:00</x:v>
      </x:c>
      <x:c r="F1084" s="12" t="str">
        <x:v>All Shift Night</x:v>
      </x:c>
      <x:c r="G1084" s="12" t="str">
        <x:v>FTRL44G005</x:v>
      </x:c>
      <x:c r="H1084" s="12" t="str">
        <x:v>Fuel Truck</x:v>
      </x:c>
      <x:c r="I1084" s="12" t="str">
        <x:v>FUEL TRUCK RENAULT KRANGE440-P6X4 A/T</x:v>
      </x:c>
      <x:c r="J1084" s="16" t="n">
        <x:v>66</x:v>
      </x:c>
      <x:c r="K1084" s="16" t="n">
        <x:v>3694</x:v>
      </x:c>
      <x:c r="L1084" s="16" t="n">
        <x:v>3706</x:v>
      </x:c>
      <x:c r="M1084" s="16" t="n">
        <x:v>12</x:v>
      </x:c>
      <x:c r="N1084" s="16" t="n">
        <x:v>5.5</x:v>
      </x:c>
      <x:c r="O1084" s="12" t="str">
        <x:v>FTRL44G005</x:v>
      </x:c>
      <x:c r="P1084" s="12" t="str">
        <x:v>FTRL44G005</x:v>
      </x:c>
      <x:c r="Q1084" s="12" t="str"/>
      <x:c r="R1084" s="12" t="str"/>
      <x:c r="S1084" s="12" t="str"/>
      <x:c r="T1084" s="12" t="str">
        <x:v>ABM</x:v>
      </x:c>
      <x:c r="U1084" s="12" t="str"/>
      <x:c r="V1084" s="12" t="str"/>
      <x:c r="W1084" s="12" t="str"/>
      <x:c r="X1084" s="12" t="str">
        <x:v>FTRL44</x:v>
      </x:c>
      <x:c r="Y1084" s="12" t="str">
        <x:v>FANGKI &amp; ACUNG</x:v>
      </x:c>
      <x:c r="Z1084" s="12" t="str">
        <x:v>PIT</x:v>
      </x:c>
      <x:c r="AA1084" s="32" t="n">
        <x:f>IFERROR(VLOOKUP(G1084,Master_Unit!$A$2:$N$78,7,FALSE),"")</x:f>
        <x:v>13</x:v>
      </x:c>
      <x:c r="AB1084" s="32" t="n">
        <x:f>IF(OR(N1084="",AA1084=""),"",N1084-AA1084)</x:f>
        <x:v>-7.5</x:v>
      </x:c>
      <x:c r="AC1084" s="20" t="n">
        <x:f>IF(OR(N1084="",AA1084="",AA1084=0),"",AB1084/AA1084)</x:f>
        <x:v>-0.5769230769230769</x:v>
      </x:c>
      <x:c r="AD1084" t="str">
        <x:f>IF(AA1084="","NO STANDARD",IF(AC1084&lt;=Config_Status!$B$2,"EFFICIENT",IF(AC1084&lt;=Config_Status!$B$3,"NORMAL",IF(AC1084&lt;=Config_Status!$B$4,"WARNING","OVER CONSUMPTION"))))</x:f>
        <x:v>EFFICIENT</x:v>
      </x:c>
      <x:c r="AE1084" t="str">
        <x:f>IFERROR(VLOOKUP(G1084,Master_Unit!$A$2:$N$78,13,FALSE),"UNIT NOT FOUND")</x:f>
        <x:v>Matched</x:v>
      </x:c>
    </x:row>
    <x:row r="1085">
      <x:c r="A1085" s="12" t="str">
        <x:v>FU-20260616-01084</x:v>
      </x:c>
      <x:c r="B1085" s="12" t="n">
        <x:v>1214</x:v>
      </x:c>
      <x:c r="C1085" s="14" t="n">
        <x:v>46189</x:v>
      </x:c>
      <x:c r="D1085" s="12" t="str">
        <x:v>Selasa</x:v>
      </x:c>
      <x:c r="E1085" s="12" t="str">
        <x:v>19:52:00</x:v>
      </x:c>
      <x:c r="F1085" s="12" t="str">
        <x:v>All Shift Night</x:v>
      </x:c>
      <x:c r="G1085" s="12" t="str">
        <x:v>STRL44G144</x:v>
      </x:c>
      <x:c r="H1085" s="12" t="str">
        <x:v>Dump Truck</x:v>
      </x:c>
      <x:c r="I1085" s="12" t="str">
        <x:v>DUMP TRUCK RENAULT KRANGE440-P6X4 A/T</x:v>
      </x:c>
      <x:c r="J1085" s="16" t="n">
        <x:v>114</x:v>
      </x:c>
      <x:c r="K1085" s="16" t="n">
        <x:v>1604</x:v>
      </x:c>
      <x:c r="L1085" s="16" t="n">
        <x:v>1610</x:v>
      </x:c>
      <x:c r="M1085" s="16" t="n">
        <x:v>6</x:v>
      </x:c>
      <x:c r="N1085" s="16" t="n">
        <x:v>19</x:v>
      </x:c>
      <x:c r="O1085" s="12" t="str">
        <x:v>FTRL44G005</x:v>
      </x:c>
      <x:c r="P1085" s="12" t="str">
        <x:v>STRL44G144</x:v>
      </x:c>
      <x:c r="Q1085" s="12" t="str"/>
      <x:c r="R1085" s="12" t="str"/>
      <x:c r="S1085" s="12" t="str"/>
      <x:c r="T1085" s="12" t="str">
        <x:v>ABM</x:v>
      </x:c>
      <x:c r="U1085" s="12" t="str"/>
      <x:c r="V1085" s="12" t="str"/>
      <x:c r="W1085" s="12" t="str"/>
      <x:c r="X1085" s="12" t="str">
        <x:v>STRL44</x:v>
      </x:c>
      <x:c r="Y1085" s="12" t="str">
        <x:v>FANGKI &amp; ACUNG</x:v>
      </x:c>
      <x:c r="Z1085" s="12" t="str">
        <x:v>PIT</x:v>
      </x:c>
      <x:c r="AA1085" s="32" t="n">
        <x:f>IFERROR(VLOOKUP(G1085,Master_Unit!$A$2:$N$78,7,FALSE),"")</x:f>
        <x:v>20</x:v>
      </x:c>
      <x:c r="AB1085" s="32" t="n">
        <x:f>IF(OR(N1085="",AA1085=""),"",N1085-AA1085)</x:f>
        <x:v>-1</x:v>
      </x:c>
      <x:c r="AC1085" s="20" t="n">
        <x:f>IF(OR(N1085="",AA1085="",AA1085=0),"",AB1085/AA1085)</x:f>
        <x:v>-0.05</x:v>
      </x:c>
      <x:c r="AD1085" t="str">
        <x:f>IF(AA1085="","NO STANDARD",IF(AC1085&lt;=Config_Status!$B$2,"EFFICIENT",IF(AC1085&lt;=Config_Status!$B$3,"NORMAL",IF(AC1085&lt;=Config_Status!$B$4,"WARNING","OVER CONSUMPTION"))))</x:f>
        <x:v>NORMAL</x:v>
      </x:c>
      <x:c r="AE1085" t="str">
        <x:f>IFERROR(VLOOKUP(G1085,Master_Unit!$A$2:$N$78,13,FALSE),"UNIT NOT FOUND")</x:f>
        <x:v>Matched</x:v>
      </x:c>
    </x:row>
    <x:row r="1086">
      <x:c r="A1086" s="12" t="str">
        <x:v>FU-20260616-01085</x:v>
      </x:c>
      <x:c r="B1086" s="12" t="n">
        <x:v>1215</x:v>
      </x:c>
      <x:c r="C1086" s="14" t="n">
        <x:v>46189</x:v>
      </x:c>
      <x:c r="D1086" s="12" t="str">
        <x:v>Selasa</x:v>
      </x:c>
      <x:c r="E1086" s="12" t="str">
        <x:v>19:59:00</x:v>
      </x:c>
      <x:c r="F1086" s="12" t="str">
        <x:v>All Shift Night</x:v>
      </x:c>
      <x:c r="G1086" s="12" t="str">
        <x:v>STRL44G147</x:v>
      </x:c>
      <x:c r="H1086" s="12" t="str">
        <x:v>Dump Truck</x:v>
      </x:c>
      <x:c r="I1086" s="12" t="str">
        <x:v>DUMP TRUCK RENAULT KRANGE440-P6X4 A/T</x:v>
      </x:c>
      <x:c r="J1086" s="16" t="n">
        <x:v>135</x:v>
      </x:c>
      <x:c r="K1086" s="16" t="n">
        <x:v>5093</x:v>
      </x:c>
      <x:c r="L1086" s="16" t="n">
        <x:v>5098</x:v>
      </x:c>
      <x:c r="M1086" s="16" t="n">
        <x:v>5</x:v>
      </x:c>
      <x:c r="N1086" s="16" t="n">
        <x:v>27</x:v>
      </x:c>
      <x:c r="O1086" s="12" t="str">
        <x:v>FTRL44G005</x:v>
      </x:c>
      <x:c r="P1086" s="12" t="str">
        <x:v>STRL44G147</x:v>
      </x:c>
      <x:c r="Q1086" s="12" t="str"/>
      <x:c r="R1086" s="12" t="str"/>
      <x:c r="S1086" s="12" t="str"/>
      <x:c r="T1086" s="12" t="str">
        <x:v>ABM</x:v>
      </x:c>
      <x:c r="U1086" s="12" t="str"/>
      <x:c r="V1086" s="12" t="str"/>
      <x:c r="W1086" s="12" t="str"/>
      <x:c r="X1086" s="12" t="str">
        <x:v>STRL44</x:v>
      </x:c>
      <x:c r="Y1086" s="12" t="str">
        <x:v>FANGKI &amp; ACUNG</x:v>
      </x:c>
      <x:c r="Z1086" s="12" t="str">
        <x:v>PIT</x:v>
      </x:c>
      <x:c r="AA1086" s="32" t="n">
        <x:f>IFERROR(VLOOKUP(G1086,Master_Unit!$A$2:$N$78,7,FALSE),"")</x:f>
        <x:v>20</x:v>
      </x:c>
      <x:c r="AB1086" s="32" t="n">
        <x:f>IF(OR(N1086="",AA1086=""),"",N1086-AA1086)</x:f>
        <x:v>7</x:v>
      </x:c>
      <x:c r="AC1086" s="20" t="n">
        <x:f>IF(OR(N1086="",AA1086="",AA1086=0),"",AB1086/AA1086)</x:f>
        <x:v>0.35</x:v>
      </x:c>
      <x:c r="AD1086" t="str">
        <x:f>IF(AA1086="","NO STANDARD",IF(AC1086&lt;=Config_Status!$B$2,"EFFICIENT",IF(AC1086&lt;=Config_Status!$B$3,"NORMAL",IF(AC1086&lt;=Config_Status!$B$4,"WARNING","OVER CONSUMPTION"))))</x:f>
        <x:v>OVER CONSUMPTION</x:v>
      </x:c>
      <x:c r="AE1086" t="str">
        <x:f>IFERROR(VLOOKUP(G1086,Master_Unit!$A$2:$N$78,13,FALSE),"UNIT NOT FOUND")</x:f>
        <x:v>Matched</x:v>
      </x:c>
    </x:row>
    <x:row r="1087">
      <x:c r="A1087" s="12" t="str">
        <x:v>FU-20260616-01086</x:v>
      </x:c>
      <x:c r="B1087" s="12" t="n">
        <x:v>1216</x:v>
      </x:c>
      <x:c r="C1087" s="14" t="n">
        <x:v>46189</x:v>
      </x:c>
      <x:c r="D1087" s="12" t="str">
        <x:v>Selasa</x:v>
      </x:c>
      <x:c r="E1087" s="12" t="str">
        <x:v>20:06:00</x:v>
      </x:c>
      <x:c r="F1087" s="12" t="str">
        <x:v>All Shift Night</x:v>
      </x:c>
      <x:c r="G1087" s="12" t="str">
        <x:v>STRL44G149</x:v>
      </x:c>
      <x:c r="H1087" s="12" t="str">
        <x:v>Dump Truck</x:v>
      </x:c>
      <x:c r="I1087" s="12" t="str">
        <x:v>DUMP TRUCK RENAULT KRANGE440-P6X4 A/T</x:v>
      </x:c>
      <x:c r="J1087" s="16" t="n">
        <x:v>135</x:v>
      </x:c>
      <x:c r="K1087" s="16" t="n">
        <x:v>4366</x:v>
      </x:c>
      <x:c r="L1087" s="16" t="n">
        <x:v>4379</x:v>
      </x:c>
      <x:c r="M1087" s="16" t="n">
        <x:v>13</x:v>
      </x:c>
      <x:c r="N1087" s="16" t="n">
        <x:v>10.384615384615385</x:v>
      </x:c>
      <x:c r="O1087" s="12" t="str">
        <x:v>FTRL44G005</x:v>
      </x:c>
      <x:c r="P1087" s="12" t="str">
        <x:v>STRL44G149</x:v>
      </x:c>
      <x:c r="Q1087" s="12" t="str"/>
      <x:c r="R1087" s="12" t="str"/>
      <x:c r="S1087" s="12" t="str"/>
      <x:c r="T1087" s="12" t="str">
        <x:v>ABM</x:v>
      </x:c>
      <x:c r="U1087" s="12" t="str"/>
      <x:c r="V1087" s="12" t="str"/>
      <x:c r="W1087" s="12" t="str"/>
      <x:c r="X1087" s="12" t="str">
        <x:v>STRL44</x:v>
      </x:c>
      <x:c r="Y1087" s="12" t="str">
        <x:v>FANGKI &amp; ACUNG</x:v>
      </x:c>
      <x:c r="Z1087" s="12" t="str">
        <x:v>PIT</x:v>
      </x:c>
      <x:c r="AA1087" s="32" t="n">
        <x:f>IFERROR(VLOOKUP(G1087,Master_Unit!$A$2:$N$78,7,FALSE),"")</x:f>
        <x:v>20</x:v>
      </x:c>
      <x:c r="AB1087" s="32" t="n">
        <x:f>IF(OR(N1087="",AA1087=""),"",N1087-AA1087)</x:f>
        <x:v>-9.615384615384615</x:v>
      </x:c>
      <x:c r="AC1087" s="20" t="n">
        <x:f>IF(OR(N1087="",AA1087="",AA1087=0),"",AB1087/AA1087)</x:f>
        <x:v>-0.4807692307692307</x:v>
      </x:c>
      <x:c r="AD1087" t="str">
        <x:f>IF(AA1087="","NO STANDARD",IF(AC1087&lt;=Config_Status!$B$2,"EFFICIENT",IF(AC1087&lt;=Config_Status!$B$3,"NORMAL",IF(AC1087&lt;=Config_Status!$B$4,"WARNING","OVER CONSUMPTION"))))</x:f>
        <x:v>EFFICIENT</x:v>
      </x:c>
      <x:c r="AE1087" t="str">
        <x:f>IFERROR(VLOOKUP(G1087,Master_Unit!$A$2:$N$78,13,FALSE),"UNIT NOT FOUND")</x:f>
        <x:v>Matched</x:v>
      </x:c>
    </x:row>
    <x:row r="1088">
      <x:c r="A1088" s="12" t="str">
        <x:v>FU-20260616-01087</x:v>
      </x:c>
      <x:c r="B1088" s="12" t="n">
        <x:v>1217</x:v>
      </x:c>
      <x:c r="C1088" s="14" t="n">
        <x:v>46189</x:v>
      </x:c>
      <x:c r="D1088" s="12" t="str">
        <x:v>Selasa</x:v>
      </x:c>
      <x:c r="E1088" s="12" t="str">
        <x:v>20:10:00</x:v>
      </x:c>
      <x:c r="F1088" s="12" t="str">
        <x:v>All Shift Night</x:v>
      </x:c>
      <x:c r="G1088" s="12" t="str">
        <x:v>STRL44G151</x:v>
      </x:c>
      <x:c r="H1088" s="12" t="str">
        <x:v>Dump Truck</x:v>
      </x:c>
      <x:c r="I1088" s="12" t="str">
        <x:v>DUMP TRUCK RENAULT KRANGE440-P6X4 A/T</x:v>
      </x:c>
      <x:c r="J1088" s="16" t="n">
        <x:v>35</x:v>
      </x:c>
      <x:c r="K1088" s="16" t="n">
        <x:v>4445</x:v>
      </x:c>
      <x:c r="L1088" s="16" t="n">
        <x:v>4448</x:v>
      </x:c>
      <x:c r="M1088" s="16" t="n">
        <x:v>3</x:v>
      </x:c>
      <x:c r="N1088" s="16" t="n">
        <x:v>11.666666666666666</x:v>
      </x:c>
      <x:c r="O1088" s="12" t="str">
        <x:v>FTRL44G005</x:v>
      </x:c>
      <x:c r="P1088" s="12" t="str">
        <x:v>STRL44G151</x:v>
      </x:c>
      <x:c r="Q1088" s="12" t="str"/>
      <x:c r="R1088" s="12" t="str"/>
      <x:c r="S1088" s="12" t="str"/>
      <x:c r="T1088" s="12" t="str">
        <x:v>ABM</x:v>
      </x:c>
      <x:c r="U1088" s="12" t="str"/>
      <x:c r="V1088" s="12" t="str"/>
      <x:c r="W1088" s="12" t="str"/>
      <x:c r="X1088" s="12" t="str">
        <x:v>STRL44</x:v>
      </x:c>
      <x:c r="Y1088" s="12" t="str">
        <x:v>FANGKI &amp; ACUNG</x:v>
      </x:c>
      <x:c r="Z1088" s="12" t="str">
        <x:v>PIT</x:v>
      </x:c>
      <x:c r="AA1088" s="32" t="n">
        <x:f>IFERROR(VLOOKUP(G1088,Master_Unit!$A$2:$N$78,7,FALSE),"")</x:f>
        <x:v>20</x:v>
      </x:c>
      <x:c r="AB1088" s="32" t="n">
        <x:f>IF(OR(N1088="",AA1088=""),"",N1088-AA1088)</x:f>
        <x:v>-8.333333333333334</x:v>
      </x:c>
      <x:c r="AC1088" s="20" t="n">
        <x:f>IF(OR(N1088="",AA1088="",AA1088=0),"",AB1088/AA1088)</x:f>
        <x:v>-0.4166666666666667</x:v>
      </x:c>
      <x:c r="AD1088" t="str">
        <x:f>IF(AA1088="","NO STANDARD",IF(AC1088&lt;=Config_Status!$B$2,"EFFICIENT",IF(AC1088&lt;=Config_Status!$B$3,"NORMAL",IF(AC1088&lt;=Config_Status!$B$4,"WARNING","OVER CONSUMPTION"))))</x:f>
        <x:v>EFFICIENT</x:v>
      </x:c>
      <x:c r="AE1088" t="str">
        <x:f>IFERROR(VLOOKUP(G1088,Master_Unit!$A$2:$N$78,13,FALSE),"UNIT NOT FOUND")</x:f>
        <x:v>Matched</x:v>
      </x:c>
    </x:row>
    <x:row r="1089">
      <x:c r="A1089" s="12" t="str">
        <x:v>FU-20260616-01088</x:v>
      </x:c>
      <x:c r="B1089" s="12" t="n">
        <x:v>1218</x:v>
      </x:c>
      <x:c r="C1089" s="14" t="n">
        <x:v>46189</x:v>
      </x:c>
      <x:c r="D1089" s="12" t="str">
        <x:v>Selasa</x:v>
      </x:c>
      <x:c r="E1089" s="12" t="str">
        <x:v>20:20:00</x:v>
      </x:c>
      <x:c r="F1089" s="12" t="str">
        <x:v>All Shift Night</x:v>
      </x:c>
      <x:c r="G1089" s="12" t="str">
        <x:v>STRL44G146</x:v>
      </x:c>
      <x:c r="H1089" s="12" t="str">
        <x:v>Dump Truck</x:v>
      </x:c>
      <x:c r="I1089" s="12" t="str">
        <x:v>DUMP TRUCK RENAULT KRANGE440-P6X4 A/T</x:v>
      </x:c>
      <x:c r="J1089" s="16" t="n">
        <x:v>85</x:v>
      </x:c>
      <x:c r="K1089" s="16" t="n">
        <x:v>5017</x:v>
      </x:c>
      <x:c r="L1089" s="16" t="n">
        <x:v>5021</x:v>
      </x:c>
      <x:c r="M1089" s="16" t="n">
        <x:v>4</x:v>
      </x:c>
      <x:c r="N1089" s="16" t="n">
        <x:v>21.25</x:v>
      </x:c>
      <x:c r="O1089" s="12" t="str">
        <x:v>FTRL44G005</x:v>
      </x:c>
      <x:c r="P1089" s="12" t="str">
        <x:v>STRL44G146</x:v>
      </x:c>
      <x:c r="Q1089" s="12" t="str"/>
      <x:c r="R1089" s="12" t="str"/>
      <x:c r="S1089" s="12" t="str"/>
      <x:c r="T1089" s="12" t="str">
        <x:v>ABM</x:v>
      </x:c>
      <x:c r="U1089" s="12" t="str"/>
      <x:c r="V1089" s="12" t="str"/>
      <x:c r="W1089" s="12" t="str"/>
      <x:c r="X1089" s="12" t="str">
        <x:v>STRL44</x:v>
      </x:c>
      <x:c r="Y1089" s="12" t="str">
        <x:v>FANGKI &amp; ACUNG</x:v>
      </x:c>
      <x:c r="Z1089" s="12" t="str">
        <x:v>PIT</x:v>
      </x:c>
      <x:c r="AA1089" s="32" t="n">
        <x:f>IFERROR(VLOOKUP(G1089,Master_Unit!$A$2:$N$78,7,FALSE),"")</x:f>
        <x:v>20</x:v>
      </x:c>
      <x:c r="AB1089" s="32" t="n">
        <x:f>IF(OR(N1089="",AA1089=""),"",N1089-AA1089)</x:f>
        <x:v>1.25</x:v>
      </x:c>
      <x:c r="AC1089" s="20" t="n">
        <x:f>IF(OR(N1089="",AA1089="",AA1089=0),"",AB1089/AA1089)</x:f>
        <x:v>0.0625</x:v>
      </x:c>
      <x:c r="AD1089" t="str">
        <x:f>IF(AA1089="","NO STANDARD",IF(AC1089&lt;=Config_Status!$B$2,"EFFICIENT",IF(AC1089&lt;=Config_Status!$B$3,"NORMAL",IF(AC1089&lt;=Config_Status!$B$4,"WARNING","OVER CONSUMPTION"))))</x:f>
        <x:v>NORMAL</x:v>
      </x:c>
      <x:c r="AE1089" t="str">
        <x:f>IFERROR(VLOOKUP(G1089,Master_Unit!$A$2:$N$78,13,FALSE),"UNIT NOT FOUND")</x:f>
        <x:v>Matched</x:v>
      </x:c>
    </x:row>
    <x:row r="1090">
      <x:c r="A1090" s="12" t="str">
        <x:v>FU-20260616-01089</x:v>
      </x:c>
      <x:c r="B1090" s="12" t="n">
        <x:v>1219</x:v>
      </x:c>
      <x:c r="C1090" s="14" t="n">
        <x:v>46189</x:v>
      </x:c>
      <x:c r="D1090" s="12" t="str">
        <x:v>Selasa</x:v>
      </x:c>
      <x:c r="E1090" s="12" t="str">
        <x:v>20:26:00</x:v>
      </x:c>
      <x:c r="F1090" s="12" t="str">
        <x:v>All Shift Night</x:v>
      </x:c>
      <x:c r="G1090" s="12" t="str">
        <x:v>STRL44G155</x:v>
      </x:c>
      <x:c r="H1090" s="12" t="str">
        <x:v>Dump Truck</x:v>
      </x:c>
      <x:c r="I1090" s="12" t="str">
        <x:v>DUMP TRUCK RENAULT KRANGE440-P6X4 A/T</x:v>
      </x:c>
      <x:c r="J1090" s="16" t="n">
        <x:v>104</x:v>
      </x:c>
      <x:c r="K1090" s="16" t="n">
        <x:v>4042</x:v>
      </x:c>
      <x:c r="L1090" s="16" t="n">
        <x:v>4048</x:v>
      </x:c>
      <x:c r="M1090" s="16" t="n">
        <x:v>6</x:v>
      </x:c>
      <x:c r="N1090" s="16" t="n">
        <x:v>17.333333333333332</x:v>
      </x:c>
      <x:c r="O1090" s="12" t="str">
        <x:v>FTRL44G005</x:v>
      </x:c>
      <x:c r="P1090" s="12" t="str">
        <x:v>STRL44G155</x:v>
      </x:c>
      <x:c r="Q1090" s="12" t="str"/>
      <x:c r="R1090" s="12" t="str"/>
      <x:c r="S1090" s="12" t="str"/>
      <x:c r="T1090" s="12" t="str">
        <x:v>ABM</x:v>
      </x:c>
      <x:c r="U1090" s="12" t="str"/>
      <x:c r="V1090" s="12" t="str"/>
      <x:c r="W1090" s="12" t="str"/>
      <x:c r="X1090" s="12" t="str">
        <x:v>STRL44</x:v>
      </x:c>
      <x:c r="Y1090" s="12" t="str">
        <x:v>FANGKI &amp; ACUNG</x:v>
      </x:c>
      <x:c r="Z1090" s="12" t="str">
        <x:v>PIT</x:v>
      </x:c>
      <x:c r="AA1090" s="32" t="n">
        <x:f>IFERROR(VLOOKUP(G1090,Master_Unit!$A$2:$N$78,7,FALSE),"")</x:f>
        <x:v>20</x:v>
      </x:c>
      <x:c r="AB1090" s="32" t="n">
        <x:f>IF(OR(N1090="",AA1090=""),"",N1090-AA1090)</x:f>
        <x:v>-2.666666666666668</x:v>
      </x:c>
      <x:c r="AC1090" s="20" t="n">
        <x:f>IF(OR(N1090="",AA1090="",AA1090=0),"",AB1090/AA1090)</x:f>
        <x:v>-0.1333333333333334</x:v>
      </x:c>
      <x:c r="AD1090" t="str">
        <x:f>IF(AA1090="","NO STANDARD",IF(AC1090&lt;=Config_Status!$B$2,"EFFICIENT",IF(AC1090&lt;=Config_Status!$B$3,"NORMAL",IF(AC1090&lt;=Config_Status!$B$4,"WARNING","OVER CONSUMPTION"))))</x:f>
        <x:v>EFFICIENT</x:v>
      </x:c>
      <x:c r="AE1090" t="str">
        <x:f>IFERROR(VLOOKUP(G1090,Master_Unit!$A$2:$N$78,13,FALSE),"UNIT NOT FOUND")</x:f>
        <x:v>Matched</x:v>
      </x:c>
    </x:row>
    <x:row r="1091">
      <x:c r="A1091" s="12" t="str">
        <x:v>FU-20260616-01090</x:v>
      </x:c>
      <x:c r="B1091" s="12" t="n">
        <x:v>1220</x:v>
      </x:c>
      <x:c r="C1091" s="14" t="n">
        <x:v>46189</x:v>
      </x:c>
      <x:c r="D1091" s="12" t="str">
        <x:v>Selasa</x:v>
      </x:c>
      <x:c r="E1091" s="12" t="str">
        <x:v>20:33:00</x:v>
      </x:c>
      <x:c r="F1091" s="12" t="str">
        <x:v>All Shift Night</x:v>
      </x:c>
      <x:c r="G1091" s="12" t="str">
        <x:v>STRL44G156</x:v>
      </x:c>
      <x:c r="H1091" s="12" t="str">
        <x:v>Dump Truck</x:v>
      </x:c>
      <x:c r="I1091" s="12" t="str">
        <x:v>DUMP TRUCK RENAULT KRANGE440-P6X4 A/T</x:v>
      </x:c>
      <x:c r="J1091" s="16" t="n">
        <x:v>135</x:v>
      </x:c>
      <x:c r="K1091" s="16" t="n">
        <x:v>3852</x:v>
      </x:c>
      <x:c r="L1091" s="16" t="n">
        <x:v>3858</x:v>
      </x:c>
      <x:c r="M1091" s="16" t="n">
        <x:v>6</x:v>
      </x:c>
      <x:c r="N1091" s="16" t="n">
        <x:v>22.5</x:v>
      </x:c>
      <x:c r="O1091" s="12" t="str">
        <x:v>FTRL44G005</x:v>
      </x:c>
      <x:c r="P1091" s="12" t="str">
        <x:v>STRL44G156</x:v>
      </x:c>
      <x:c r="Q1091" s="12" t="str"/>
      <x:c r="R1091" s="12" t="str"/>
      <x:c r="S1091" s="12" t="str"/>
      <x:c r="T1091" s="12" t="str">
        <x:v>ABM</x:v>
      </x:c>
      <x:c r="U1091" s="12" t="str"/>
      <x:c r="V1091" s="12" t="str"/>
      <x:c r="W1091" s="12" t="str"/>
      <x:c r="X1091" s="12" t="str">
        <x:v>STRL44</x:v>
      </x:c>
      <x:c r="Y1091" s="12" t="str">
        <x:v>FANGKI &amp; ACUNG</x:v>
      </x:c>
      <x:c r="Z1091" s="12" t="str">
        <x:v>PIT</x:v>
      </x:c>
      <x:c r="AA1091" s="32" t="n">
        <x:f>IFERROR(VLOOKUP(G1091,Master_Unit!$A$2:$N$78,7,FALSE),"")</x:f>
        <x:v>20</x:v>
      </x:c>
      <x:c r="AB1091" s="32" t="n">
        <x:f>IF(OR(N1091="",AA1091=""),"",N1091-AA1091)</x:f>
        <x:v>2.5</x:v>
      </x:c>
      <x:c r="AC1091" s="20" t="n">
        <x:f>IF(OR(N1091="",AA1091="",AA1091=0),"",AB1091/AA1091)</x:f>
        <x:v>0.125</x:v>
      </x:c>
      <x:c r="AD1091" t="str">
        <x:f>IF(AA1091="","NO STANDARD",IF(AC1091&lt;=Config_Status!$B$2,"EFFICIENT",IF(AC1091&lt;=Config_Status!$B$3,"NORMAL",IF(AC1091&lt;=Config_Status!$B$4,"WARNING","OVER CONSUMPTION"))))</x:f>
        <x:v>WARNING</x:v>
      </x:c>
      <x:c r="AE1091" t="str">
        <x:f>IFERROR(VLOOKUP(G1091,Master_Unit!$A$2:$N$78,13,FALSE),"UNIT NOT FOUND")</x:f>
        <x:v>Matched</x:v>
      </x:c>
    </x:row>
    <x:row r="1092">
      <x:c r="A1092" s="12" t="str">
        <x:v>FU-20260616-01091</x:v>
      </x:c>
      <x:c r="B1092" s="12" t="n">
        <x:v>1221</x:v>
      </x:c>
      <x:c r="C1092" s="14" t="n">
        <x:v>46189</x:v>
      </x:c>
      <x:c r="D1092" s="12" t="str">
        <x:v>Selasa</x:v>
      </x:c>
      <x:c r="E1092" s="12" t="str">
        <x:v>20:40:00</x:v>
      </x:c>
      <x:c r="F1092" s="12" t="str">
        <x:v>All Shift Night</x:v>
      </x:c>
      <x:c r="G1092" s="12" t="str">
        <x:v>STRL44G157</x:v>
      </x:c>
      <x:c r="H1092" s="12" t="str">
        <x:v>Dump Truck</x:v>
      </x:c>
      <x:c r="I1092" s="12" t="str">
        <x:v>DUMP TRUCK RENAULT KRANGE440-P6X4 A/T</x:v>
      </x:c>
      <x:c r="J1092" s="16" t="n">
        <x:v>118</x:v>
      </x:c>
      <x:c r="K1092" s="16" t="n">
        <x:v>4145</x:v>
      </x:c>
      <x:c r="L1092" s="16" t="n">
        <x:v>4150</x:v>
      </x:c>
      <x:c r="M1092" s="16" t="n">
        <x:v>5</x:v>
      </x:c>
      <x:c r="N1092" s="16" t="n">
        <x:v>23.6</x:v>
      </x:c>
      <x:c r="O1092" s="12" t="str">
        <x:v>FTRL44G005</x:v>
      </x:c>
      <x:c r="P1092" s="12" t="str">
        <x:v>STRL44G157</x:v>
      </x:c>
      <x:c r="Q1092" s="12" t="str"/>
      <x:c r="R1092" s="12" t="str"/>
      <x:c r="S1092" s="12" t="str"/>
      <x:c r="T1092" s="12" t="str">
        <x:v>ABM</x:v>
      </x:c>
      <x:c r="U1092" s="12" t="str"/>
      <x:c r="V1092" s="12" t="str"/>
      <x:c r="W1092" s="12" t="str"/>
      <x:c r="X1092" s="12" t="str">
        <x:v>STRL44</x:v>
      </x:c>
      <x:c r="Y1092" s="12" t="str">
        <x:v>FANGKI &amp; ACUNG</x:v>
      </x:c>
      <x:c r="Z1092" s="12" t="str">
        <x:v>PIT</x:v>
      </x:c>
      <x:c r="AA1092" s="32" t="n">
        <x:f>IFERROR(VLOOKUP(G1092,Master_Unit!$A$2:$N$78,7,FALSE),"")</x:f>
        <x:v>20</x:v>
      </x:c>
      <x:c r="AB1092" s="32" t="n">
        <x:f>IF(OR(N1092="",AA1092=""),"",N1092-AA1092)</x:f>
        <x:v>3.6000000000000014</x:v>
      </x:c>
      <x:c r="AC1092" s="20" t="n">
        <x:f>IF(OR(N1092="",AA1092="",AA1092=0),"",AB1092/AA1092)</x:f>
        <x:v>0.18000000000000008</x:v>
      </x:c>
      <x:c r="AD1092" t="str">
        <x:f>IF(AA1092="","NO STANDARD",IF(AC1092&lt;=Config_Status!$B$2,"EFFICIENT",IF(AC1092&lt;=Config_Status!$B$3,"NORMAL",IF(AC1092&lt;=Config_Status!$B$4,"WARNING","OVER CONSUMPTION"))))</x:f>
        <x:v>WARNING</x:v>
      </x:c>
      <x:c r="AE1092" t="str">
        <x:f>IFERROR(VLOOKUP(G1092,Master_Unit!$A$2:$N$78,13,FALSE),"UNIT NOT FOUND")</x:f>
        <x:v>Matched</x:v>
      </x:c>
    </x:row>
    <x:row r="1093">
      <x:c r="A1093" s="12" t="str">
        <x:v>FU-20260616-01092</x:v>
      </x:c>
      <x:c r="B1093" s="12" t="n">
        <x:v>1222</x:v>
      </x:c>
      <x:c r="C1093" s="14" t="n">
        <x:v>46189</x:v>
      </x:c>
      <x:c r="D1093" s="12" t="str">
        <x:v>Selasa</x:v>
      </x:c>
      <x:c r="E1093" s="12" t="str">
        <x:v>20:50:00</x:v>
      </x:c>
      <x:c r="F1093" s="12" t="str">
        <x:v>All Shift Night</x:v>
      </x:c>
      <x:c r="G1093" s="12" t="str">
        <x:v>STRL44G145</x:v>
      </x:c>
      <x:c r="H1093" s="12" t="str">
        <x:v>Dump Truck</x:v>
      </x:c>
      <x:c r="I1093" s="12" t="str">
        <x:v>DUMP TRUCK RENAULT KRANGE440-P6X4 A/T</x:v>
      </x:c>
      <x:c r="J1093" s="16" t="n">
        <x:v>135</x:v>
      </x:c>
      <x:c r="K1093" s="16" t="n">
        <x:v>5026</x:v>
      </x:c>
      <x:c r="L1093" s="16" t="n">
        <x:v>5032</x:v>
      </x:c>
      <x:c r="M1093" s="16" t="n">
        <x:v>6</x:v>
      </x:c>
      <x:c r="N1093" s="16" t="n">
        <x:v>22.5</x:v>
      </x:c>
      <x:c r="O1093" s="12" t="str">
        <x:v>FTRL44G005</x:v>
      </x:c>
      <x:c r="P1093" s="12" t="str">
        <x:v>STRL44G145</x:v>
      </x:c>
      <x:c r="Q1093" s="12" t="str"/>
      <x:c r="R1093" s="12" t="str"/>
      <x:c r="S1093" s="12" t="str"/>
      <x:c r="T1093" s="12" t="str">
        <x:v>ABM</x:v>
      </x:c>
      <x:c r="U1093" s="12" t="str"/>
      <x:c r="V1093" s="12" t="str"/>
      <x:c r="W1093" s="12" t="str"/>
      <x:c r="X1093" s="12" t="str">
        <x:v>STRL44</x:v>
      </x:c>
      <x:c r="Y1093" s="12" t="str">
        <x:v>FANGKI &amp; ACUNG</x:v>
      </x:c>
      <x:c r="Z1093" s="12" t="str">
        <x:v>SUPPORT</x:v>
      </x:c>
      <x:c r="AA1093" s="32" t="n">
        <x:f>IFERROR(VLOOKUP(G1093,Master_Unit!$A$2:$N$78,7,FALSE),"")</x:f>
        <x:v>20</x:v>
      </x:c>
      <x:c r="AB1093" s="32" t="n">
        <x:f>IF(OR(N1093="",AA1093=""),"",N1093-AA1093)</x:f>
        <x:v>2.5</x:v>
      </x:c>
      <x:c r="AC1093" s="20" t="n">
        <x:f>IF(OR(N1093="",AA1093="",AA1093=0),"",AB1093/AA1093)</x:f>
        <x:v>0.125</x:v>
      </x:c>
      <x:c r="AD1093" t="str">
        <x:f>IF(AA1093="","NO STANDARD",IF(AC1093&lt;=Config_Status!$B$2,"EFFICIENT",IF(AC1093&lt;=Config_Status!$B$3,"NORMAL",IF(AC1093&lt;=Config_Status!$B$4,"WARNING","OVER CONSUMPTION"))))</x:f>
        <x:v>WARNING</x:v>
      </x:c>
      <x:c r="AE1093" t="str">
        <x:f>IFERROR(VLOOKUP(G1093,Master_Unit!$A$2:$N$78,13,FALSE),"UNIT NOT FOUND")</x:f>
        <x:v>Matched</x:v>
      </x:c>
    </x:row>
    <x:row r="1094">
      <x:c r="A1094" s="12" t="str">
        <x:v>FU-20260616-01093</x:v>
      </x:c>
      <x:c r="B1094" s="12" t="n">
        <x:v>1223</x:v>
      </x:c>
      <x:c r="C1094" s="14" t="n">
        <x:v>46189</x:v>
      </x:c>
      <x:c r="D1094" s="12" t="str">
        <x:v>Selasa</x:v>
      </x:c>
      <x:c r="E1094" s="12" t="str">
        <x:v>20:57:00</x:v>
      </x:c>
      <x:c r="F1094" s="12" t="str">
        <x:v>All Shift Night</x:v>
      </x:c>
      <x:c r="G1094" s="12" t="str">
        <x:v>STRL44G154</x:v>
      </x:c>
      <x:c r="H1094" s="12" t="str">
        <x:v>Dump Truck</x:v>
      </x:c>
      <x:c r="I1094" s="12" t="str">
        <x:v>DUMP TRUCK RENAULT KRANGE440-P6X4 A/T</x:v>
      </x:c>
      <x:c r="J1094" s="16" t="n">
        <x:v>135</x:v>
      </x:c>
      <x:c r="K1094" s="16" t="n">
        <x:v>4168</x:v>
      </x:c>
      <x:c r="L1094" s="16" t="n">
        <x:v>4174</x:v>
      </x:c>
      <x:c r="M1094" s="16" t="n">
        <x:v>6</x:v>
      </x:c>
      <x:c r="N1094" s="16" t="n">
        <x:v>22.5</x:v>
      </x:c>
      <x:c r="O1094" s="12" t="str">
        <x:v>FTRL44G005</x:v>
      </x:c>
      <x:c r="P1094" s="12" t="str">
        <x:v>STRL44G154</x:v>
      </x:c>
      <x:c r="Q1094" s="12" t="str"/>
      <x:c r="R1094" s="12" t="str"/>
      <x:c r="S1094" s="12" t="str"/>
      <x:c r="T1094" s="12" t="str">
        <x:v>ABM</x:v>
      </x:c>
      <x:c r="U1094" s="12" t="str"/>
      <x:c r="V1094" s="12" t="str"/>
      <x:c r="W1094" s="12" t="str"/>
      <x:c r="X1094" s="12" t="str">
        <x:v>STRL44</x:v>
      </x:c>
      <x:c r="Y1094" s="12" t="str">
        <x:v>FANGKI &amp; ACUNG</x:v>
      </x:c>
      <x:c r="Z1094" s="12" t="str">
        <x:v>PIT</x:v>
      </x:c>
      <x:c r="AA1094" s="32" t="n">
        <x:f>IFERROR(VLOOKUP(G1094,Master_Unit!$A$2:$N$78,7,FALSE),"")</x:f>
        <x:v>20</x:v>
      </x:c>
      <x:c r="AB1094" s="32" t="n">
        <x:f>IF(OR(N1094="",AA1094=""),"",N1094-AA1094)</x:f>
        <x:v>2.5</x:v>
      </x:c>
      <x:c r="AC1094" s="20" t="n">
        <x:f>IF(OR(N1094="",AA1094="",AA1094=0),"",AB1094/AA1094)</x:f>
        <x:v>0.125</x:v>
      </x:c>
      <x:c r="AD1094" t="str">
        <x:f>IF(AA1094="","NO STANDARD",IF(AC1094&lt;=Config_Status!$B$2,"EFFICIENT",IF(AC1094&lt;=Config_Status!$B$3,"NORMAL",IF(AC1094&lt;=Config_Status!$B$4,"WARNING","OVER CONSUMPTION"))))</x:f>
        <x:v>WARNING</x:v>
      </x:c>
      <x:c r="AE1094" t="str">
        <x:f>IFERROR(VLOOKUP(G1094,Master_Unit!$A$2:$N$78,13,FALSE),"UNIT NOT FOUND")</x:f>
        <x:v>Matched</x:v>
      </x:c>
    </x:row>
    <x:row r="1095">
      <x:c r="A1095" s="12" t="str">
        <x:v>FU-20260616-01094</x:v>
      </x:c>
      <x:c r="B1095" s="12" t="n">
        <x:v>1224</x:v>
      </x:c>
      <x:c r="C1095" s="14" t="n">
        <x:v>46189</x:v>
      </x:c>
      <x:c r="D1095" s="12" t="str">
        <x:v>Selasa</x:v>
      </x:c>
      <x:c r="E1095" s="12" t="str">
        <x:v>21:02:00</x:v>
      </x:c>
      <x:c r="F1095" s="12" t="str">
        <x:v>All Shift Night</x:v>
      </x:c>
      <x:c r="G1095" s="12" t="str">
        <x:v>STRL44G143</x:v>
      </x:c>
      <x:c r="H1095" s="12" t="str">
        <x:v>Dump Truck</x:v>
      </x:c>
      <x:c r="I1095" s="12" t="str">
        <x:v>DUMP TRUCK RENAULT KRANGE440-P6X4 A/T</x:v>
      </x:c>
      <x:c r="J1095" s="16" t="n">
        <x:v>109</x:v>
      </x:c>
      <x:c r="K1095" s="16" t="n">
        <x:v>5316</x:v>
      </x:c>
      <x:c r="L1095" s="16" t="n">
        <x:v>5322</x:v>
      </x:c>
      <x:c r="M1095" s="16" t="n">
        <x:v>6</x:v>
      </x:c>
      <x:c r="N1095" s="16" t="n">
        <x:v>18.166666666666668</x:v>
      </x:c>
      <x:c r="O1095" s="12" t="str">
        <x:v>FTRL44G005</x:v>
      </x:c>
      <x:c r="P1095" s="12" t="str">
        <x:v>STRL44G143</x:v>
      </x:c>
      <x:c r="Q1095" s="12" t="str"/>
      <x:c r="R1095" s="12" t="str"/>
      <x:c r="S1095" s="12" t="str"/>
      <x:c r="T1095" s="12" t="str">
        <x:v>ABM</x:v>
      </x:c>
      <x:c r="U1095" s="12" t="str"/>
      <x:c r="V1095" s="12" t="str"/>
      <x:c r="W1095" s="12" t="str"/>
      <x:c r="X1095" s="12" t="str">
        <x:v>STRL44</x:v>
      </x:c>
      <x:c r="Y1095" s="12" t="str">
        <x:v>FANGKI &amp; ACUNG</x:v>
      </x:c>
      <x:c r="Z1095" s="12" t="str">
        <x:v>SUPPORT</x:v>
      </x:c>
      <x:c r="AA1095" s="32" t="n">
        <x:f>IFERROR(VLOOKUP(G1095,Master_Unit!$A$2:$N$78,7,FALSE),"")</x:f>
        <x:v>20</x:v>
      </x:c>
      <x:c r="AB1095" s="32" t="n">
        <x:f>IF(OR(N1095="",AA1095=""),"",N1095-AA1095)</x:f>
        <x:v>-1.8333333333333321</x:v>
      </x:c>
      <x:c r="AC1095" s="20" t="n">
        <x:f>IF(OR(N1095="",AA1095="",AA1095=0),"",AB1095/AA1095)</x:f>
        <x:v>-0.0916666666666666</x:v>
      </x:c>
      <x:c r="AD1095" t="str">
        <x:f>IF(AA1095="","NO STANDARD",IF(AC1095&lt;=Config_Status!$B$2,"EFFICIENT",IF(AC1095&lt;=Config_Status!$B$3,"NORMAL",IF(AC1095&lt;=Config_Status!$B$4,"WARNING","OVER CONSUMPTION"))))</x:f>
        <x:v>NORMAL</x:v>
      </x:c>
      <x:c r="AE1095" t="str">
        <x:f>IFERROR(VLOOKUP(G1095,Master_Unit!$A$2:$N$78,13,FALSE),"UNIT NOT FOUND")</x:f>
        <x:v>Matched</x:v>
      </x:c>
    </x:row>
    <x:row r="1096">
      <x:c r="A1096" s="12" t="str">
        <x:v>FU-20260616-01095</x:v>
      </x:c>
      <x:c r="B1096" s="12" t="n">
        <x:v>1225</x:v>
      </x:c>
      <x:c r="C1096" s="14" t="n">
        <x:v>46189</x:v>
      </x:c>
      <x:c r="D1096" s="12" t="str">
        <x:v>Selasa</x:v>
      </x:c>
      <x:c r="E1096" s="12" t="str">
        <x:v>21:53:00</x:v>
      </x:c>
      <x:c r="F1096" s="12" t="str">
        <x:v>All Shift Night</x:v>
      </x:c>
      <x:c r="G1096" s="12" t="str">
        <x:v>STRL44G152</x:v>
      </x:c>
      <x:c r="H1096" s="12" t="str">
        <x:v>Dump Truck</x:v>
      </x:c>
      <x:c r="I1096" s="12" t="str">
        <x:v>DUMP TRUCK RENAULT KRANGE440-P6X4 A/T</x:v>
      </x:c>
      <x:c r="J1096" s="16" t="n">
        <x:v>115</x:v>
      </x:c>
      <x:c r="K1096" s="16" t="n">
        <x:v>3777</x:v>
      </x:c>
      <x:c r="L1096" s="16" t="n">
        <x:v>3782</x:v>
      </x:c>
      <x:c r="M1096" s="16" t="n">
        <x:v>5</x:v>
      </x:c>
      <x:c r="N1096" s="16" t="n">
        <x:v>23</x:v>
      </x:c>
      <x:c r="O1096" s="12" t="str">
        <x:v>FTRL44G005</x:v>
      </x:c>
      <x:c r="P1096" s="12" t="str">
        <x:v>STRL44G152</x:v>
      </x:c>
      <x:c r="Q1096" s="12" t="str"/>
      <x:c r="R1096" s="12" t="str"/>
      <x:c r="S1096" s="12" t="str"/>
      <x:c r="T1096" s="12" t="str">
        <x:v>ABM</x:v>
      </x:c>
      <x:c r="U1096" s="12" t="str"/>
      <x:c r="V1096" s="12" t="str"/>
      <x:c r="W1096" s="12" t="str"/>
      <x:c r="X1096" s="12" t="str">
        <x:v>STRL44</x:v>
      </x:c>
      <x:c r="Y1096" s="12" t="str">
        <x:v>FANGKI &amp; ACUNG</x:v>
      </x:c>
      <x:c r="Z1096" s="12" t="str">
        <x:v>PIT</x:v>
      </x:c>
      <x:c r="AA1096" s="32" t="n">
        <x:f>IFERROR(VLOOKUP(G1096,Master_Unit!$A$2:$N$78,7,FALSE),"")</x:f>
        <x:v>20</x:v>
      </x:c>
      <x:c r="AB1096" s="32" t="n">
        <x:f>IF(OR(N1096="",AA1096=""),"",N1096-AA1096)</x:f>
        <x:v>3</x:v>
      </x:c>
      <x:c r="AC1096" s="20" t="n">
        <x:f>IF(OR(N1096="",AA1096="",AA1096=0),"",AB1096/AA1096)</x:f>
        <x:v>0.15</x:v>
      </x:c>
      <x:c r="AD1096" t="str">
        <x:f>IF(AA1096="","NO STANDARD",IF(AC1096&lt;=Config_Status!$B$2,"EFFICIENT",IF(AC1096&lt;=Config_Status!$B$3,"NORMAL",IF(AC1096&lt;=Config_Status!$B$4,"WARNING","OVER CONSUMPTION"))))</x:f>
        <x:v>WARNING</x:v>
      </x:c>
      <x:c r="AE1096" t="str">
        <x:f>IFERROR(VLOOKUP(G1096,Master_Unit!$A$2:$N$78,13,FALSE),"UNIT NOT FOUND")</x:f>
        <x:v>Matched</x:v>
      </x:c>
    </x:row>
    <x:row r="1097">
      <x:c r="A1097" s="12" t="str">
        <x:v>FU-20260616-01096</x:v>
      </x:c>
      <x:c r="B1097" s="12" t="n">
        <x:v>1226</x:v>
      </x:c>
      <x:c r="C1097" s="14" t="n">
        <x:v>46189</x:v>
      </x:c>
      <x:c r="D1097" s="12" t="str">
        <x:v>Selasa</x:v>
      </x:c>
      <x:c r="E1097" s="12" t="str">
        <x:v>18:32:00</x:v>
      </x:c>
      <x:c r="F1097" s="12" t="str">
        <x:v>All Shift Night</x:v>
      </x:c>
      <x:c r="G1097" s="12" t="str">
        <x:v>EXVV21G032</x:v>
      </x:c>
      <x:c r="H1097" s="12" t="str">
        <x:v>Excavator</x:v>
      </x:c>
      <x:c r="I1097" s="12" t="str">
        <x:v>EXCAVATOR VOLVO EC210D</x:v>
      </x:c>
      <x:c r="J1097" s="16" t="n">
        <x:v>145</x:v>
      </x:c>
      <x:c r="K1097" s="16" t="n">
        <x:v>7602.3</x:v>
      </x:c>
      <x:c r="L1097" s="16" t="n">
        <x:v>7611.4</x:v>
      </x:c>
      <x:c r="M1097" s="16" t="n">
        <x:v>9.099999999999454</x:v>
      </x:c>
      <x:c r="N1097" s="16" t="n">
        <x:v>15.93406593406689</x:v>
      </x:c>
      <x:c r="O1097" s="12" t="str">
        <x:v>FTRL44G004</x:v>
      </x:c>
      <x:c r="P1097" s="12" t="str">
        <x:v>EXVV21G032</x:v>
      </x:c>
      <x:c r="Q1097" s="12" t="str"/>
      <x:c r="R1097" s="12" t="str"/>
      <x:c r="S1097" s="12" t="str"/>
      <x:c r="T1097" s="12" t="str">
        <x:v>ABM</x:v>
      </x:c>
      <x:c r="U1097" s="12" t="str"/>
      <x:c r="V1097" s="12" t="str"/>
      <x:c r="W1097" s="12" t="str"/>
      <x:c r="X1097" s="12" t="str">
        <x:v>EXVV21</x:v>
      </x:c>
      <x:c r="Y1097" s="12" t="str">
        <x:v>ANDI &amp; ANGGI</x:v>
      </x:c>
      <x:c r="Z1097" s="12" t="str">
        <x:v>PIT</x:v>
      </x:c>
      <x:c r="AA1097" s="32" t="n">
        <x:f>IFERROR(VLOOKUP(G1097,Master_Unit!$A$2:$N$78,7,FALSE),"")</x:f>
        <x:v>20</x:v>
      </x:c>
      <x:c r="AB1097" s="32" t="n">
        <x:f>IF(OR(N1097="",AA1097=""),"",N1097-AA1097)</x:f>
        <x:v>-4.06593406593311</x:v>
      </x:c>
      <x:c r="AC1097" s="20" t="n">
        <x:f>IF(OR(N1097="",AA1097="",AA1097=0),"",AB1097/AA1097)</x:f>
        <x:v>-0.2032967032966555</x:v>
      </x:c>
      <x:c r="AD1097" t="str">
        <x:f>IF(AA1097="","NO STANDARD",IF(AC1097&lt;=Config_Status!$B$2,"EFFICIENT",IF(AC1097&lt;=Config_Status!$B$3,"NORMAL",IF(AC1097&lt;=Config_Status!$B$4,"WARNING","OVER CONSUMPTION"))))</x:f>
        <x:v>EFFICIENT</x:v>
      </x:c>
      <x:c r="AE1097" t="str">
        <x:f>IFERROR(VLOOKUP(G1097,Master_Unit!$A$2:$N$78,13,FALSE),"UNIT NOT FOUND")</x:f>
        <x:v>Matched</x:v>
      </x:c>
    </x:row>
    <x:row r="1098">
      <x:c r="A1098" s="12" t="str">
        <x:v>FU-20260616-01097</x:v>
      </x:c>
      <x:c r="B1098" s="12" t="n">
        <x:v>1227</x:v>
      </x:c>
      <x:c r="C1098" s="14" t="n">
        <x:v>46189</x:v>
      </x:c>
      <x:c r="D1098" s="12" t="str">
        <x:v>Selasa</x:v>
      </x:c>
      <x:c r="E1098" s="12" t="str">
        <x:v>18:37:00</x:v>
      </x:c>
      <x:c r="F1098" s="12" t="str">
        <x:v>All Shift Night</x:v>
      </x:c>
      <x:c r="G1098" s="12" t="str">
        <x:v>EXVV35G007</x:v>
      </x:c>
      <x:c r="H1098" s="12" t="str">
        <x:v>Excavator</x:v>
      </x:c>
      <x:c r="I1098" s="12" t="str">
        <x:v>EXCAVATOR VOLVO EC350D</x:v>
      </x:c>
      <x:c r="J1098" s="16" t="n">
        <x:v>205</x:v>
      </x:c>
      <x:c r="K1098" s="16" t="n">
        <x:v>637</x:v>
      </x:c>
      <x:c r="L1098" s="16" t="n">
        <x:v>646.2</x:v>
      </x:c>
      <x:c r="M1098" s="16" t="n">
        <x:v>9.200000000000045</x:v>
      </x:c>
      <x:c r="N1098" s="16" t="n">
        <x:v>22.282608695652065</x:v>
      </x:c>
      <x:c r="O1098" s="12" t="str">
        <x:v>FTRL44G004</x:v>
      </x:c>
      <x:c r="P1098" s="12" t="str">
        <x:v>EXVV35G007</x:v>
      </x:c>
      <x:c r="Q1098" s="12" t="str"/>
      <x:c r="R1098" s="12" t="str"/>
      <x:c r="S1098" s="12" t="str"/>
      <x:c r="T1098" s="12" t="str">
        <x:v>ABM</x:v>
      </x:c>
      <x:c r="U1098" s="12" t="str"/>
      <x:c r="V1098" s="12" t="str"/>
      <x:c r="W1098" s="12" t="str"/>
      <x:c r="X1098" s="12" t="str">
        <x:v>EXVV35</x:v>
      </x:c>
      <x:c r="Y1098" s="12" t="str">
        <x:v>ANDI &amp; ANGGI</x:v>
      </x:c>
      <x:c r="Z1098" s="12" t="str">
        <x:v>PIT</x:v>
      </x:c>
      <x:c r="AA1098" s="32" t="n">
        <x:f>IFERROR(VLOOKUP(G1098,Master_Unit!$A$2:$N$78,7,FALSE),"")</x:f>
        <x:v>25</x:v>
      </x:c>
      <x:c r="AB1098" s="32" t="n">
        <x:f>IF(OR(N1098="",AA1098=""),"",N1098-AA1098)</x:f>
        <x:v>-2.7173913043479345</x:v>
      </x:c>
      <x:c r="AC1098" s="20" t="n">
        <x:f>IF(OR(N1098="",AA1098="",AA1098=0),"",AB1098/AA1098)</x:f>
        <x:v>-0.10869565217391738</x:v>
      </x:c>
      <x:c r="AD1098" t="str">
        <x:f>IF(AA1098="","NO STANDARD",IF(AC1098&lt;=Config_Status!$B$2,"EFFICIENT",IF(AC1098&lt;=Config_Status!$B$3,"NORMAL",IF(AC1098&lt;=Config_Status!$B$4,"WARNING","OVER CONSUMPTION"))))</x:f>
        <x:v>EFFICIENT</x:v>
      </x:c>
      <x:c r="AE1098" t="str">
        <x:f>IFERROR(VLOOKUP(G1098,Master_Unit!$A$2:$N$78,13,FALSE),"UNIT NOT FOUND")</x:f>
        <x:v>Matched</x:v>
      </x:c>
    </x:row>
    <x:row r="1099">
      <x:c r="A1099" s="12" t="str">
        <x:v>FU-20260616-01098</x:v>
      </x:c>
      <x:c r="B1099" s="12" t="n">
        <x:v>1228</x:v>
      </x:c>
      <x:c r="C1099" s="14" t="n">
        <x:v>46189</x:v>
      </x:c>
      <x:c r="D1099" s="12" t="str">
        <x:v>Selasa</x:v>
      </x:c>
      <x:c r="E1099" s="12" t="str">
        <x:v>18:40:00</x:v>
      </x:c>
      <x:c r="F1099" s="12" t="str">
        <x:v>All Shift Night</x:v>
      </x:c>
      <x:c r="G1099" s="12" t="str">
        <x:v>VRVV11G012</x:v>
      </x:c>
      <x:c r="H1099" s="12" t="str">
        <x:v>Compactor</x:v>
      </x:c>
      <x:c r="I1099" s="12" t="str">
        <x:v>VIBRO COMPACTOR VOLVO SD110NE</x:v>
      </x:c>
      <x:c r="J1099" s="16" t="n">
        <x:v>65</x:v>
      </x:c>
      <x:c r="K1099" s="16" t="n">
        <x:v>3341.4</x:v>
      </x:c>
      <x:c r="L1099" s="16" t="n">
        <x:v>3354.9</x:v>
      </x:c>
      <x:c r="M1099" s="16" t="n">
        <x:v>13.5</x:v>
      </x:c>
      <x:c r="N1099" s="16" t="n">
        <x:v>4.814814814814815</x:v>
      </x:c>
      <x:c r="O1099" s="12" t="str">
        <x:v>FTRL44G004</x:v>
      </x:c>
      <x:c r="P1099" s="12" t="str">
        <x:v>VRVV11G012</x:v>
      </x:c>
      <x:c r="Q1099" s="12" t="str"/>
      <x:c r="R1099" s="12" t="str"/>
      <x:c r="S1099" s="12" t="str"/>
      <x:c r="T1099" s="12" t="str">
        <x:v>ABM</x:v>
      </x:c>
      <x:c r="U1099" s="12" t="str"/>
      <x:c r="V1099" s="12" t="str"/>
      <x:c r="W1099" s="12" t="str"/>
      <x:c r="X1099" s="12" t="str">
        <x:v>VRVV11</x:v>
      </x:c>
      <x:c r="Y1099" s="12" t="str">
        <x:v>ANDI &amp; ANGGI</x:v>
      </x:c>
      <x:c r="Z1099" s="12" t="str">
        <x:v>PIT</x:v>
      </x:c>
      <x:c r="AA1099" s="32" t="n">
        <x:f>IFERROR(VLOOKUP(G1099,Master_Unit!$A$2:$N$78,7,FALSE),"")</x:f>
        <x:v>15</x:v>
      </x:c>
      <x:c r="AB1099" s="32" t="n">
        <x:f>IF(OR(N1099="",AA1099=""),"",N1099-AA1099)</x:f>
        <x:v>-10.185185185185185</x:v>
      </x:c>
      <x:c r="AC1099" s="20" t="n">
        <x:f>IF(OR(N1099="",AA1099="",AA1099=0),"",AB1099/AA1099)</x:f>
        <x:v>-0.6790123456790124</x:v>
      </x:c>
      <x:c r="AD1099" t="str">
        <x:f>IF(AA1099="","NO STANDARD",IF(AC1099&lt;=Config_Status!$B$2,"EFFICIENT",IF(AC1099&lt;=Config_Status!$B$3,"NORMAL",IF(AC1099&lt;=Config_Status!$B$4,"WARNING","OVER CONSUMPTION"))))</x:f>
        <x:v>EFFICIENT</x:v>
      </x:c>
      <x:c r="AE1099" t="str">
        <x:f>IFERROR(VLOOKUP(G1099,Master_Unit!$A$2:$N$78,13,FALSE),"UNIT NOT FOUND")</x:f>
        <x:v>Matched</x:v>
      </x:c>
    </x:row>
    <x:row r="1100">
      <x:c r="A1100" s="12" t="str">
        <x:v>FU-20260616-01099</x:v>
      </x:c>
      <x:c r="B1100" s="12" t="n">
        <x:v>1229</x:v>
      </x:c>
      <x:c r="C1100" s="14" t="n">
        <x:v>46189</x:v>
      </x:c>
      <x:c r="D1100" s="12" t="str">
        <x:v>Selasa</x:v>
      </x:c>
      <x:c r="E1100" s="12" t="str">
        <x:v>18:47:00</x:v>
      </x:c>
      <x:c r="F1100" s="12" t="str">
        <x:v>All Shift Night</x:v>
      </x:c>
      <x:c r="G1100" s="12" t="str">
        <x:v>EXVV21G039</x:v>
      </x:c>
      <x:c r="H1100" s="12" t="str">
        <x:v>Excavator</x:v>
      </x:c>
      <x:c r="I1100" s="12" t="str">
        <x:v>EXCAVATOR VOLVO EC210D</x:v>
      </x:c>
      <x:c r="J1100" s="16" t="n">
        <x:v>145</x:v>
      </x:c>
      <x:c r="K1100" s="16" t="n">
        <x:v>6374.1</x:v>
      </x:c>
      <x:c r="L1100" s="16" t="n">
        <x:v>6383.4</x:v>
      </x:c>
      <x:c r="M1100" s="16" t="n">
        <x:v>9.299999999999272</x:v>
      </x:c>
      <x:c r="N1100" s="16" t="n">
        <x:v>15.591397849463585</x:v>
      </x:c>
      <x:c r="O1100" s="12" t="str">
        <x:v>FTRL44G004</x:v>
      </x:c>
      <x:c r="P1100" s="12" t="str">
        <x:v>EXVV21G039</x:v>
      </x:c>
      <x:c r="Q1100" s="12" t="str"/>
      <x:c r="R1100" s="12" t="str"/>
      <x:c r="S1100" s="12" t="str"/>
      <x:c r="T1100" s="12" t="str">
        <x:v>ABM</x:v>
      </x:c>
      <x:c r="U1100" s="12" t="str"/>
      <x:c r="V1100" s="12" t="str"/>
      <x:c r="W1100" s="12" t="str"/>
      <x:c r="X1100" s="12" t="str">
        <x:v>EXVV21</x:v>
      </x:c>
      <x:c r="Y1100" s="12" t="str">
        <x:v>ANDI &amp; ANGGI</x:v>
      </x:c>
      <x:c r="Z1100" s="12" t="str">
        <x:v>PIT</x:v>
      </x:c>
      <x:c r="AA1100" s="32" t="n">
        <x:f>IFERROR(VLOOKUP(G1100,Master_Unit!$A$2:$N$78,7,FALSE),"")</x:f>
        <x:v>20</x:v>
      </x:c>
      <x:c r="AB1100" s="32" t="n">
        <x:f>IF(OR(N1100="",AA1100=""),"",N1100-AA1100)</x:f>
        <x:v>-4.4086021505364155</x:v>
      </x:c>
      <x:c r="AC1100" s="20" t="n">
        <x:f>IF(OR(N1100="",AA1100="",AA1100=0),"",AB1100/AA1100)</x:f>
        <x:v>-0.22043010752682077</x:v>
      </x:c>
      <x:c r="AD1100" t="str">
        <x:f>IF(AA1100="","NO STANDARD",IF(AC1100&lt;=Config_Status!$B$2,"EFFICIENT",IF(AC1100&lt;=Config_Status!$B$3,"NORMAL",IF(AC1100&lt;=Config_Status!$B$4,"WARNING","OVER CONSUMPTION"))))</x:f>
        <x:v>EFFICIENT</x:v>
      </x:c>
      <x:c r="AE1100" t="str">
        <x:f>IFERROR(VLOOKUP(G1100,Master_Unit!$A$2:$N$78,13,FALSE),"UNIT NOT FOUND")</x:f>
        <x:v>Matched</x:v>
      </x:c>
    </x:row>
    <x:row r="1101">
      <x:c r="A1101" s="12" t="str">
        <x:v>FU-20260616-01100</x:v>
      </x:c>
      <x:c r="B1101" s="12" t="n">
        <x:v>1230</x:v>
      </x:c>
      <x:c r="C1101" s="14" t="n">
        <x:v>46189</x:v>
      </x:c>
      <x:c r="D1101" s="12" t="str">
        <x:v>Selasa</x:v>
      </x:c>
      <x:c r="E1101" s="12" t="str">
        <x:v>18:51:00</x:v>
      </x:c>
      <x:c r="F1101" s="12" t="str">
        <x:v>All Shift Night</x:v>
      </x:c>
      <x:c r="G1101" s="12" t="str">
        <x:v>EXVV21G037</x:v>
      </x:c>
      <x:c r="H1101" s="12" t="str">
        <x:v>Excavator</x:v>
      </x:c>
      <x:c r="I1101" s="12" t="str">
        <x:v>EXCAVATOR VOLVO EC210D</x:v>
      </x:c>
      <x:c r="J1101" s="16" t="n">
        <x:v>119</x:v>
      </x:c>
      <x:c r="K1101" s="16" t="n">
        <x:v>6944.2</x:v>
      </x:c>
      <x:c r="L1101" s="16" t="n">
        <x:v>6952.9</x:v>
      </x:c>
      <x:c r="M1101" s="16" t="n">
        <x:v>8.699999999999818</x:v>
      </x:c>
      <x:c r="N1101" s="16" t="n">
        <x:v>13.678160919540517</x:v>
      </x:c>
      <x:c r="O1101" s="12" t="str">
        <x:v>FTRL44G004</x:v>
      </x:c>
      <x:c r="P1101" s="12" t="str">
        <x:v>EXVV21G037</x:v>
      </x:c>
      <x:c r="Q1101" s="12" t="str"/>
      <x:c r="R1101" s="12" t="str"/>
      <x:c r="S1101" s="12" t="str"/>
      <x:c r="T1101" s="12" t="str">
        <x:v>ABM</x:v>
      </x:c>
      <x:c r="U1101" s="12" t="str"/>
      <x:c r="V1101" s="12" t="str"/>
      <x:c r="W1101" s="12" t="str"/>
      <x:c r="X1101" s="12" t="str">
        <x:v>EXVV21</x:v>
      </x:c>
      <x:c r="Y1101" s="12" t="str">
        <x:v>ANDI &amp; ANGGI</x:v>
      </x:c>
      <x:c r="Z1101" s="12" t="str">
        <x:v>SUPPORT</x:v>
      </x:c>
      <x:c r="AA1101" s="32" t="n">
        <x:f>IFERROR(VLOOKUP(G1101,Master_Unit!$A$2:$N$78,7,FALSE),"")</x:f>
        <x:v>20</x:v>
      </x:c>
      <x:c r="AB1101" s="32" t="n">
        <x:f>IF(OR(N1101="",AA1101=""),"",N1101-AA1101)</x:f>
        <x:v>-6.321839080459483</x:v>
      </x:c>
      <x:c r="AC1101" s="20" t="n">
        <x:f>IF(OR(N1101="",AA1101="",AA1101=0),"",AB1101/AA1101)</x:f>
        <x:v>-0.3160919540229742</x:v>
      </x:c>
      <x:c r="AD1101" t="str">
        <x:f>IF(AA1101="","NO STANDARD",IF(AC1101&lt;=Config_Status!$B$2,"EFFICIENT",IF(AC1101&lt;=Config_Status!$B$3,"NORMAL",IF(AC1101&lt;=Config_Status!$B$4,"WARNING","OVER CONSUMPTION"))))</x:f>
        <x:v>EFFICIENT</x:v>
      </x:c>
      <x:c r="AE1101" t="str">
        <x:f>IFERROR(VLOOKUP(G1101,Master_Unit!$A$2:$N$78,13,FALSE),"UNIT NOT FOUND")</x:f>
        <x:v>Matched</x:v>
      </x:c>
    </x:row>
    <x:row r="1102">
      <x:c r="A1102" s="12" t="str">
        <x:v>FU-20260616-01101</x:v>
      </x:c>
      <x:c r="B1102" s="12" t="n">
        <x:v>1231</x:v>
      </x:c>
      <x:c r="C1102" s="14" t="n">
        <x:v>46189</x:v>
      </x:c>
      <x:c r="D1102" s="12" t="str">
        <x:v>Selasa</x:v>
      </x:c>
      <x:c r="E1102" s="12" t="str">
        <x:v>18:56:00</x:v>
      </x:c>
      <x:c r="F1102" s="12" t="str">
        <x:v>All Shift Night</x:v>
      </x:c>
      <x:c r="G1102" s="12" t="str">
        <x:v>EXVV35G005</x:v>
      </x:c>
      <x:c r="H1102" s="12" t="str">
        <x:v>Excavator</x:v>
      </x:c>
      <x:c r="I1102" s="12" t="str">
        <x:v>EXCAVATOR VOLVO EC350D</x:v>
      </x:c>
      <x:c r="J1102" s="16" t="n">
        <x:v>193</x:v>
      </x:c>
      <x:c r="K1102" s="16" t="n">
        <x:v>5268.3</x:v>
      </x:c>
      <x:c r="L1102" s="16" t="n">
        <x:v>5276.3</x:v>
      </x:c>
      <x:c r="M1102" s="16" t="n">
        <x:v>8</x:v>
      </x:c>
      <x:c r="N1102" s="16" t="n">
        <x:v>24.125</x:v>
      </x:c>
      <x:c r="O1102" s="12" t="str">
        <x:v>FTRL44G004</x:v>
      </x:c>
      <x:c r="P1102" s="12" t="str">
        <x:v>EXVV35G005</x:v>
      </x:c>
      <x:c r="Q1102" s="12" t="str"/>
      <x:c r="R1102" s="12" t="str"/>
      <x:c r="S1102" s="12" t="str"/>
      <x:c r="T1102" s="12" t="str">
        <x:v>ABM</x:v>
      </x:c>
      <x:c r="U1102" s="12" t="str"/>
      <x:c r="V1102" s="12" t="str"/>
      <x:c r="W1102" s="12" t="str"/>
      <x:c r="X1102" s="12" t="str">
        <x:v>EXVV35</x:v>
      </x:c>
      <x:c r="Y1102" s="12" t="str">
        <x:v>ANDI &amp; ANGGI</x:v>
      </x:c>
      <x:c r="Z1102" s="12" t="str">
        <x:v>SUPPORT</x:v>
      </x:c>
      <x:c r="AA1102" s="32" t="n">
        <x:f>IFERROR(VLOOKUP(G1102,Master_Unit!$A$2:$N$78,7,FALSE),"")</x:f>
        <x:v>25</x:v>
      </x:c>
      <x:c r="AB1102" s="32" t="n">
        <x:f>IF(OR(N1102="",AA1102=""),"",N1102-AA1102)</x:f>
        <x:v>-0.875</x:v>
      </x:c>
      <x:c r="AC1102" s="20" t="n">
        <x:f>IF(OR(N1102="",AA1102="",AA1102=0),"",AB1102/AA1102)</x:f>
        <x:v>-0.035</x:v>
      </x:c>
      <x:c r="AD1102" t="str">
        <x:f>IF(AA1102="","NO STANDARD",IF(AC1102&lt;=Config_Status!$B$2,"EFFICIENT",IF(AC1102&lt;=Config_Status!$B$3,"NORMAL",IF(AC1102&lt;=Config_Status!$B$4,"WARNING","OVER CONSUMPTION"))))</x:f>
        <x:v>NORMAL</x:v>
      </x:c>
      <x:c r="AE1102" t="str">
        <x:f>IFERROR(VLOOKUP(G1102,Master_Unit!$A$2:$N$78,13,FALSE),"UNIT NOT FOUND")</x:f>
        <x:v>Matched</x:v>
      </x:c>
    </x:row>
    <x:row r="1103">
      <x:c r="A1103" s="12" t="str">
        <x:v>FU-20260616-01102</x:v>
      </x:c>
      <x:c r="B1103" s="12" t="n">
        <x:v>1232</x:v>
      </x:c>
      <x:c r="C1103" s="14" t="n">
        <x:v>46189</x:v>
      </x:c>
      <x:c r="D1103" s="12" t="str">
        <x:v>Selasa</x:v>
      </x:c>
      <x:c r="E1103" s="12" t="str">
        <x:v>19:03:00</x:v>
      </x:c>
      <x:c r="F1103" s="12" t="str">
        <x:v>All Shift Night</x:v>
      </x:c>
      <x:c r="G1103" s="12" t="str">
        <x:v>EXVV21G042</x:v>
      </x:c>
      <x:c r="H1103" s="12" t="str">
        <x:v>Excavator</x:v>
      </x:c>
      <x:c r="I1103" s="12" t="str">
        <x:v>EXCAVATOR VOLVO EC210D</x:v>
      </x:c>
      <x:c r="J1103" s="16" t="n">
        <x:v>145</x:v>
      </x:c>
      <x:c r="K1103" s="16" t="n">
        <x:v>7828</x:v>
      </x:c>
      <x:c r="L1103" s="16" t="n">
        <x:v>7838.1</x:v>
      </x:c>
      <x:c r="M1103" s="16" t="n">
        <x:v>10.100000000000364</x:v>
      </x:c>
      <x:c r="N1103" s="16" t="n">
        <x:v>14.35643564356384</x:v>
      </x:c>
      <x:c r="O1103" s="12" t="str">
        <x:v>FTRL44G004</x:v>
      </x:c>
      <x:c r="P1103" s="12" t="str">
        <x:v>EXVV21G042</x:v>
      </x:c>
      <x:c r="Q1103" s="12" t="str"/>
      <x:c r="R1103" s="12" t="str"/>
      <x:c r="S1103" s="12" t="str"/>
      <x:c r="T1103" s="12" t="str">
        <x:v>ABM</x:v>
      </x:c>
      <x:c r="U1103" s="12" t="str"/>
      <x:c r="V1103" s="12" t="str"/>
      <x:c r="W1103" s="12" t="str"/>
      <x:c r="X1103" s="12" t="str">
        <x:v>EXVV21</x:v>
      </x:c>
      <x:c r="Y1103" s="12" t="str">
        <x:v>ANDI &amp; ANGGI</x:v>
      </x:c>
      <x:c r="Z1103" s="12" t="str">
        <x:v>SUPPORT</x:v>
      </x:c>
      <x:c r="AA1103" s="32" t="n">
        <x:f>IFERROR(VLOOKUP(G1103,Master_Unit!$A$2:$N$78,7,FALSE),"")</x:f>
        <x:v>20</x:v>
      </x:c>
      <x:c r="AB1103" s="32" t="n">
        <x:f>IF(OR(N1103="",AA1103=""),"",N1103-AA1103)</x:f>
        <x:v>-5.64356435643616</x:v>
      </x:c>
      <x:c r="AC1103" s="20" t="n">
        <x:f>IF(OR(N1103="",AA1103="",AA1103=0),"",AB1103/AA1103)</x:f>
        <x:v>-0.282178217821808</x:v>
      </x:c>
      <x:c r="AD1103" t="str">
        <x:f>IF(AA1103="","NO STANDARD",IF(AC1103&lt;=Config_Status!$B$2,"EFFICIENT",IF(AC1103&lt;=Config_Status!$B$3,"NORMAL",IF(AC1103&lt;=Config_Status!$B$4,"WARNING","OVER CONSUMPTION"))))</x:f>
        <x:v>EFFICIENT</x:v>
      </x:c>
      <x:c r="AE1103" t="str">
        <x:f>IFERROR(VLOOKUP(G1103,Master_Unit!$A$2:$N$78,13,FALSE),"UNIT NOT FOUND")</x:f>
        <x:v>Matched</x:v>
      </x:c>
    </x:row>
    <x:row r="1104">
      <x:c r="A1104" s="12" t="str">
        <x:v>FU-20260616-01103</x:v>
      </x:c>
      <x:c r="B1104" s="12" t="n">
        <x:v>1233</x:v>
      </x:c>
      <x:c r="C1104" s="14" t="n">
        <x:v>46189</x:v>
      </x:c>
      <x:c r="D1104" s="12" t="str">
        <x:v>Selasa</x:v>
      </x:c>
      <x:c r="E1104" s="12" t="str">
        <x:v>19:12:00</x:v>
      </x:c>
      <x:c r="F1104" s="12" t="str">
        <x:v>All Shift Night</x:v>
      </x:c>
      <x:c r="G1104" s="12" t="str">
        <x:v>BDKM85G039</x:v>
      </x:c>
      <x:c r="H1104" s="12" t="str">
        <x:v>Dozer</x:v>
      </x:c>
      <x:c r="I1104" s="12" t="str">
        <x:v>BULDOZER KOMATSU D85ESS-2</x:v>
      </x:c>
      <x:c r="J1104" s="16" t="n">
        <x:v>75</x:v>
      </x:c>
      <x:c r="K1104" s="16" t="n">
        <x:v>7149.9</x:v>
      </x:c>
      <x:c r="L1104" s="16" t="n">
        <x:v>7156</x:v>
      </x:c>
      <x:c r="M1104" s="16" t="n">
        <x:v>6.100000000000364</x:v>
      </x:c>
      <x:c r="N1104" s="16" t="n">
        <x:v>12.295081967212381</x:v>
      </x:c>
      <x:c r="O1104" s="12" t="str">
        <x:v>FTRL44G004</x:v>
      </x:c>
      <x:c r="P1104" s="12" t="str">
        <x:v>BDKM85G039</x:v>
      </x:c>
      <x:c r="Q1104" s="12" t="str"/>
      <x:c r="R1104" s="12" t="str"/>
      <x:c r="S1104" s="12" t="str"/>
      <x:c r="T1104" s="12" t="str">
        <x:v>ABM</x:v>
      </x:c>
      <x:c r="U1104" s="12" t="str"/>
      <x:c r="V1104" s="12" t="str"/>
      <x:c r="W1104" s="12" t="str"/>
      <x:c r="X1104" s="12" t="str">
        <x:v>BDKM85</x:v>
      </x:c>
      <x:c r="Y1104" s="12" t="str">
        <x:v>ANDI &amp; ANGGI</x:v>
      </x:c>
      <x:c r="Z1104" s="12" t="str">
        <x:v>SUPPORT</x:v>
      </x:c>
      <x:c r="AA1104" s="32" t="n">
        <x:f>IFERROR(VLOOKUP(G1104,Master_Unit!$A$2:$N$78,7,FALSE),"")</x:f>
        <x:v>30</x:v>
      </x:c>
      <x:c r="AB1104" s="32" t="n">
        <x:f>IF(OR(N1104="",AA1104=""),"",N1104-AA1104)</x:f>
        <x:v>-17.704918032787617</x:v>
      </x:c>
      <x:c r="AC1104" s="20" t="n">
        <x:f>IF(OR(N1104="",AA1104="",AA1104=0),"",AB1104/AA1104)</x:f>
        <x:v>-0.5901639344262539</x:v>
      </x:c>
      <x:c r="AD1104" t="str">
        <x:f>IF(AA1104="","NO STANDARD",IF(AC1104&lt;=Config_Status!$B$2,"EFFICIENT",IF(AC1104&lt;=Config_Status!$B$3,"NORMAL",IF(AC1104&lt;=Config_Status!$B$4,"WARNING","OVER CONSUMPTION"))))</x:f>
        <x:v>EFFICIENT</x:v>
      </x:c>
      <x:c r="AE1104" t="str">
        <x:f>IFERROR(VLOOKUP(G1104,Master_Unit!$A$2:$N$78,13,FALSE),"UNIT NOT FOUND")</x:f>
        <x:v>Matched</x:v>
      </x:c>
    </x:row>
    <x:row r="1105">
      <x:c r="A1105" s="12" t="str">
        <x:v>FU-20260616-01104</x:v>
      </x:c>
      <x:c r="B1105" s="12" t="n">
        <x:v>1234</x:v>
      </x:c>
      <x:c r="C1105" s="14" t="n">
        <x:v>46189</x:v>
      </x:c>
      <x:c r="D1105" s="12" t="str">
        <x:v>Selasa</x:v>
      </x:c>
      <x:c r="E1105" s="12" t="str">
        <x:v>19:17:00</x:v>
      </x:c>
      <x:c r="F1105" s="12" t="str">
        <x:v>All Shift Night</x:v>
      </x:c>
      <x:c r="G1105" s="12" t="str">
        <x:v>EXVV21G040</x:v>
      </x:c>
      <x:c r="H1105" s="12" t="str">
        <x:v>Excavator</x:v>
      </x:c>
      <x:c r="I1105" s="12" t="str">
        <x:v>EXCAVATOR VOLVO EC210D</x:v>
      </x:c>
      <x:c r="J1105" s="16" t="n">
        <x:v>137</x:v>
      </x:c>
      <x:c r="K1105" s="16" t="n">
        <x:v>6661.6</x:v>
      </x:c>
      <x:c r="L1105" s="16" t="n">
        <x:v>6671.8</x:v>
      </x:c>
      <x:c r="M1105" s="16" t="n">
        <x:v>10.199999999999818</x:v>
      </x:c>
      <x:c r="N1105" s="16" t="n">
        <x:v>13.431372549019848</x:v>
      </x:c>
      <x:c r="O1105" s="12" t="str">
        <x:v>FTRL44G004</x:v>
      </x:c>
      <x:c r="P1105" s="12" t="str">
        <x:v>EXVV21G040</x:v>
      </x:c>
      <x:c r="Q1105" s="12" t="str"/>
      <x:c r="R1105" s="12" t="str"/>
      <x:c r="S1105" s="12" t="str"/>
      <x:c r="T1105" s="12" t="str">
        <x:v>ABM</x:v>
      </x:c>
      <x:c r="U1105" s="12" t="str"/>
      <x:c r="V1105" s="12" t="str"/>
      <x:c r="W1105" s="12" t="str"/>
      <x:c r="X1105" s="12" t="str">
        <x:v>EXVV21</x:v>
      </x:c>
      <x:c r="Y1105" s="12" t="str">
        <x:v>ANDI &amp; ANGGI</x:v>
      </x:c>
      <x:c r="Z1105" s="12" t="str">
        <x:v>SUPPORT</x:v>
      </x:c>
      <x:c r="AA1105" s="32" t="n">
        <x:f>IFERROR(VLOOKUP(G1105,Master_Unit!$A$2:$N$78,7,FALSE),"")</x:f>
        <x:v>20</x:v>
      </x:c>
      <x:c r="AB1105" s="32" t="n">
        <x:f>IF(OR(N1105="",AA1105=""),"",N1105-AA1105)</x:f>
        <x:v>-6.568627450980152</x:v>
      </x:c>
      <x:c r="AC1105" s="20" t="n">
        <x:f>IF(OR(N1105="",AA1105="",AA1105=0),"",AB1105/AA1105)</x:f>
        <x:v>-0.3284313725490076</x:v>
      </x:c>
      <x:c r="AD1105" t="str">
        <x:f>IF(AA1105="","NO STANDARD",IF(AC1105&lt;=Config_Status!$B$2,"EFFICIENT",IF(AC1105&lt;=Config_Status!$B$3,"NORMAL",IF(AC1105&lt;=Config_Status!$B$4,"WARNING","OVER CONSUMPTION"))))</x:f>
        <x:v>EFFICIENT</x:v>
      </x:c>
      <x:c r="AE1105" t="str">
        <x:f>IFERROR(VLOOKUP(G1105,Master_Unit!$A$2:$N$78,13,FALSE),"UNIT NOT FOUND")</x:f>
        <x:v>Matched</x:v>
      </x:c>
    </x:row>
    <x:row r="1106">
      <x:c r="A1106" s="12" t="str">
        <x:v>FU-20260616-01105</x:v>
      </x:c>
      <x:c r="B1106" s="12" t="n">
        <x:v>1235</x:v>
      </x:c>
      <x:c r="C1106" s="14" t="n">
        <x:v>46189</x:v>
      </x:c>
      <x:c r="D1106" s="12" t="str">
        <x:v>Selasa</x:v>
      </x:c>
      <x:c r="E1106" s="12" t="str">
        <x:v>19:23:00</x:v>
      </x:c>
      <x:c r="F1106" s="12" t="str">
        <x:v>All Shift Night</x:v>
      </x:c>
      <x:c r="G1106" s="12" t="str">
        <x:v>VRVV11G013</x:v>
      </x:c>
      <x:c r="H1106" s="12" t="str">
        <x:v>Compactor</x:v>
      </x:c>
      <x:c r="I1106" s="12" t="str">
        <x:v>VIBRO COMPACTOR VOLVO SD110NE</x:v>
      </x:c>
      <x:c r="J1106" s="16" t="n">
        <x:v>65</x:v>
      </x:c>
      <x:c r="K1106" s="16" t="n">
        <x:v>3240.8</x:v>
      </x:c>
      <x:c r="L1106" s="16" t="n">
        <x:v>3247</x:v>
      </x:c>
      <x:c r="M1106" s="16" t="n">
        <x:v>6.199999999999818</x:v>
      </x:c>
      <x:c r="N1106" s="16" t="n">
        <x:v>10.483870967742243</x:v>
      </x:c>
      <x:c r="O1106" s="12" t="str">
        <x:v>FTRL44G004</x:v>
      </x:c>
      <x:c r="P1106" s="12" t="str">
        <x:v>VRVV11G013</x:v>
      </x:c>
      <x:c r="Q1106" s="12" t="str"/>
      <x:c r="R1106" s="12" t="str"/>
      <x:c r="S1106" s="12" t="str"/>
      <x:c r="T1106" s="12" t="str">
        <x:v>ABM</x:v>
      </x:c>
      <x:c r="U1106" s="12" t="str"/>
      <x:c r="V1106" s="12" t="str"/>
      <x:c r="W1106" s="12" t="str"/>
      <x:c r="X1106" s="12" t="str">
        <x:v>VRVV11</x:v>
      </x:c>
      <x:c r="Y1106" s="12" t="str">
        <x:v>ANDI &amp; ANGGI</x:v>
      </x:c>
      <x:c r="Z1106" s="12" t="str">
        <x:v>PIT</x:v>
      </x:c>
      <x:c r="AA1106" s="32" t="n">
        <x:f>IFERROR(VLOOKUP(G1106,Master_Unit!$A$2:$N$78,7,FALSE),"")</x:f>
        <x:v>15</x:v>
      </x:c>
      <x:c r="AB1106" s="32" t="n">
        <x:f>IF(OR(N1106="",AA1106=""),"",N1106-AA1106)</x:f>
        <x:v>-4.516129032257757</x:v>
      </x:c>
      <x:c r="AC1106" s="20" t="n">
        <x:f>IF(OR(N1106="",AA1106="",AA1106=0),"",AB1106/AA1106)</x:f>
        <x:v>-0.30107526881718377</x:v>
      </x:c>
      <x:c r="AD1106" t="str">
        <x:f>IF(AA1106="","NO STANDARD",IF(AC1106&lt;=Config_Status!$B$2,"EFFICIENT",IF(AC1106&lt;=Config_Status!$B$3,"NORMAL",IF(AC1106&lt;=Config_Status!$B$4,"WARNING","OVER CONSUMPTION"))))</x:f>
        <x:v>EFFICIENT</x:v>
      </x:c>
      <x:c r="AE1106" t="str">
        <x:f>IFERROR(VLOOKUP(G1106,Master_Unit!$A$2:$N$78,13,FALSE),"UNIT NOT FOUND")</x:f>
        <x:v>Matched</x:v>
      </x:c>
    </x:row>
    <x:row r="1107">
      <x:c r="A1107" s="12" t="str">
        <x:v>FU-20260616-01106</x:v>
      </x:c>
      <x:c r="B1107" s="12" t="n">
        <x:v>1236</x:v>
      </x:c>
      <x:c r="C1107" s="14" t="n">
        <x:v>46189</x:v>
      </x:c>
      <x:c r="D1107" s="12" t="str">
        <x:v>Selasa</x:v>
      </x:c>
      <x:c r="E1107" s="12" t="str">
        <x:v>19:50:00</x:v>
      </x:c>
      <x:c r="F1107" s="12" t="str">
        <x:v>All Shift Night</x:v>
      </x:c>
      <x:c r="G1107" s="12" t="str">
        <x:v>STRL44G136</x:v>
      </x:c>
      <x:c r="H1107" s="12" t="str">
        <x:v>Dump Truck</x:v>
      </x:c>
      <x:c r="I1107" s="12" t="str">
        <x:v>DUMP TRUCK RENAULT KRANGE440-P6X4 A/T</x:v>
      </x:c>
      <x:c r="J1107" s="16" t="n">
        <x:v>115</x:v>
      </x:c>
      <x:c r="K1107" s="16" t="n">
        <x:v>5908</x:v>
      </x:c>
      <x:c r="L1107" s="16" t="n">
        <x:v>5917</x:v>
      </x:c>
      <x:c r="M1107" s="16" t="n">
        <x:v>9</x:v>
      </x:c>
      <x:c r="N1107" s="16" t="n">
        <x:v>12.777777777777779</x:v>
      </x:c>
      <x:c r="O1107" s="12" t="str">
        <x:v>FTRL44G004</x:v>
      </x:c>
      <x:c r="P1107" s="12" t="str">
        <x:v>STRL44G136</x:v>
      </x:c>
      <x:c r="Q1107" s="12" t="str"/>
      <x:c r="R1107" s="12" t="str"/>
      <x:c r="S1107" s="12" t="str"/>
      <x:c r="T1107" s="12" t="str">
        <x:v>ABM</x:v>
      </x:c>
      <x:c r="U1107" s="12" t="str"/>
      <x:c r="V1107" s="12" t="str"/>
      <x:c r="W1107" s="12" t="str"/>
      <x:c r="X1107" s="12" t="str">
        <x:v>STRL44</x:v>
      </x:c>
      <x:c r="Y1107" s="12" t="str">
        <x:v>ANDI &amp; ANGGI</x:v>
      </x:c>
      <x:c r="Z1107" s="12" t="str">
        <x:v>PIT</x:v>
      </x:c>
      <x:c r="AA1107" s="32" t="n">
        <x:f>IFERROR(VLOOKUP(G1107,Master_Unit!$A$2:$N$78,7,FALSE),"")</x:f>
        <x:v>20</x:v>
      </x:c>
      <x:c r="AB1107" s="32" t="n">
        <x:f>IF(OR(N1107="",AA1107=""),"",N1107-AA1107)</x:f>
        <x:v>-7.222222222222221</x:v>
      </x:c>
      <x:c r="AC1107" s="20" t="n">
        <x:f>IF(OR(N1107="",AA1107="",AA1107=0),"",AB1107/AA1107)</x:f>
        <x:v>-0.36111111111111105</x:v>
      </x:c>
      <x:c r="AD1107" t="str">
        <x:f>IF(AA1107="","NO STANDARD",IF(AC1107&lt;=Config_Status!$B$2,"EFFICIENT",IF(AC1107&lt;=Config_Status!$B$3,"NORMAL",IF(AC1107&lt;=Config_Status!$B$4,"WARNING","OVER CONSUMPTION"))))</x:f>
        <x:v>EFFICIENT</x:v>
      </x:c>
      <x:c r="AE1107" t="str">
        <x:f>IFERROR(VLOOKUP(G1107,Master_Unit!$A$2:$N$78,13,FALSE),"UNIT NOT FOUND")</x:f>
        <x:v>Matched</x:v>
      </x:c>
    </x:row>
    <x:row r="1108">
      <x:c r="A1108" s="12" t="str">
        <x:v>FU-20260616-01107</x:v>
      </x:c>
      <x:c r="B1108" s="12" t="n">
        <x:v>1237</x:v>
      </x:c>
      <x:c r="C1108" s="14" t="n">
        <x:v>46189</x:v>
      </x:c>
      <x:c r="D1108" s="12" t="str">
        <x:v>Selasa</x:v>
      </x:c>
      <x:c r="E1108" s="12" t="str">
        <x:v>19:53:00</x:v>
      </x:c>
      <x:c r="F1108" s="12" t="str">
        <x:v>All Shift Night</x:v>
      </x:c>
      <x:c r="G1108" s="12" t="str">
        <x:v>MGSD20G006</x:v>
      </x:c>
      <x:c r="H1108" s="12" t="str">
        <x:v>Other</x:v>
      </x:c>
      <x:c r="I1108" s="12" t="str">
        <x:v>MOTOR GRADER SDLG GD9220F</x:v>
      </x:c>
      <x:c r="J1108" s="16" t="n">
        <x:v>98</x:v>
      </x:c>
      <x:c r="K1108" s="16" t="n">
        <x:v>2005.1</x:v>
      </x:c>
      <x:c r="L1108" s="16" t="n">
        <x:v>2011.9</x:v>
      </x:c>
      <x:c r="M1108" s="16" t="n">
        <x:v>6.800000000000182</x:v>
      </x:c>
      <x:c r="N1108" s="16" t="n">
        <x:v>14.411764705881968</x:v>
      </x:c>
      <x:c r="O1108" s="12" t="str">
        <x:v>FTRL44G004</x:v>
      </x:c>
      <x:c r="P1108" s="12" t="str">
        <x:v>MGSD20G006</x:v>
      </x:c>
      <x:c r="Q1108" s="12" t="str"/>
      <x:c r="R1108" s="12" t="str"/>
      <x:c r="S1108" s="12" t="str"/>
      <x:c r="T1108" s="12" t="str">
        <x:v>ABM</x:v>
      </x:c>
      <x:c r="U1108" s="12" t="str"/>
      <x:c r="V1108" s="12" t="str"/>
      <x:c r="W1108" s="12" t="str"/>
      <x:c r="X1108" s="12" t="str">
        <x:v>MGSD20</x:v>
      </x:c>
      <x:c r="Y1108" s="12" t="str">
        <x:v>ANDI &amp; ANGGI</x:v>
      </x:c>
      <x:c r="Z1108" s="12" t="str">
        <x:v>PIT</x:v>
      </x:c>
      <x:c r="AA1108" s="32" t="n">
        <x:f>IFERROR(VLOOKUP(G1108,Master_Unit!$A$2:$N$78,7,FALSE),"")</x:f>
        <x:v>20</x:v>
      </x:c>
      <x:c r="AB1108" s="32" t="n">
        <x:f>IF(OR(N1108="",AA1108=""),"",N1108-AA1108)</x:f>
        <x:v>-5.588235294118032</x:v>
      </x:c>
      <x:c r="AC1108" s="20" t="n">
        <x:f>IF(OR(N1108="",AA1108="",AA1108=0),"",AB1108/AA1108)</x:f>
        <x:v>-0.2794117647059016</x:v>
      </x:c>
      <x:c r="AD1108" t="str">
        <x:f>IF(AA1108="","NO STANDARD",IF(AC1108&lt;=Config_Status!$B$2,"EFFICIENT",IF(AC1108&lt;=Config_Status!$B$3,"NORMAL",IF(AC1108&lt;=Config_Status!$B$4,"WARNING","OVER CONSUMPTION"))))</x:f>
        <x:v>EFFICIENT</x:v>
      </x:c>
      <x:c r="AE1108" t="str">
        <x:f>IFERROR(VLOOKUP(G1108,Master_Unit!$A$2:$N$78,13,FALSE),"UNIT NOT FOUND")</x:f>
        <x:v>Matched</x:v>
      </x:c>
    </x:row>
    <x:row r="1109">
      <x:c r="A1109" s="12" t="str">
        <x:v>FU-20260616-01108</x:v>
      </x:c>
      <x:c r="B1109" s="12" t="n">
        <x:v>1238</x:v>
      </x:c>
      <x:c r="C1109" s="14" t="n">
        <x:v>46189</x:v>
      </x:c>
      <x:c r="D1109" s="12" t="str">
        <x:v>Selasa</x:v>
      </x:c>
      <x:c r="E1109" s="12" t="str">
        <x:v>19:56:00</x:v>
      </x:c>
      <x:c r="F1109" s="12" t="str">
        <x:v>All Shift Night</x:v>
      </x:c>
      <x:c r="G1109" s="12" t="str">
        <x:v>STRL44G137</x:v>
      </x:c>
      <x:c r="H1109" s="12" t="str">
        <x:v>Dump Truck</x:v>
      </x:c>
      <x:c r="I1109" s="12" t="str">
        <x:v>DUMP TRUCK RENAULT KRANGE440-P6X4 A/T</x:v>
      </x:c>
      <x:c r="J1109" s="16" t="n">
        <x:v>109</x:v>
      </x:c>
      <x:c r="K1109" s="16" t="n">
        <x:v>6490</x:v>
      </x:c>
      <x:c r="L1109" s="16" t="n">
        <x:v>6499</x:v>
      </x:c>
      <x:c r="M1109" s="16" t="n">
        <x:v>9</x:v>
      </x:c>
      <x:c r="N1109" s="16" t="n">
        <x:v>12.11111111111111</x:v>
      </x:c>
      <x:c r="O1109" s="12" t="str">
        <x:v>FTRL44G004</x:v>
      </x:c>
      <x:c r="P1109" s="12" t="str">
        <x:v>STRL44G137</x:v>
      </x:c>
      <x:c r="Q1109" s="12" t="str"/>
      <x:c r="R1109" s="12" t="str"/>
      <x:c r="S1109" s="12" t="str"/>
      <x:c r="T1109" s="12" t="str">
        <x:v>ABM</x:v>
      </x:c>
      <x:c r="U1109" s="12" t="str"/>
      <x:c r="V1109" s="12" t="str"/>
      <x:c r="W1109" s="12" t="str"/>
      <x:c r="X1109" s="12" t="str">
        <x:v>STRL44</x:v>
      </x:c>
      <x:c r="Y1109" s="12" t="str">
        <x:v>ANDI &amp; ANGGI</x:v>
      </x:c>
      <x:c r="Z1109" s="12" t="str">
        <x:v>PIT</x:v>
      </x:c>
      <x:c r="AA1109" s="32" t="n">
        <x:f>IFERROR(VLOOKUP(G1109,Master_Unit!$A$2:$N$78,7,FALSE),"")</x:f>
        <x:v>20</x:v>
      </x:c>
      <x:c r="AB1109" s="32" t="n">
        <x:f>IF(OR(N1109="",AA1109=""),"",N1109-AA1109)</x:f>
        <x:v>-7.888888888888889</x:v>
      </x:c>
      <x:c r="AC1109" s="20" t="n">
        <x:f>IF(OR(N1109="",AA1109="",AA1109=0),"",AB1109/AA1109)</x:f>
        <x:v>-0.3944444444444445</x:v>
      </x:c>
      <x:c r="AD1109" t="str">
        <x:f>IF(AA1109="","NO STANDARD",IF(AC1109&lt;=Config_Status!$B$2,"EFFICIENT",IF(AC1109&lt;=Config_Status!$B$3,"NORMAL",IF(AC1109&lt;=Config_Status!$B$4,"WARNING","OVER CONSUMPTION"))))</x:f>
        <x:v>EFFICIENT</x:v>
      </x:c>
      <x:c r="AE1109" t="str">
        <x:f>IFERROR(VLOOKUP(G1109,Master_Unit!$A$2:$N$78,13,FALSE),"UNIT NOT FOUND")</x:f>
        <x:v>Matched</x:v>
      </x:c>
    </x:row>
    <x:row r="1110">
      <x:c r="A1110" s="12" t="str">
        <x:v>FU-20260616-01109</x:v>
      </x:c>
      <x:c r="B1110" s="12" t="n">
        <x:v>1239</x:v>
      </x:c>
      <x:c r="C1110" s="14" t="n">
        <x:v>46189</x:v>
      </x:c>
      <x:c r="D1110" s="12" t="str">
        <x:v>Selasa</x:v>
      </x:c>
      <x:c r="E1110" s="12" t="str">
        <x:v>20:05:00</x:v>
      </x:c>
      <x:c r="F1110" s="12" t="str">
        <x:v>All Shift Night</x:v>
      </x:c>
      <x:c r="G1110" s="12" t="str">
        <x:v>STRL44G135</x:v>
      </x:c>
      <x:c r="H1110" s="12" t="str">
        <x:v>Dump Truck</x:v>
      </x:c>
      <x:c r="I1110" s="12" t="str">
        <x:v>DUMP TRUCK RENAULT KRANGE440-P6X4 A/T</x:v>
      </x:c>
      <x:c r="J1110" s="16" t="n">
        <x:v>109</x:v>
      </x:c>
      <x:c r="K1110" s="16" t="n">
        <x:v>5920</x:v>
      </x:c>
      <x:c r="L1110" s="16" t="n">
        <x:v>5929</x:v>
      </x:c>
      <x:c r="M1110" s="16" t="n">
        <x:v>9</x:v>
      </x:c>
      <x:c r="N1110" s="16" t="n">
        <x:v>12.11111111111111</x:v>
      </x:c>
      <x:c r="O1110" s="12" t="str">
        <x:v>FTRL44G004</x:v>
      </x:c>
      <x:c r="P1110" s="12" t="str">
        <x:v>STRL44G135</x:v>
      </x:c>
      <x:c r="Q1110" s="12" t="str"/>
      <x:c r="R1110" s="12" t="str"/>
      <x:c r="S1110" s="12" t="str"/>
      <x:c r="T1110" s="12" t="str">
        <x:v>ABM</x:v>
      </x:c>
      <x:c r="U1110" s="12" t="str"/>
      <x:c r="V1110" s="12" t="str"/>
      <x:c r="W1110" s="12" t="str"/>
      <x:c r="X1110" s="12" t="str">
        <x:v>STRL44</x:v>
      </x:c>
      <x:c r="Y1110" s="12" t="str">
        <x:v>ANDI &amp; ANGGI</x:v>
      </x:c>
      <x:c r="Z1110" s="12" t="str">
        <x:v>SUPPORT</x:v>
      </x:c>
      <x:c r="AA1110" s="32" t="n">
        <x:f>IFERROR(VLOOKUP(G1110,Master_Unit!$A$2:$N$78,7,FALSE),"")</x:f>
        <x:v>20</x:v>
      </x:c>
      <x:c r="AB1110" s="32" t="n">
        <x:f>IF(OR(N1110="",AA1110=""),"",N1110-AA1110)</x:f>
        <x:v>-7.888888888888889</x:v>
      </x:c>
      <x:c r="AC1110" s="20" t="n">
        <x:f>IF(OR(N1110="",AA1110="",AA1110=0),"",AB1110/AA1110)</x:f>
        <x:v>-0.3944444444444445</x:v>
      </x:c>
      <x:c r="AD1110" t="str">
        <x:f>IF(AA1110="","NO STANDARD",IF(AC1110&lt;=Config_Status!$B$2,"EFFICIENT",IF(AC1110&lt;=Config_Status!$B$3,"NORMAL",IF(AC1110&lt;=Config_Status!$B$4,"WARNING","OVER CONSUMPTION"))))</x:f>
        <x:v>EFFICIENT</x:v>
      </x:c>
      <x:c r="AE1110" t="str">
        <x:f>IFERROR(VLOOKUP(G1110,Master_Unit!$A$2:$N$78,13,FALSE),"UNIT NOT FOUND")</x:f>
        <x:v>Matched</x:v>
      </x:c>
    </x:row>
    <x:row r="1111">
      <x:c r="A1111" s="12" t="str">
        <x:v>FU-20260616-01110</x:v>
      </x:c>
      <x:c r="B1111" s="12" t="n">
        <x:v>1240</x:v>
      </x:c>
      <x:c r="C1111" s="14" t="n">
        <x:v>46189</x:v>
      </x:c>
      <x:c r="D1111" s="12" t="str">
        <x:v>Selasa</x:v>
      </x:c>
      <x:c r="E1111" s="12" t="str">
        <x:v>20:24:00</x:v>
      </x:c>
      <x:c r="F1111" s="12" t="str">
        <x:v>All Shift Night</x:v>
      </x:c>
      <x:c r="G1111" s="12" t="str">
        <x:v>STRL44G142</x:v>
      </x:c>
      <x:c r="H1111" s="12" t="str">
        <x:v>Dump Truck</x:v>
      </x:c>
      <x:c r="I1111" s="12" t="str">
        <x:v>DUMP TRUCK RENAULT KRANGE440-P6X4 A/T</x:v>
      </x:c>
      <x:c r="J1111" s="16" t="n">
        <x:v>114</x:v>
      </x:c>
      <x:c r="K1111" s="16" t="n">
        <x:v>3428</x:v>
      </x:c>
      <x:c r="L1111" s="16" t="n">
        <x:v>3436</x:v>
      </x:c>
      <x:c r="M1111" s="16" t="n">
        <x:v>8</x:v>
      </x:c>
      <x:c r="N1111" s="16" t="n">
        <x:v>14.25</x:v>
      </x:c>
      <x:c r="O1111" s="12" t="str">
        <x:v>FTRL44G004</x:v>
      </x:c>
      <x:c r="P1111" s="12" t="str">
        <x:v>STRL44G142</x:v>
      </x:c>
      <x:c r="Q1111" s="12" t="str"/>
      <x:c r="R1111" s="12" t="str"/>
      <x:c r="S1111" s="12" t="str"/>
      <x:c r="T1111" s="12" t="str">
        <x:v>ABM</x:v>
      </x:c>
      <x:c r="U1111" s="12" t="str"/>
      <x:c r="V1111" s="12" t="str"/>
      <x:c r="W1111" s="12" t="str"/>
      <x:c r="X1111" s="12" t="str">
        <x:v>STRL44</x:v>
      </x:c>
      <x:c r="Y1111" s="12" t="str">
        <x:v>ANDI &amp; ANGGI</x:v>
      </x:c>
      <x:c r="Z1111" s="12" t="str">
        <x:v>SUPPORT</x:v>
      </x:c>
      <x:c r="AA1111" s="32" t="n">
        <x:f>IFERROR(VLOOKUP(G1111,Master_Unit!$A$2:$N$78,7,FALSE),"")</x:f>
        <x:v>20</x:v>
      </x:c>
      <x:c r="AB1111" s="32" t="n">
        <x:f>IF(OR(N1111="",AA1111=""),"",N1111-AA1111)</x:f>
        <x:v>-5.75</x:v>
      </x:c>
      <x:c r="AC1111" s="20" t="n">
        <x:f>IF(OR(N1111="",AA1111="",AA1111=0),"",AB1111/AA1111)</x:f>
        <x:v>-0.2875</x:v>
      </x:c>
      <x:c r="AD1111" t="str">
        <x:f>IF(AA1111="","NO STANDARD",IF(AC1111&lt;=Config_Status!$B$2,"EFFICIENT",IF(AC1111&lt;=Config_Status!$B$3,"NORMAL",IF(AC1111&lt;=Config_Status!$B$4,"WARNING","OVER CONSUMPTION"))))</x:f>
        <x:v>EFFICIENT</x:v>
      </x:c>
      <x:c r="AE1111" t="str">
        <x:f>IFERROR(VLOOKUP(G1111,Master_Unit!$A$2:$N$78,13,FALSE),"UNIT NOT FOUND")</x:f>
        <x:v>Matched</x:v>
      </x:c>
    </x:row>
    <x:row r="1112">
      <x:c r="A1112" s="12" t="str">
        <x:v>FU-20260616-01111</x:v>
      </x:c>
      <x:c r="B1112" s="12" t="n">
        <x:v>1241</x:v>
      </x:c>
      <x:c r="C1112" s="14" t="n">
        <x:v>46189</x:v>
      </x:c>
      <x:c r="D1112" s="12" t="str">
        <x:v>Selasa</x:v>
      </x:c>
      <x:c r="E1112" s="12" t="str">
        <x:v>20:29:00</x:v>
      </x:c>
      <x:c r="F1112" s="12" t="str">
        <x:v>All Shift Night</x:v>
      </x:c>
      <x:c r="G1112" s="12" t="str">
        <x:v>STRL44G134</x:v>
      </x:c>
      <x:c r="H1112" s="12" t="str">
        <x:v>Dump Truck</x:v>
      </x:c>
      <x:c r="I1112" s="12" t="str">
        <x:v>DUMP TRUCK RENAULT KRANGE440-P6X4 A/T</x:v>
      </x:c>
      <x:c r="J1112" s="16" t="n">
        <x:v>109</x:v>
      </x:c>
      <x:c r="K1112" s="16" t="n">
        <x:v>5754</x:v>
      </x:c>
      <x:c r="L1112" s="16" t="n">
        <x:v>5772</x:v>
      </x:c>
      <x:c r="M1112" s="16" t="n">
        <x:v>18</x:v>
      </x:c>
      <x:c r="N1112" s="16" t="n">
        <x:v>6.055555555555555</x:v>
      </x:c>
      <x:c r="O1112" s="12" t="str">
        <x:v>FTRL44G004</x:v>
      </x:c>
      <x:c r="P1112" s="12" t="str">
        <x:v>STRL44G134</x:v>
      </x:c>
      <x:c r="Q1112" s="12" t="str"/>
      <x:c r="R1112" s="12" t="str"/>
      <x:c r="S1112" s="12" t="str"/>
      <x:c r="T1112" s="12" t="str">
        <x:v>ABM</x:v>
      </x:c>
      <x:c r="U1112" s="12" t="str"/>
      <x:c r="V1112" s="12" t="str"/>
      <x:c r="W1112" s="12" t="str"/>
      <x:c r="X1112" s="12" t="str">
        <x:v>STRL44</x:v>
      </x:c>
      <x:c r="Y1112" s="12" t="str">
        <x:v>ANDI &amp; ANGGI</x:v>
      </x:c>
      <x:c r="Z1112" s="12" t="str">
        <x:v>ETO</x:v>
      </x:c>
      <x:c r="AA1112" s="32" t="n">
        <x:f>IFERROR(VLOOKUP(G1112,Master_Unit!$A$2:$N$78,7,FALSE),"")</x:f>
        <x:v>20</x:v>
      </x:c>
      <x:c r="AB1112" s="32" t="n">
        <x:f>IF(OR(N1112="",AA1112=""),"",N1112-AA1112)</x:f>
        <x:v>-13.944444444444445</x:v>
      </x:c>
      <x:c r="AC1112" s="20" t="n">
        <x:f>IF(OR(N1112="",AA1112="",AA1112=0),"",AB1112/AA1112)</x:f>
        <x:v>-0.6972222222222222</x:v>
      </x:c>
      <x:c r="AD1112" t="str">
        <x:f>IF(AA1112="","NO STANDARD",IF(AC1112&lt;=Config_Status!$B$2,"EFFICIENT",IF(AC1112&lt;=Config_Status!$B$3,"NORMAL",IF(AC1112&lt;=Config_Status!$B$4,"WARNING","OVER CONSUMPTION"))))</x:f>
        <x:v>EFFICIENT</x:v>
      </x:c>
      <x:c r="AE1112" t="str">
        <x:f>IFERROR(VLOOKUP(G1112,Master_Unit!$A$2:$N$78,13,FALSE),"UNIT NOT FOUND")</x:f>
        <x:v>Matched</x:v>
      </x:c>
    </x:row>
    <x:row r="1113">
      <x:c r="A1113" s="12" t="str">
        <x:v>FU-20260616-01112</x:v>
      </x:c>
      <x:c r="B1113" s="12" t="n">
        <x:v>1242</x:v>
      </x:c>
      <x:c r="C1113" s="14" t="n">
        <x:v>46189</x:v>
      </x:c>
      <x:c r="D1113" s="12" t="str">
        <x:v>Selasa</x:v>
      </x:c>
      <x:c r="E1113" s="12" t="str">
        <x:v>21:14:00</x:v>
      </x:c>
      <x:c r="F1113" s="12" t="str">
        <x:v>All Shift Night</x:v>
      </x:c>
      <x:c r="G1113" s="12" t="str">
        <x:v>EXVV21G043</x:v>
      </x:c>
      <x:c r="H1113" s="12" t="str">
        <x:v>Excavator</x:v>
      </x:c>
      <x:c r="I1113" s="12" t="str">
        <x:v>EXCAVATOR VOLVO EC210D</x:v>
      </x:c>
      <x:c r="J1113" s="16" t="n">
        <x:v>115</x:v>
      </x:c>
      <x:c r="K1113" s="16" t="n">
        <x:v>5387.4</x:v>
      </x:c>
      <x:c r="L1113" s="16" t="n">
        <x:v>5397.4</x:v>
      </x:c>
      <x:c r="M1113" s="16" t="n">
        <x:v>10</x:v>
      </x:c>
      <x:c r="N1113" s="16" t="n">
        <x:v>11.5</x:v>
      </x:c>
      <x:c r="O1113" s="12" t="str">
        <x:v>FTRL44G004</x:v>
      </x:c>
      <x:c r="P1113" s="12" t="str">
        <x:v>EXVV21G043</x:v>
      </x:c>
      <x:c r="Q1113" s="12" t="str"/>
      <x:c r="R1113" s="12" t="str"/>
      <x:c r="S1113" s="12" t="str"/>
      <x:c r="T1113" s="12" t="str">
        <x:v>ABM</x:v>
      </x:c>
      <x:c r="U1113" s="12" t="str"/>
      <x:c r="V1113" s="12" t="str"/>
      <x:c r="W1113" s="12" t="str"/>
      <x:c r="X1113" s="12" t="str">
        <x:v>EXVV21</x:v>
      </x:c>
      <x:c r="Y1113" s="12" t="str">
        <x:v>ANDI &amp; ANGGI</x:v>
      </x:c>
      <x:c r="Z1113" s="12" t="str">
        <x:v>EFO</x:v>
      </x:c>
      <x:c r="AA1113" s="32" t="n">
        <x:f>IFERROR(VLOOKUP(G1113,Master_Unit!$A$2:$N$78,7,FALSE),"")</x:f>
        <x:v>20</x:v>
      </x:c>
      <x:c r="AB1113" s="32" t="n">
        <x:f>IF(OR(N1113="",AA1113=""),"",N1113-AA1113)</x:f>
        <x:v>-8.5</x:v>
      </x:c>
      <x:c r="AC1113" s="20" t="n">
        <x:f>IF(OR(N1113="",AA1113="",AA1113=0),"",AB1113/AA1113)</x:f>
        <x:v>-0.425</x:v>
      </x:c>
      <x:c r="AD1113" t="str">
        <x:f>IF(AA1113="","NO STANDARD",IF(AC1113&lt;=Config_Status!$B$2,"EFFICIENT",IF(AC1113&lt;=Config_Status!$B$3,"NORMAL",IF(AC1113&lt;=Config_Status!$B$4,"WARNING","OVER CONSUMPTION"))))</x:f>
        <x:v>EFFICIENT</x:v>
      </x:c>
      <x:c r="AE1113" t="str">
        <x:f>IFERROR(VLOOKUP(G1113,Master_Unit!$A$2:$N$78,13,FALSE),"UNIT NOT FOUND")</x:f>
        <x:v>Matched</x:v>
      </x:c>
    </x:row>
    <x:row r="1114">
      <x:c r="A1114" s="12" t="str">
        <x:v>FU-20260617-01113</x:v>
      </x:c>
      <x:c r="B1114" s="12" t="n">
        <x:v>1243</x:v>
      </x:c>
      <x:c r="C1114" s="14" t="n">
        <x:v>46190</x:v>
      </x:c>
      <x:c r="D1114" s="12" t="str">
        <x:v>Rabu</x:v>
      </x:c>
      <x:c r="E1114" s="12" t="str">
        <x:v>06:13:00</x:v>
      </x:c>
      <x:c r="F1114" s="12" t="str">
        <x:v>All Shift Day</x:v>
      </x:c>
      <x:c r="G1114" s="12" t="str">
        <x:v>EXVV35G007</x:v>
      </x:c>
      <x:c r="H1114" s="12" t="str">
        <x:v>Excavator</x:v>
      </x:c>
      <x:c r="I1114" s="12" t="str">
        <x:v>EXCAVATOR VOLVO EC350D</x:v>
      </x:c>
      <x:c r="J1114" s="16" t="n">
        <x:v>143</x:v>
      </x:c>
      <x:c r="K1114" s="16" t="n">
        <x:v>646.2</x:v>
      </x:c>
      <x:c r="L1114" s="16" t="n">
        <x:v>654.9</x:v>
      </x:c>
      <x:c r="M1114" s="16" t="n">
        <x:v>8.699999999999932</x:v>
      </x:c>
      <x:c r="N1114" s="16" t="n">
        <x:v>16.43678160919553</x:v>
      </x:c>
      <x:c r="O1114" s="12" t="str">
        <x:v>FTRL44G004</x:v>
      </x:c>
      <x:c r="P1114" s="12" t="str">
        <x:v>EXVV35G007</x:v>
      </x:c>
      <x:c r="Q1114" s="12" t="str"/>
      <x:c r="R1114" s="12" t="str"/>
      <x:c r="S1114" s="12" t="str"/>
      <x:c r="T1114" s="12" t="str">
        <x:v>ABM</x:v>
      </x:c>
      <x:c r="U1114" s="12" t="str"/>
      <x:c r="V1114" s="12" t="str"/>
      <x:c r="W1114" s="12" t="str"/>
      <x:c r="X1114" s="12" t="str">
        <x:v>EXVV35</x:v>
      </x:c>
      <x:c r="Y1114" s="12" t="str">
        <x:v>RAFIF &amp; YOGI</x:v>
      </x:c>
      <x:c r="Z1114" s="12" t="str">
        <x:v>EFO</x:v>
      </x:c>
      <x:c r="AA1114" s="32" t="n">
        <x:f>IFERROR(VLOOKUP(G1114,Master_Unit!$A$2:$N$78,7,FALSE),"")</x:f>
        <x:v>25</x:v>
      </x:c>
      <x:c r="AB1114" s="32" t="n">
        <x:f>IF(OR(N1114="",AA1114=""),"",N1114-AA1114)</x:f>
        <x:v>-8.563218390804469</x:v>
      </x:c>
      <x:c r="AC1114" s="20" t="n">
        <x:f>IF(OR(N1114="",AA1114="",AA1114=0),"",AB1114/AA1114)</x:f>
        <x:v>-0.3425287356321787</x:v>
      </x:c>
      <x:c r="AD1114" t="str">
        <x:f>IF(AA1114="","NO STANDARD",IF(AC1114&lt;=Config_Status!$B$2,"EFFICIENT",IF(AC1114&lt;=Config_Status!$B$3,"NORMAL",IF(AC1114&lt;=Config_Status!$B$4,"WARNING","OVER CONSUMPTION"))))</x:f>
        <x:v>EFFICIENT</x:v>
      </x:c>
      <x:c r="AE1114" t="str">
        <x:f>IFERROR(VLOOKUP(G1114,Master_Unit!$A$2:$N$78,13,FALSE),"UNIT NOT FOUND")</x:f>
        <x:v>Matched</x:v>
      </x:c>
    </x:row>
    <x:row r="1115">
      <x:c r="A1115" s="12" t="str">
        <x:v>FU-20260617-01114</x:v>
      </x:c>
      <x:c r="B1115" s="12" t="n">
        <x:v>1244</x:v>
      </x:c>
      <x:c r="C1115" s="14" t="n">
        <x:v>46190</x:v>
      </x:c>
      <x:c r="D1115" s="12" t="str">
        <x:v>Rabu</x:v>
      </x:c>
      <x:c r="E1115" s="12" t="str">
        <x:v>06:17:00</x:v>
      </x:c>
      <x:c r="F1115" s="12" t="str">
        <x:v>All Shift Day</x:v>
      </x:c>
      <x:c r="G1115" s="12" t="str">
        <x:v>EXVV21G032</x:v>
      </x:c>
      <x:c r="H1115" s="12" t="str">
        <x:v>Excavator</x:v>
      </x:c>
      <x:c r="I1115" s="12" t="str">
        <x:v>EXCAVATOR VOLVO EC210D</x:v>
      </x:c>
      <x:c r="J1115" s="16" t="n">
        <x:v>97</x:v>
      </x:c>
      <x:c r="K1115" s="16" t="n">
        <x:v>7611.4</x:v>
      </x:c>
      <x:c r="L1115" s="16" t="n">
        <x:v>7620.8</x:v>
      </x:c>
      <x:c r="M1115" s="16" t="n">
        <x:v>9.400000000000546</x:v>
      </x:c>
      <x:c r="N1115" s="16" t="n">
        <x:v>10.319148936169613</x:v>
      </x:c>
      <x:c r="O1115" s="12" t="str">
        <x:v>FTRL44G004</x:v>
      </x:c>
      <x:c r="P1115" s="12" t="str">
        <x:v>EXVV21G032</x:v>
      </x:c>
      <x:c r="Q1115" s="12" t="str"/>
      <x:c r="R1115" s="12" t="str"/>
      <x:c r="S1115" s="12" t="str"/>
      <x:c r="T1115" s="12" t="str">
        <x:v>ABM</x:v>
      </x:c>
      <x:c r="U1115" s="12" t="str"/>
      <x:c r="V1115" s="12" t="str"/>
      <x:c r="W1115" s="12" t="str"/>
      <x:c r="X1115" s="12" t="str">
        <x:v>EXVV21</x:v>
      </x:c>
      <x:c r="Y1115" s="12" t="str">
        <x:v>RAFIF &amp; YOGI</x:v>
      </x:c>
      <x:c r="Z1115" s="12" t="str">
        <x:v>COAL HAULING</x:v>
      </x:c>
      <x:c r="AA1115" s="32" t="n">
        <x:f>IFERROR(VLOOKUP(G1115,Master_Unit!$A$2:$N$78,7,FALSE),"")</x:f>
        <x:v>20</x:v>
      </x:c>
      <x:c r="AB1115" s="32" t="n">
        <x:f>IF(OR(N1115="",AA1115=""),"",N1115-AA1115)</x:f>
        <x:v>-9.680851063830387</x:v>
      </x:c>
      <x:c r="AC1115" s="20" t="n">
        <x:f>IF(OR(N1115="",AA1115="",AA1115=0),"",AB1115/AA1115)</x:f>
        <x:v>-0.48404255319151934</x:v>
      </x:c>
      <x:c r="AD1115" t="str">
        <x:f>IF(AA1115="","NO STANDARD",IF(AC1115&lt;=Config_Status!$B$2,"EFFICIENT",IF(AC1115&lt;=Config_Status!$B$3,"NORMAL",IF(AC1115&lt;=Config_Status!$B$4,"WARNING","OVER CONSUMPTION"))))</x:f>
        <x:v>EFFICIENT</x:v>
      </x:c>
      <x:c r="AE1115" t="str">
        <x:f>IFERROR(VLOOKUP(G1115,Master_Unit!$A$2:$N$78,13,FALSE),"UNIT NOT FOUND")</x:f>
        <x:v>Matched</x:v>
      </x:c>
    </x:row>
    <x:row r="1116">
      <x:c r="A1116" s="12" t="str">
        <x:v>FU-20260617-01115</x:v>
      </x:c>
      <x:c r="B1116" s="12" t="n">
        <x:v>1245</x:v>
      </x:c>
      <x:c r="C1116" s="14" t="n">
        <x:v>46190</x:v>
      </x:c>
      <x:c r="D1116" s="12" t="str">
        <x:v>Rabu</x:v>
      </x:c>
      <x:c r="E1116" s="12" t="str">
        <x:v>06:18:00</x:v>
      </x:c>
      <x:c r="F1116" s="12" t="str">
        <x:v>All Shift Day</x:v>
      </x:c>
      <x:c r="G1116" s="12" t="str">
        <x:v>GSHT25G001</x:v>
      </x:c>
      <x:c r="H1116" s="12" t="str">
        <x:v>Genset</x:v>
      </x:c>
      <x:c r="I1116" s="12" t="str">
        <x:v>GENSET HARTECH HT-250-V</x:v>
      </x:c>
      <x:c r="J1116" s="16" t="n">
        <x:v>400</x:v>
      </x:c>
      <x:c r="K1116" s="16" t="n">
        <x:v>1874.41</x:v>
      </x:c>
      <x:c r="L1116" s="16" t="n">
        <x:v>1898.56</x:v>
      </x:c>
      <x:c r="M1116" s="16" t="n">
        <x:v>24.149999999999864</x:v>
      </x:c>
      <x:c r="N1116" s="16" t="n">
        <x:v>16.5631469979297</x:v>
      </x:c>
      <x:c r="O1116" s="12" t="str">
        <x:v>FTRL44G004</x:v>
      </x:c>
      <x:c r="P1116" s="12" t="str">
        <x:v>GSHT25G001</x:v>
      </x:c>
      <x:c r="Q1116" s="12" t="str"/>
      <x:c r="R1116" s="12" t="str"/>
      <x:c r="S1116" s="12" t="str"/>
      <x:c r="T1116" s="12" t="str">
        <x:v>ABM</x:v>
      </x:c>
      <x:c r="U1116" s="12" t="str"/>
      <x:c r="V1116" s="12" t="str"/>
      <x:c r="W1116" s="12" t="str"/>
      <x:c r="X1116" s="12" t="str">
        <x:v>GSHT25</x:v>
      </x:c>
      <x:c r="Y1116" s="12" t="str">
        <x:v>RAFIF &amp; YOGI</x:v>
      </x:c>
      <x:c r="Z1116" s="12" t="str">
        <x:v>PIT</x:v>
      </x:c>
      <x:c r="AA1116" s="32" t="n">
        <x:f>IFERROR(VLOOKUP(G1116,Master_Unit!$A$2:$N$78,7,FALSE),"")</x:f>
        <x:v>15</x:v>
      </x:c>
      <x:c r="AB1116" s="32" t="n">
        <x:f>IF(OR(N1116="",AA1116=""),"",N1116-AA1116)</x:f>
        <x:v>1.5631469979296995</x:v>
      </x:c>
      <x:c r="AC1116" s="20" t="n">
        <x:f>IF(OR(N1116="",AA1116="",AA1116=0),"",AB1116/AA1116)</x:f>
        <x:v>0.10420979986197997</x:v>
      </x:c>
      <x:c r="AD1116" t="str">
        <x:f>IF(AA1116="","NO STANDARD",IF(AC1116&lt;=Config_Status!$B$2,"EFFICIENT",IF(AC1116&lt;=Config_Status!$B$3,"NORMAL",IF(AC1116&lt;=Config_Status!$B$4,"WARNING","OVER CONSUMPTION"))))</x:f>
        <x:v>WARNING</x:v>
      </x:c>
      <x:c r="AE1116" t="str">
        <x:f>IFERROR(VLOOKUP(G1116,Master_Unit!$A$2:$N$78,13,FALSE),"UNIT NOT FOUND")</x:f>
        <x:v>Matched</x:v>
      </x:c>
    </x:row>
    <x:row r="1117">
      <x:c r="A1117" s="12" t="str">
        <x:v>FU-20260617-01116</x:v>
      </x:c>
      <x:c r="B1117" s="12" t="n">
        <x:v>1246</x:v>
      </x:c>
      <x:c r="C1117" s="14" t="n">
        <x:v>46190</x:v>
      </x:c>
      <x:c r="D1117" s="12" t="str">
        <x:v>Rabu</x:v>
      </x:c>
      <x:c r="E1117" s="12" t="str">
        <x:v>06:20:00</x:v>
      </x:c>
      <x:c r="F1117" s="12" t="str">
        <x:v>All Shift Day</x:v>
      </x:c>
      <x:c r="G1117" s="12" t="str">
        <x:v>EXVV21G037</x:v>
      </x:c>
      <x:c r="H1117" s="12" t="str">
        <x:v>Excavator</x:v>
      </x:c>
      <x:c r="I1117" s="12" t="str">
        <x:v>EXCAVATOR VOLVO EC210D</x:v>
      </x:c>
      <x:c r="J1117" s="16" t="n">
        <x:v>84</x:v>
      </x:c>
      <x:c r="K1117" s="16" t="n">
        <x:v>6952.9</x:v>
      </x:c>
      <x:c r="L1117" s="16" t="n">
        <x:v>6960.6</x:v>
      </x:c>
      <x:c r="M1117" s="16" t="n">
        <x:v>7.700000000000728</x:v>
      </x:c>
      <x:c r="N1117" s="16" t="n">
        <x:v>10.909090909089878</x:v>
      </x:c>
      <x:c r="O1117" s="12" t="str">
        <x:v>FTRL44G004</x:v>
      </x:c>
      <x:c r="P1117" s="12" t="str">
        <x:v>EXVV21G037</x:v>
      </x:c>
      <x:c r="Q1117" s="12" t="str"/>
      <x:c r="R1117" s="12" t="str"/>
      <x:c r="S1117" s="12" t="str"/>
      <x:c r="T1117" s="12" t="str">
        <x:v>ABM</x:v>
      </x:c>
      <x:c r="U1117" s="12" t="str"/>
      <x:c r="V1117" s="12" t="str"/>
      <x:c r="W1117" s="12" t="str"/>
      <x:c r="X1117" s="12" t="str">
        <x:v>EXVV21</x:v>
      </x:c>
      <x:c r="Y1117" s="12" t="str">
        <x:v>RAFIF &amp; YOGI</x:v>
      </x:c>
      <x:c r="Z1117" s="12" t="str">
        <x:v>SUPPORT</x:v>
      </x:c>
      <x:c r="AA1117" s="32" t="n">
        <x:f>IFERROR(VLOOKUP(G1117,Master_Unit!$A$2:$N$78,7,FALSE),"")</x:f>
        <x:v>20</x:v>
      </x:c>
      <x:c r="AB1117" s="32" t="n">
        <x:f>IF(OR(N1117="",AA1117=""),"",N1117-AA1117)</x:f>
        <x:v>-9.090909090910122</x:v>
      </x:c>
      <x:c r="AC1117" s="20" t="n">
        <x:f>IF(OR(N1117="",AA1117="",AA1117=0),"",AB1117/AA1117)</x:f>
        <x:v>-0.4545454545455061</x:v>
      </x:c>
      <x:c r="AD1117" t="str">
        <x:f>IF(AA1117="","NO STANDARD",IF(AC1117&lt;=Config_Status!$B$2,"EFFICIENT",IF(AC1117&lt;=Config_Status!$B$3,"NORMAL",IF(AC1117&lt;=Config_Status!$B$4,"WARNING","OVER CONSUMPTION"))))</x:f>
        <x:v>EFFICIENT</x:v>
      </x:c>
      <x:c r="AE1117" t="str">
        <x:f>IFERROR(VLOOKUP(G1117,Master_Unit!$A$2:$N$78,13,FALSE),"UNIT NOT FOUND")</x:f>
        <x:v>Matched</x:v>
      </x:c>
    </x:row>
    <x:row r="1118">
      <x:c r="A1118" s="12" t="str">
        <x:v>FU-20260617-01117</x:v>
      </x:c>
      <x:c r="B1118" s="12" t="n">
        <x:v>1247</x:v>
      </x:c>
      <x:c r="C1118" s="14" t="n">
        <x:v>46190</x:v>
      </x:c>
      <x:c r="D1118" s="12" t="str">
        <x:v>Rabu</x:v>
      </x:c>
      <x:c r="E1118" s="12" t="str">
        <x:v>06:28:00</x:v>
      </x:c>
      <x:c r="F1118" s="12" t="str">
        <x:v>All Shift Day</x:v>
      </x:c>
      <x:c r="G1118" s="12" t="str">
        <x:v>EXVV21G035</x:v>
      </x:c>
      <x:c r="H1118" s="12" t="str">
        <x:v>Excavator</x:v>
      </x:c>
      <x:c r="I1118" s="12" t="str">
        <x:v>EXCAVATOR VOLVO EC210D</x:v>
      </x:c>
      <x:c r="J1118" s="16" t="n">
        <x:v>100</x:v>
      </x:c>
      <x:c r="K1118" s="16" t="n">
        <x:v>8484</x:v>
      </x:c>
      <x:c r="L1118" s="16" t="n">
        <x:v>8497.1</x:v>
      </x:c>
      <x:c r="M1118" s="16" t="n">
        <x:v>13.100000000000364</x:v>
      </x:c>
      <x:c r="N1118" s="16" t="n">
        <x:v>7.63358778625933</x:v>
      </x:c>
      <x:c r="O1118" s="12" t="str">
        <x:v>FTRL44G004</x:v>
      </x:c>
      <x:c r="P1118" s="12" t="str">
        <x:v>EXVV21G035</x:v>
      </x:c>
      <x:c r="Q1118" s="12" t="str"/>
      <x:c r="R1118" s="12" t="str"/>
      <x:c r="S1118" s="12" t="str"/>
      <x:c r="T1118" s="12" t="str">
        <x:v>ABM</x:v>
      </x:c>
      <x:c r="U1118" s="12" t="str"/>
      <x:c r="V1118" s="12" t="str"/>
      <x:c r="W1118" s="12" t="str"/>
      <x:c r="X1118" s="12" t="str">
        <x:v>EXVV21</x:v>
      </x:c>
      <x:c r="Y1118" s="12" t="str">
        <x:v>RAFIF &amp; YOGI</x:v>
      </x:c>
      <x:c r="Z1118" s="12" t="str">
        <x:v>SUPPORT</x:v>
      </x:c>
      <x:c r="AA1118" s="32" t="n">
        <x:f>IFERROR(VLOOKUP(G1118,Master_Unit!$A$2:$N$78,7,FALSE),"")</x:f>
        <x:v>20</x:v>
      </x:c>
      <x:c r="AB1118" s="32" t="n">
        <x:f>IF(OR(N1118="",AA1118=""),"",N1118-AA1118)</x:f>
        <x:v>-12.36641221374067</x:v>
      </x:c>
      <x:c r="AC1118" s="20" t="n">
        <x:f>IF(OR(N1118="",AA1118="",AA1118=0),"",AB1118/AA1118)</x:f>
        <x:v>-0.6183206106870335</x:v>
      </x:c>
      <x:c r="AD1118" t="str">
        <x:f>IF(AA1118="","NO STANDARD",IF(AC1118&lt;=Config_Status!$B$2,"EFFICIENT",IF(AC1118&lt;=Config_Status!$B$3,"NORMAL",IF(AC1118&lt;=Config_Status!$B$4,"WARNING","OVER CONSUMPTION"))))</x:f>
        <x:v>EFFICIENT</x:v>
      </x:c>
      <x:c r="AE1118" t="str">
        <x:f>IFERROR(VLOOKUP(G1118,Master_Unit!$A$2:$N$78,13,FALSE),"UNIT NOT FOUND")</x:f>
        <x:v>Matched</x:v>
      </x:c>
    </x:row>
    <x:row r="1119">
      <x:c r="A1119" s="12" t="str">
        <x:v>FU-20260617-01118</x:v>
      </x:c>
      <x:c r="B1119" s="12" t="n">
        <x:v>1248</x:v>
      </x:c>
      <x:c r="C1119" s="14" t="n">
        <x:v>46190</x:v>
      </x:c>
      <x:c r="D1119" s="12" t="str">
        <x:v>Rabu</x:v>
      </x:c>
      <x:c r="E1119" s="12" t="str">
        <x:v>06:32:00</x:v>
      </x:c>
      <x:c r="F1119" s="12" t="str">
        <x:v>All Shift Day</x:v>
      </x:c>
      <x:c r="G1119" s="12" t="str">
        <x:v>EXVV21G039</x:v>
      </x:c>
      <x:c r="H1119" s="12" t="str">
        <x:v>Excavator</x:v>
      </x:c>
      <x:c r="I1119" s="12" t="str">
        <x:v>EXCAVATOR VOLVO EC210D</x:v>
      </x:c>
      <x:c r="J1119" s="16" t="n">
        <x:v>97</x:v>
      </x:c>
      <x:c r="K1119" s="16" t="n">
        <x:v>6383.4</x:v>
      </x:c>
      <x:c r="L1119" s="16" t="n">
        <x:v>6392.7</x:v>
      </x:c>
      <x:c r="M1119" s="16" t="n">
        <x:v>9.300000000000182</x:v>
      </x:c>
      <x:c r="N1119" s="16" t="n">
        <x:v>10.430107526881516</x:v>
      </x:c>
      <x:c r="O1119" s="12" t="str">
        <x:v>FTRL44G004</x:v>
      </x:c>
      <x:c r="P1119" s="12" t="str">
        <x:v>EXVV21G039</x:v>
      </x:c>
      <x:c r="Q1119" s="12" t="str"/>
      <x:c r="R1119" s="12" t="str"/>
      <x:c r="S1119" s="12" t="str"/>
      <x:c r="T1119" s="12" t="str">
        <x:v>ABM</x:v>
      </x:c>
      <x:c r="U1119" s="12" t="str"/>
      <x:c r="V1119" s="12" t="str"/>
      <x:c r="W1119" s="12" t="str"/>
      <x:c r="X1119" s="12" t="str">
        <x:v>EXVV21</x:v>
      </x:c>
      <x:c r="Y1119" s="12" t="str">
        <x:v>RAFIF &amp; YOGI</x:v>
      </x:c>
      <x:c r="Z1119" s="12" t="str">
        <x:v>SUPPORT</x:v>
      </x:c>
      <x:c r="AA1119" s="32" t="n">
        <x:f>IFERROR(VLOOKUP(G1119,Master_Unit!$A$2:$N$78,7,FALSE),"")</x:f>
        <x:v>20</x:v>
      </x:c>
      <x:c r="AB1119" s="32" t="n">
        <x:f>IF(OR(N1119="",AA1119=""),"",N1119-AA1119)</x:f>
        <x:v>-9.569892473118484</x:v>
      </x:c>
      <x:c r="AC1119" s="20" t="n">
        <x:f>IF(OR(N1119="",AA1119="",AA1119=0),"",AB1119/AA1119)</x:f>
        <x:v>-0.4784946236559242</x:v>
      </x:c>
      <x:c r="AD1119" t="str">
        <x:f>IF(AA1119="","NO STANDARD",IF(AC1119&lt;=Config_Status!$B$2,"EFFICIENT",IF(AC1119&lt;=Config_Status!$B$3,"NORMAL",IF(AC1119&lt;=Config_Status!$B$4,"WARNING","OVER CONSUMPTION"))))</x:f>
        <x:v>EFFICIENT</x:v>
      </x:c>
      <x:c r="AE1119" t="str">
        <x:f>IFERROR(VLOOKUP(G1119,Master_Unit!$A$2:$N$78,13,FALSE),"UNIT NOT FOUND")</x:f>
        <x:v>Matched</x:v>
      </x:c>
    </x:row>
    <x:row r="1120">
      <x:c r="A1120" s="12" t="str">
        <x:v>FU-20260617-01119</x:v>
      </x:c>
      <x:c r="B1120" s="12" t="n">
        <x:v>1249</x:v>
      </x:c>
      <x:c r="C1120" s="14" t="n">
        <x:v>46190</x:v>
      </x:c>
      <x:c r="D1120" s="12" t="str">
        <x:v>Rabu</x:v>
      </x:c>
      <x:c r="E1120" s="12" t="str">
        <x:v>06:36:00</x:v>
      </x:c>
      <x:c r="F1120" s="12" t="str">
        <x:v>All Shift Day</x:v>
      </x:c>
      <x:c r="G1120" s="12" t="str">
        <x:v>EXVV35G005</x:v>
      </x:c>
      <x:c r="H1120" s="12" t="str">
        <x:v>Excavator</x:v>
      </x:c>
      <x:c r="I1120" s="12" t="str">
        <x:v>EXCAVATOR VOLVO EC350D</x:v>
      </x:c>
      <x:c r="J1120" s="16" t="n">
        <x:v>134</x:v>
      </x:c>
      <x:c r="K1120" s="16" t="n">
        <x:v>5276.3</x:v>
      </x:c>
      <x:c r="L1120" s="16" t="n">
        <x:v>5283</x:v>
      </x:c>
      <x:c r="M1120" s="16" t="n">
        <x:v>6.699999999999818</x:v>
      </x:c>
      <x:c r="N1120" s="16" t="n">
        <x:v>20.000000000000544</x:v>
      </x:c>
      <x:c r="O1120" s="12" t="str">
        <x:v>FTRL44G004</x:v>
      </x:c>
      <x:c r="P1120" s="12" t="str">
        <x:v>EXVV35G005</x:v>
      </x:c>
      <x:c r="Q1120" s="12" t="str"/>
      <x:c r="R1120" s="12" t="str"/>
      <x:c r="S1120" s="12" t="str"/>
      <x:c r="T1120" s="12" t="str">
        <x:v>ABM</x:v>
      </x:c>
      <x:c r="U1120" s="12" t="str"/>
      <x:c r="V1120" s="12" t="str"/>
      <x:c r="W1120" s="12" t="str"/>
      <x:c r="X1120" s="12" t="str">
        <x:v>EXVV35</x:v>
      </x:c>
      <x:c r="Y1120" s="12" t="str">
        <x:v>RAFIF &amp; YOGI</x:v>
      </x:c>
      <x:c r="Z1120" s="12" t="str">
        <x:v>SUPPORT</x:v>
      </x:c>
      <x:c r="AA1120" s="32" t="n">
        <x:f>IFERROR(VLOOKUP(G1120,Master_Unit!$A$2:$N$78,7,FALSE),"")</x:f>
        <x:v>25</x:v>
      </x:c>
      <x:c r="AB1120" s="32" t="n">
        <x:f>IF(OR(N1120="",AA1120=""),"",N1120-AA1120)</x:f>
        <x:v>-4.999999999999456</x:v>
      </x:c>
      <x:c r="AC1120" s="20" t="n">
        <x:f>IF(OR(N1120="",AA1120="",AA1120=0),"",AB1120/AA1120)</x:f>
        <x:v>-0.19999999999997825</x:v>
      </x:c>
      <x:c r="AD1120" t="str">
        <x:f>IF(AA1120="","NO STANDARD",IF(AC1120&lt;=Config_Status!$B$2,"EFFICIENT",IF(AC1120&lt;=Config_Status!$B$3,"NORMAL",IF(AC1120&lt;=Config_Status!$B$4,"WARNING","OVER CONSUMPTION"))))</x:f>
        <x:v>EFFICIENT</x:v>
      </x:c>
      <x:c r="AE1120" t="str">
        <x:f>IFERROR(VLOOKUP(G1120,Master_Unit!$A$2:$N$78,13,FALSE),"UNIT NOT FOUND")</x:f>
        <x:v>Matched</x:v>
      </x:c>
    </x:row>
    <x:row r="1121">
      <x:c r="A1121" s="12" t="str">
        <x:v>FU-20260617-01120</x:v>
      </x:c>
      <x:c r="B1121" s="12" t="n">
        <x:v>1250</x:v>
      </x:c>
      <x:c r="C1121" s="14" t="n">
        <x:v>46190</x:v>
      </x:c>
      <x:c r="D1121" s="12" t="str">
        <x:v>Rabu</x:v>
      </x:c>
      <x:c r="E1121" s="12" t="str">
        <x:v>06:41:00</x:v>
      </x:c>
      <x:c r="F1121" s="12" t="str">
        <x:v>All Shift Day</x:v>
      </x:c>
      <x:c r="G1121" s="12" t="str">
        <x:v>GSHT10G001</x:v>
      </x:c>
      <x:c r="H1121" s="12" t="str">
        <x:v>Genset</x:v>
      </x:c>
      <x:c r="I1121" s="12" t="str">
        <x:v>GENSET HARTECH HT-10</x:v>
      </x:c>
      <x:c r="J1121" s="16" t="n">
        <x:v>10</x:v>
      </x:c>
      <x:c r="K1121" s="16" t="n">
        <x:v>6002.23</x:v>
      </x:c>
      <x:c r="L1121" s="16" t="n">
        <x:v>6013.9</x:v>
      </x:c>
      <x:c r="M1121" s="16" t="n">
        <x:v>11.670000000000073</x:v>
      </x:c>
      <x:c r="N1121" s="16" t="n">
        <x:v>0.8568980291345276</x:v>
      </x:c>
      <x:c r="O1121" s="12" t="str">
        <x:v>FTRL44G004</x:v>
      </x:c>
      <x:c r="P1121" s="12" t="str">
        <x:v>GSHT10G001</x:v>
      </x:c>
      <x:c r="Q1121" s="12" t="str"/>
      <x:c r="R1121" s="12" t="str"/>
      <x:c r="S1121" s="12" t="str"/>
      <x:c r="T1121" s="12" t="str">
        <x:v>ABM</x:v>
      </x:c>
      <x:c r="U1121" s="12" t="str"/>
      <x:c r="V1121" s="12" t="str"/>
      <x:c r="W1121" s="12" t="str"/>
      <x:c r="X1121" s="12" t="str">
        <x:v>GSHT10</x:v>
      </x:c>
      <x:c r="Y1121" s="12" t="str">
        <x:v>RAFIF &amp; YOGI</x:v>
      </x:c>
      <x:c r="Z1121" s="12" t="str">
        <x:v>COAL HAULING</x:v>
      </x:c>
      <x:c r="AA1121" s="32" t="n">
        <x:f>IFERROR(VLOOKUP(G1121,Master_Unit!$A$2:$N$78,7,FALSE),"")</x:f>
        <x:v>3</x:v>
      </x:c>
      <x:c r="AB1121" s="32" t="n">
        <x:f>IF(OR(N1121="",AA1121=""),"",N1121-AA1121)</x:f>
        <x:v>-2.143101970865472</x:v>
      </x:c>
      <x:c r="AC1121" s="20" t="n">
        <x:f>IF(OR(N1121="",AA1121="",AA1121=0),"",AB1121/AA1121)</x:f>
        <x:v>-0.7143673236218241</x:v>
      </x:c>
      <x:c r="AD1121" t="str">
        <x:f>IF(AA1121="","NO STANDARD",IF(AC1121&lt;=Config_Status!$B$2,"EFFICIENT",IF(AC1121&lt;=Config_Status!$B$3,"NORMAL",IF(AC1121&lt;=Config_Status!$B$4,"WARNING","OVER CONSUMPTION"))))</x:f>
        <x:v>EFFICIENT</x:v>
      </x:c>
      <x:c r="AE1121" t="str">
        <x:f>IFERROR(VLOOKUP(G1121,Master_Unit!$A$2:$N$78,13,FALSE),"UNIT NOT FOUND")</x:f>
        <x:v>Matched</x:v>
      </x:c>
    </x:row>
    <x:row r="1122">
      <x:c r="A1122" s="12" t="str">
        <x:v>FU-20260617-01121</x:v>
      </x:c>
      <x:c r="B1122" s="12" t="n">
        <x:v>1251</x:v>
      </x:c>
      <x:c r="C1122" s="14" t="n">
        <x:v>46190</x:v>
      </x:c>
      <x:c r="D1122" s="12" t="str">
        <x:v>Rabu</x:v>
      </x:c>
      <x:c r="E1122" s="12" t="str">
        <x:v>06:47:00</x:v>
      </x:c>
      <x:c r="F1122" s="12" t="str">
        <x:v>All Shift Day</x:v>
      </x:c>
      <x:c r="G1122" s="12" t="str">
        <x:v>EXVV21G042</x:v>
      </x:c>
      <x:c r="H1122" s="12" t="str">
        <x:v>Excavator</x:v>
      </x:c>
      <x:c r="I1122" s="12" t="str">
        <x:v>EXCAVATOR VOLVO EC210D</x:v>
      </x:c>
      <x:c r="J1122" s="16" t="n">
        <x:v>97</x:v>
      </x:c>
      <x:c r="K1122" s="16" t="n">
        <x:v>7838.1</x:v>
      </x:c>
      <x:c r="L1122" s="16" t="n">
        <x:v>7848.1</x:v>
      </x:c>
      <x:c r="M1122" s="16" t="n">
        <x:v>10</x:v>
      </x:c>
      <x:c r="N1122" s="16" t="n">
        <x:v>9.7</x:v>
      </x:c>
      <x:c r="O1122" s="12" t="str">
        <x:v>FTRL44G004</x:v>
      </x:c>
      <x:c r="P1122" s="12" t="str">
        <x:v>EXVV21G042</x:v>
      </x:c>
      <x:c r="Q1122" s="12" t="str"/>
      <x:c r="R1122" s="12" t="str"/>
      <x:c r="S1122" s="12" t="str"/>
      <x:c r="T1122" s="12" t="str">
        <x:v>ABM</x:v>
      </x:c>
      <x:c r="U1122" s="12" t="str"/>
      <x:c r="V1122" s="12" t="str"/>
      <x:c r="W1122" s="12" t="str"/>
      <x:c r="X1122" s="12" t="str">
        <x:v>EXVV21</x:v>
      </x:c>
      <x:c r="Y1122" s="12" t="str">
        <x:v>RAFIF &amp; YOGI</x:v>
      </x:c>
      <x:c r="Z1122" s="12" t="str">
        <x:v>COAL HAULING</x:v>
      </x:c>
      <x:c r="AA1122" s="32" t="n">
        <x:f>IFERROR(VLOOKUP(G1122,Master_Unit!$A$2:$N$78,7,FALSE),"")</x:f>
        <x:v>20</x:v>
      </x:c>
      <x:c r="AB1122" s="32" t="n">
        <x:f>IF(OR(N1122="",AA1122=""),"",N1122-AA1122)</x:f>
        <x:v>-10.3</x:v>
      </x:c>
      <x:c r="AC1122" s="20" t="n">
        <x:f>IF(OR(N1122="",AA1122="",AA1122=0),"",AB1122/AA1122)</x:f>
        <x:v>-0.515</x:v>
      </x:c>
      <x:c r="AD1122" t="str">
        <x:f>IF(AA1122="","NO STANDARD",IF(AC1122&lt;=Config_Status!$B$2,"EFFICIENT",IF(AC1122&lt;=Config_Status!$B$3,"NORMAL",IF(AC1122&lt;=Config_Status!$B$4,"WARNING","OVER CONSUMPTION"))))</x:f>
        <x:v>EFFICIENT</x:v>
      </x:c>
      <x:c r="AE1122" t="str">
        <x:f>IFERROR(VLOOKUP(G1122,Master_Unit!$A$2:$N$78,13,FALSE),"UNIT NOT FOUND")</x:f>
        <x:v>Matched</x:v>
      </x:c>
    </x:row>
    <x:row r="1123">
      <x:c r="A1123" s="12" t="str">
        <x:v>FU-20260617-01122</x:v>
      </x:c>
      <x:c r="B1123" s="12" t="n">
        <x:v>1252</x:v>
      </x:c>
      <x:c r="C1123" s="14" t="n">
        <x:v>46190</x:v>
      </x:c>
      <x:c r="D1123" s="12" t="str">
        <x:v>Rabu</x:v>
      </x:c>
      <x:c r="E1123" s="12" t="str">
        <x:v>06:55:00</x:v>
      </x:c>
      <x:c r="F1123" s="12" t="str">
        <x:v>All Shift Day</x:v>
      </x:c>
      <x:c r="G1123" s="12" t="str">
        <x:v>GSHT10G002</x:v>
      </x:c>
      <x:c r="H1123" s="12" t="str">
        <x:v>Genset</x:v>
      </x:c>
      <x:c r="I1123" s="12" t="str">
        <x:v>GENSET HARTECH HT-10</x:v>
      </x:c>
      <x:c r="J1123" s="16" t="n">
        <x:v>13</x:v>
      </x:c>
      <x:c r="K1123" s="16" t="n">
        <x:v>8589.39</x:v>
      </x:c>
      <x:c r="L1123" s="16" t="n">
        <x:v>8604.35</x:v>
      </x:c>
      <x:c r="M1123" s="16" t="n">
        <x:v>14.960000000000946</x:v>
      </x:c>
      <x:c r="N1123" s="16" t="n">
        <x:v>0.8689839572191964</x:v>
      </x:c>
      <x:c r="O1123" s="12" t="str">
        <x:v>FTRL44G004</x:v>
      </x:c>
      <x:c r="P1123" s="12" t="str">
        <x:v>GSHT10G002</x:v>
      </x:c>
      <x:c r="Q1123" s="12" t="str"/>
      <x:c r="R1123" s="12" t="str"/>
      <x:c r="S1123" s="12" t="str"/>
      <x:c r="T1123" s="12" t="str">
        <x:v>ABM</x:v>
      </x:c>
      <x:c r="U1123" s="12" t="str"/>
      <x:c r="V1123" s="12" t="str"/>
      <x:c r="W1123" s="12" t="str"/>
      <x:c r="X1123" s="12" t="str">
        <x:v>GSHT10</x:v>
      </x:c>
      <x:c r="Y1123" s="12" t="str">
        <x:v>RAFIF &amp; YOGI</x:v>
      </x:c>
      <x:c r="Z1123" s="12" t="str">
        <x:v>COAL HAULING</x:v>
      </x:c>
      <x:c r="AA1123" s="32" t="n">
        <x:f>IFERROR(VLOOKUP(G1123,Master_Unit!$A$2:$N$78,7,FALSE),"")</x:f>
        <x:v>3</x:v>
      </x:c>
      <x:c r="AB1123" s="32" t="n">
        <x:f>IF(OR(N1123="",AA1123=""),"",N1123-AA1123)</x:f>
        <x:v>-2.1310160427808036</x:v>
      </x:c>
      <x:c r="AC1123" s="20" t="n">
        <x:f>IF(OR(N1123="",AA1123="",AA1123=0),"",AB1123/AA1123)</x:f>
        <x:v>-0.7103386809269345</x:v>
      </x:c>
      <x:c r="AD1123" t="str">
        <x:f>IF(AA1123="","NO STANDARD",IF(AC1123&lt;=Config_Status!$B$2,"EFFICIENT",IF(AC1123&lt;=Config_Status!$B$3,"NORMAL",IF(AC1123&lt;=Config_Status!$B$4,"WARNING","OVER CONSUMPTION"))))</x:f>
        <x:v>EFFICIENT</x:v>
      </x:c>
      <x:c r="AE1123" t="str">
        <x:f>IFERROR(VLOOKUP(G1123,Master_Unit!$A$2:$N$78,13,FALSE),"UNIT NOT FOUND")</x:f>
        <x:v>Matched</x:v>
      </x:c>
    </x:row>
    <x:row r="1124">
      <x:c r="A1124" s="12" t="str">
        <x:v>FU-20260617-01123</x:v>
      </x:c>
      <x:c r="B1124" s="12" t="n">
        <x:v>1253</x:v>
      </x:c>
      <x:c r="C1124" s="14" t="n">
        <x:v>46190</x:v>
      </x:c>
      <x:c r="D1124" s="12" t="str">
        <x:v>Rabu</x:v>
      </x:c>
      <x:c r="E1124" s="12" t="str">
        <x:v>06:59:00</x:v>
      </x:c>
      <x:c r="F1124" s="12" t="str">
        <x:v>All Shift Day</x:v>
      </x:c>
      <x:c r="G1124" s="12" t="str">
        <x:v>BDKM85G040</x:v>
      </x:c>
      <x:c r="H1124" s="12" t="str">
        <x:v>Dozer</x:v>
      </x:c>
      <x:c r="I1124" s="12" t="str">
        <x:v>BULDOZER KOMATSU D85ESS-2</x:v>
      </x:c>
      <x:c r="J1124" s="16" t="n">
        <x:v>69</x:v>
      </x:c>
      <x:c r="K1124" s="16" t="n">
        <x:v>6309.8</x:v>
      </x:c>
      <x:c r="L1124" s="16" t="n">
        <x:v>6320.2</x:v>
      </x:c>
      <x:c r="M1124" s="16" t="n">
        <x:v>10.399999999999636</x:v>
      </x:c>
      <x:c r="N1124" s="16" t="n">
        <x:v>6.634615384615617</x:v>
      </x:c>
      <x:c r="O1124" s="12" t="str">
        <x:v>FTRL44G004</x:v>
      </x:c>
      <x:c r="P1124" s="12" t="str">
        <x:v>BDKM85G040</x:v>
      </x:c>
      <x:c r="Q1124" s="12" t="str"/>
      <x:c r="R1124" s="12" t="str"/>
      <x:c r="S1124" s="12" t="str"/>
      <x:c r="T1124" s="12" t="str">
        <x:v>ABM</x:v>
      </x:c>
      <x:c r="U1124" s="12" t="str"/>
      <x:c r="V1124" s="12" t="str"/>
      <x:c r="W1124" s="12" t="str"/>
      <x:c r="X1124" s="12" t="str">
        <x:v>BDKM85</x:v>
      </x:c>
      <x:c r="Y1124" s="12" t="str">
        <x:v>RAFIF &amp; YOGI</x:v>
      </x:c>
      <x:c r="Z1124" s="12" t="str">
        <x:v>COAL HAULING</x:v>
      </x:c>
      <x:c r="AA1124" s="32" t="n">
        <x:f>IFERROR(VLOOKUP(G1124,Master_Unit!$A$2:$N$78,7,FALSE),"")</x:f>
        <x:v>30</x:v>
      </x:c>
      <x:c r="AB1124" s="32" t="n">
        <x:f>IF(OR(N1124="",AA1124=""),"",N1124-AA1124)</x:f>
        <x:v>-23.365384615384382</x:v>
      </x:c>
      <x:c r="AC1124" s="20" t="n">
        <x:f>IF(OR(N1124="",AA1124="",AA1124=0),"",AB1124/AA1124)</x:f>
        <x:v>-0.7788461538461461</x:v>
      </x:c>
      <x:c r="AD1124" t="str">
        <x:f>IF(AA1124="","NO STANDARD",IF(AC1124&lt;=Config_Status!$B$2,"EFFICIENT",IF(AC1124&lt;=Config_Status!$B$3,"NORMAL",IF(AC1124&lt;=Config_Status!$B$4,"WARNING","OVER CONSUMPTION"))))</x:f>
        <x:v>EFFICIENT</x:v>
      </x:c>
      <x:c r="AE1124" t="str">
        <x:f>IFERROR(VLOOKUP(G1124,Master_Unit!$A$2:$N$78,13,FALSE),"UNIT NOT FOUND")</x:f>
        <x:v>Matched</x:v>
      </x:c>
    </x:row>
    <x:row r="1125">
      <x:c r="A1125" s="12" t="str">
        <x:v>FU-20260617-01124</x:v>
      </x:c>
      <x:c r="B1125" s="12" t="n">
        <x:v>1254</x:v>
      </x:c>
      <x:c r="C1125" s="14" t="n">
        <x:v>46190</x:v>
      </x:c>
      <x:c r="D1125" s="12" t="str">
        <x:v>Rabu</x:v>
      </x:c>
      <x:c r="E1125" s="12" t="str">
        <x:v>07:03:00</x:v>
      </x:c>
      <x:c r="F1125" s="12" t="str">
        <x:v>All Shift Day</x:v>
      </x:c>
      <x:c r="G1125" s="12" t="str">
        <x:v>EXVV21G043</x:v>
      </x:c>
      <x:c r="H1125" s="12" t="str">
        <x:v>Excavator</x:v>
      </x:c>
      <x:c r="I1125" s="12" t="str">
        <x:v>EXCAVATOR VOLVO EC210D</x:v>
      </x:c>
      <x:c r="J1125" s="16" t="n">
        <x:v>84</x:v>
      </x:c>
      <x:c r="K1125" s="16" t="n">
        <x:v>5397.4</x:v>
      </x:c>
      <x:c r="L1125" s="16" t="n">
        <x:v>5398.8</x:v>
      </x:c>
      <x:c r="M1125" s="16" t="n">
        <x:v>1.4000000000005457</x:v>
      </x:c>
      <x:c r="N1125" s="16" t="n">
        <x:v>59.999999999976616</x:v>
      </x:c>
      <x:c r="O1125" s="12" t="str">
        <x:v>FTRL44G004</x:v>
      </x:c>
      <x:c r="P1125" s="12" t="str">
        <x:v>EXVV21G043</x:v>
      </x:c>
      <x:c r="Q1125" s="12" t="str"/>
      <x:c r="R1125" s="12" t="str"/>
      <x:c r="S1125" s="12" t="str"/>
      <x:c r="T1125" s="12" t="str">
        <x:v>ABM</x:v>
      </x:c>
      <x:c r="U1125" s="12" t="str"/>
      <x:c r="V1125" s="12" t="str"/>
      <x:c r="W1125" s="12" t="str"/>
      <x:c r="X1125" s="12" t="str">
        <x:v>EXVV21</x:v>
      </x:c>
      <x:c r="Y1125" s="12" t="str">
        <x:v>RAFIF &amp; YOGI</x:v>
      </x:c>
      <x:c r="Z1125" s="12" t="str">
        <x:v>COAL HAULING</x:v>
      </x:c>
      <x:c r="AA1125" s="32" t="n">
        <x:f>IFERROR(VLOOKUP(G1125,Master_Unit!$A$2:$N$78,7,FALSE),"")</x:f>
        <x:v>20</x:v>
      </x:c>
      <x:c r="AB1125" s="32" t="n">
        <x:f>IF(OR(N1125="",AA1125=""),"",N1125-AA1125)</x:f>
        <x:v>39.999999999976616</x:v>
      </x:c>
      <x:c r="AC1125" s="20" t="n">
        <x:f>IF(OR(N1125="",AA1125="",AA1125=0),"",AB1125/AA1125)</x:f>
        <x:v>1.9999999999988307</x:v>
      </x:c>
      <x:c r="AD1125" t="str">
        <x:f>IF(AA1125="","NO STANDARD",IF(AC1125&lt;=Config_Status!$B$2,"EFFICIENT",IF(AC1125&lt;=Config_Status!$B$3,"NORMAL",IF(AC1125&lt;=Config_Status!$B$4,"WARNING","OVER CONSUMPTION"))))</x:f>
        <x:v>OVER CONSUMPTION</x:v>
      </x:c>
      <x:c r="AE1125" t="str">
        <x:f>IFERROR(VLOOKUP(G1125,Master_Unit!$A$2:$N$78,13,FALSE),"UNIT NOT FOUND")</x:f>
        <x:v>Matched</x:v>
      </x:c>
    </x:row>
    <x:row r="1126">
      <x:c r="A1126" s="12" t="str">
        <x:v>FU-20260617-01125</x:v>
      </x:c>
      <x:c r="B1126" s="12" t="n">
        <x:v>1255</x:v>
      </x:c>
      <x:c r="C1126" s="14" t="n">
        <x:v>46190</x:v>
      </x:c>
      <x:c r="D1126" s="12" t="str">
        <x:v>Rabu</x:v>
      </x:c>
      <x:c r="E1126" s="12" t="str">
        <x:v>07:12:00</x:v>
      </x:c>
      <x:c r="F1126" s="12" t="str">
        <x:v>All Shift Day</x:v>
      </x:c>
      <x:c r="G1126" s="12" t="str">
        <x:v>VRVV11G012</x:v>
      </x:c>
      <x:c r="H1126" s="12" t="str">
        <x:v>Compactor</x:v>
      </x:c>
      <x:c r="I1126" s="12" t="str">
        <x:v>VIBRO COMPACTOR VOLVO SD110NE</x:v>
      </x:c>
      <x:c r="J1126" s="16" t="n">
        <x:v>45</x:v>
      </x:c>
      <x:c r="K1126" s="16" t="n">
        <x:v>3354.9</x:v>
      </x:c>
      <x:c r="L1126" s="16" t="n">
        <x:v>3356.1</x:v>
      </x:c>
      <x:c r="M1126" s="16" t="n">
        <x:v>1.199999999999818</x:v>
      </x:c>
      <x:c r="N1126" s="16" t="n">
        <x:v>37.500000000005684</x:v>
      </x:c>
      <x:c r="O1126" s="12" t="str">
        <x:v>FTRL44G004</x:v>
      </x:c>
      <x:c r="P1126" s="12" t="str">
        <x:v>VRVV11G012</x:v>
      </x:c>
      <x:c r="Q1126" s="12" t="str"/>
      <x:c r="R1126" s="12" t="str"/>
      <x:c r="S1126" s="12" t="str"/>
      <x:c r="T1126" s="12" t="str">
        <x:v>ABM</x:v>
      </x:c>
      <x:c r="U1126" s="12" t="str"/>
      <x:c r="V1126" s="12" t="str"/>
      <x:c r="W1126" s="12" t="str"/>
      <x:c r="X1126" s="12" t="str">
        <x:v>VRVV11</x:v>
      </x:c>
      <x:c r="Y1126" s="12" t="str">
        <x:v>RAFIF &amp; YOGI</x:v>
      </x:c>
      <x:c r="Z1126" s="12" t="str">
        <x:v>SUPPORT</x:v>
      </x:c>
      <x:c r="AA1126" s="32" t="n">
        <x:f>IFERROR(VLOOKUP(G1126,Master_Unit!$A$2:$N$78,7,FALSE),"")</x:f>
        <x:v>15</x:v>
      </x:c>
      <x:c r="AB1126" s="32" t="n">
        <x:f>IF(OR(N1126="",AA1126=""),"",N1126-AA1126)</x:f>
        <x:v>22.500000000005684</x:v>
      </x:c>
      <x:c r="AC1126" s="20" t="n">
        <x:f>IF(OR(N1126="",AA1126="",AA1126=0),"",AB1126/AA1126)</x:f>
        <x:v>1.500000000000379</x:v>
      </x:c>
      <x:c r="AD1126" t="str">
        <x:f>IF(AA1126="","NO STANDARD",IF(AC1126&lt;=Config_Status!$B$2,"EFFICIENT",IF(AC1126&lt;=Config_Status!$B$3,"NORMAL",IF(AC1126&lt;=Config_Status!$B$4,"WARNING","OVER CONSUMPTION"))))</x:f>
        <x:v>OVER CONSUMPTION</x:v>
      </x:c>
      <x:c r="AE1126" t="str">
        <x:f>IFERROR(VLOOKUP(G1126,Master_Unit!$A$2:$N$78,13,FALSE),"UNIT NOT FOUND")</x:f>
        <x:v>Matched</x:v>
      </x:c>
    </x:row>
    <x:row r="1127">
      <x:c r="A1127" s="12" t="str">
        <x:v>FU-20260617-01126</x:v>
      </x:c>
      <x:c r="B1127" s="12" t="n">
        <x:v>1256</x:v>
      </x:c>
      <x:c r="C1127" s="14" t="n">
        <x:v>46190</x:v>
      </x:c>
      <x:c r="D1127" s="12" t="str">
        <x:v>Rabu</x:v>
      </x:c>
      <x:c r="E1127" s="12" t="str">
        <x:v>07:14:00</x:v>
      </x:c>
      <x:c r="F1127" s="12" t="str">
        <x:v>All Shift Day</x:v>
      </x:c>
      <x:c r="G1127" s="12" t="str">
        <x:v>STRL44G136</x:v>
      </x:c>
      <x:c r="H1127" s="12" t="str">
        <x:v>Dump Truck</x:v>
      </x:c>
      <x:c r="I1127" s="12" t="str">
        <x:v>DUMP TRUCK RENAULT KRANGE440-P6X4 A/T</x:v>
      </x:c>
      <x:c r="J1127" s="16" t="n">
        <x:v>75</x:v>
      </x:c>
      <x:c r="K1127" s="16" t="n">
        <x:v>5917</x:v>
      </x:c>
      <x:c r="L1127" s="16" t="n">
        <x:v>5924</x:v>
      </x:c>
      <x:c r="M1127" s="16" t="n">
        <x:v>7</x:v>
      </x:c>
      <x:c r="N1127" s="16" t="n">
        <x:v>10.714285714285714</x:v>
      </x:c>
      <x:c r="O1127" s="12" t="str">
        <x:v>FTRL44G004</x:v>
      </x:c>
      <x:c r="P1127" s="12" t="str">
        <x:v>STRL44G136</x:v>
      </x:c>
      <x:c r="Q1127" s="12" t="str"/>
      <x:c r="R1127" s="12" t="str"/>
      <x:c r="S1127" s="12" t="str"/>
      <x:c r="T1127" s="12" t="str">
        <x:v>ABM</x:v>
      </x:c>
      <x:c r="U1127" s="12" t="str"/>
      <x:c r="V1127" s="12" t="str"/>
      <x:c r="W1127" s="12" t="str"/>
      <x:c r="X1127" s="12" t="str">
        <x:v>STRL44</x:v>
      </x:c>
      <x:c r="Y1127" s="12" t="str">
        <x:v>RAFIF &amp; YOGI</x:v>
      </x:c>
      <x:c r="Z1127" s="12" t="str">
        <x:v>SUPPORT</x:v>
      </x:c>
      <x:c r="AA1127" s="32" t="n">
        <x:f>IFERROR(VLOOKUP(G1127,Master_Unit!$A$2:$N$78,7,FALSE),"")</x:f>
        <x:v>20</x:v>
      </x:c>
      <x:c r="AB1127" s="32" t="n">
        <x:f>IF(OR(N1127="",AA1127=""),"",N1127-AA1127)</x:f>
        <x:v>-9.285714285714286</x:v>
      </x:c>
      <x:c r="AC1127" s="20" t="n">
        <x:f>IF(OR(N1127="",AA1127="",AA1127=0),"",AB1127/AA1127)</x:f>
        <x:v>-0.4642857142857143</x:v>
      </x:c>
      <x:c r="AD1127" t="str">
        <x:f>IF(AA1127="","NO STANDARD",IF(AC1127&lt;=Config_Status!$B$2,"EFFICIENT",IF(AC1127&lt;=Config_Status!$B$3,"NORMAL",IF(AC1127&lt;=Config_Status!$B$4,"WARNING","OVER CONSUMPTION"))))</x:f>
        <x:v>EFFICIENT</x:v>
      </x:c>
      <x:c r="AE1127" t="str">
        <x:f>IFERROR(VLOOKUP(G1127,Master_Unit!$A$2:$N$78,13,FALSE),"UNIT NOT FOUND")</x:f>
        <x:v>Matched</x:v>
      </x:c>
    </x:row>
    <x:row r="1128">
      <x:c r="A1128" s="12" t="str">
        <x:v>FU-20260617-01127</x:v>
      </x:c>
      <x:c r="B1128" s="12" t="n">
        <x:v>1257</x:v>
      </x:c>
      <x:c r="C1128" s="14" t="n">
        <x:v>46190</x:v>
      </x:c>
      <x:c r="D1128" s="12" t="str">
        <x:v>Rabu</x:v>
      </x:c>
      <x:c r="E1128" s="12" t="str">
        <x:v>07:18:00</x:v>
      </x:c>
      <x:c r="F1128" s="12" t="str">
        <x:v>All Shift Day</x:v>
      </x:c>
      <x:c r="G1128" s="12" t="str">
        <x:v>STRL44G134</x:v>
      </x:c>
      <x:c r="H1128" s="12" t="str">
        <x:v>Dump Truck</x:v>
      </x:c>
      <x:c r="I1128" s="12" t="str">
        <x:v>DUMP TRUCK RENAULT KRANGE440-P6X4 A/T</x:v>
      </x:c>
      <x:c r="J1128" s="16" t="n">
        <x:v>91</x:v>
      </x:c>
      <x:c r="K1128" s="16" t="n">
        <x:v>5772</x:v>
      </x:c>
      <x:c r="L1128" s="16" t="n">
        <x:v>5780</x:v>
      </x:c>
      <x:c r="M1128" s="16" t="n">
        <x:v>8</x:v>
      </x:c>
      <x:c r="N1128" s="16" t="n">
        <x:v>11.375</x:v>
      </x:c>
      <x:c r="O1128" s="12" t="str">
        <x:v>FTRL44G004</x:v>
      </x:c>
      <x:c r="P1128" s="12" t="str">
        <x:v>STRL44G134</x:v>
      </x:c>
      <x:c r="Q1128" s="12" t="str"/>
      <x:c r="R1128" s="12" t="str"/>
      <x:c r="S1128" s="12" t="str"/>
      <x:c r="T1128" s="12" t="str">
        <x:v>ABM</x:v>
      </x:c>
      <x:c r="U1128" s="12" t="str"/>
      <x:c r="V1128" s="12" t="str"/>
      <x:c r="W1128" s="12" t="str"/>
      <x:c r="X1128" s="12" t="str">
        <x:v>STRL44</x:v>
      </x:c>
      <x:c r="Y1128" s="12" t="str">
        <x:v>RAFIF &amp; YOGI</x:v>
      </x:c>
      <x:c r="Z1128" s="12" t="str">
        <x:v>SUPPORT</x:v>
      </x:c>
      <x:c r="AA1128" s="32" t="n">
        <x:f>IFERROR(VLOOKUP(G1128,Master_Unit!$A$2:$N$78,7,FALSE),"")</x:f>
        <x:v>20</x:v>
      </x:c>
      <x:c r="AB1128" s="32" t="n">
        <x:f>IF(OR(N1128="",AA1128=""),"",N1128-AA1128)</x:f>
        <x:v>-8.625</x:v>
      </x:c>
      <x:c r="AC1128" s="20" t="n">
        <x:f>IF(OR(N1128="",AA1128="",AA1128=0),"",AB1128/AA1128)</x:f>
        <x:v>-0.43125</x:v>
      </x:c>
      <x:c r="AD1128" t="str">
        <x:f>IF(AA1128="","NO STANDARD",IF(AC1128&lt;=Config_Status!$B$2,"EFFICIENT",IF(AC1128&lt;=Config_Status!$B$3,"NORMAL",IF(AC1128&lt;=Config_Status!$B$4,"WARNING","OVER CONSUMPTION"))))</x:f>
        <x:v>EFFICIENT</x:v>
      </x:c>
      <x:c r="AE1128" t="str">
        <x:f>IFERROR(VLOOKUP(G1128,Master_Unit!$A$2:$N$78,13,FALSE),"UNIT NOT FOUND")</x:f>
        <x:v>Matched</x:v>
      </x:c>
    </x:row>
    <x:row r="1129">
      <x:c r="A1129" s="12" t="str">
        <x:v>FU-20260617-01128</x:v>
      </x:c>
      <x:c r="B1129" s="12" t="n">
        <x:v>1258</x:v>
      </x:c>
      <x:c r="C1129" s="14" t="n">
        <x:v>46190</x:v>
      </x:c>
      <x:c r="D1129" s="12" t="str">
        <x:v>Rabu</x:v>
      </x:c>
      <x:c r="E1129" s="12" t="str">
        <x:v>07:20:00</x:v>
      </x:c>
      <x:c r="F1129" s="12" t="str">
        <x:v>All Shift Day</x:v>
      </x:c>
      <x:c r="G1129" s="12" t="str">
        <x:v>STRL44G141</x:v>
      </x:c>
      <x:c r="H1129" s="12" t="str">
        <x:v>Dump Truck</x:v>
      </x:c>
      <x:c r="I1129" s="12" t="str">
        <x:v>DUMP TRUCK RENAULT KRANGE440-P6X4 A/T</x:v>
      </x:c>
      <x:c r="J1129" s="16" t="n">
        <x:v>79</x:v>
      </x:c>
      <x:c r="K1129" s="16" t="n">
        <x:v>3243</x:v>
      </x:c>
      <x:c r="L1129" s="16" t="n">
        <x:v>3258</x:v>
      </x:c>
      <x:c r="M1129" s="16" t="n">
        <x:v>15</x:v>
      </x:c>
      <x:c r="N1129" s="16" t="n">
        <x:v>5.266666666666667</x:v>
      </x:c>
      <x:c r="O1129" s="12" t="str">
        <x:v>FTRL44G004</x:v>
      </x:c>
      <x:c r="P1129" s="12" t="str">
        <x:v>STRL44G141</x:v>
      </x:c>
      <x:c r="Q1129" s="12" t="str"/>
      <x:c r="R1129" s="12" t="str"/>
      <x:c r="S1129" s="12" t="str"/>
      <x:c r="T1129" s="12" t="str">
        <x:v>ABM</x:v>
      </x:c>
      <x:c r="U1129" s="12" t="str"/>
      <x:c r="V1129" s="12" t="str"/>
      <x:c r="W1129" s="12" t="str"/>
      <x:c r="X1129" s="12" t="str">
        <x:v>STRL44</x:v>
      </x:c>
      <x:c r="Y1129" s="12" t="str">
        <x:v>RAFIF &amp; YOGI</x:v>
      </x:c>
      <x:c r="Z1129" s="12" t="str">
        <x:v>ETO</x:v>
      </x:c>
      <x:c r="AA1129" s="32" t="n">
        <x:f>IFERROR(VLOOKUP(G1129,Master_Unit!$A$2:$N$78,7,FALSE),"")</x:f>
        <x:v>20</x:v>
      </x:c>
      <x:c r="AB1129" s="32" t="n">
        <x:f>IF(OR(N1129="",AA1129=""),"",N1129-AA1129)</x:f>
        <x:v>-14.733333333333334</x:v>
      </x:c>
      <x:c r="AC1129" s="20" t="n">
        <x:f>IF(OR(N1129="",AA1129="",AA1129=0),"",AB1129/AA1129)</x:f>
        <x:v>-0.7366666666666667</x:v>
      </x:c>
      <x:c r="AD1129" t="str">
        <x:f>IF(AA1129="","NO STANDARD",IF(AC1129&lt;=Config_Status!$B$2,"EFFICIENT",IF(AC1129&lt;=Config_Status!$B$3,"NORMAL",IF(AC1129&lt;=Config_Status!$B$4,"WARNING","OVER CONSUMPTION"))))</x:f>
        <x:v>EFFICIENT</x:v>
      </x:c>
      <x:c r="AE1129" t="str">
        <x:f>IFERROR(VLOOKUP(G1129,Master_Unit!$A$2:$N$78,13,FALSE),"UNIT NOT FOUND")</x:f>
        <x:v>Matched</x:v>
      </x:c>
    </x:row>
    <x:row r="1130">
      <x:c r="A1130" s="12" t="str">
        <x:v>FU-20260617-01129</x:v>
      </x:c>
      <x:c r="B1130" s="12" t="n">
        <x:v>1259</x:v>
      </x:c>
      <x:c r="C1130" s="14" t="n">
        <x:v>46190</x:v>
      </x:c>
      <x:c r="D1130" s="12" t="str">
        <x:v>Rabu</x:v>
      </x:c>
      <x:c r="E1130" s="12" t="str">
        <x:v>07:23:00</x:v>
      </x:c>
      <x:c r="F1130" s="12" t="str">
        <x:v>All Shift Day</x:v>
      </x:c>
      <x:c r="G1130" s="12" t="str">
        <x:v>LVTH24R052</x:v>
      </x:c>
      <x:c r="H1130" s="12" t="str">
        <x:v>Light Vehicle</x:v>
      </x:c>
      <x:c r="I1130" s="12" t="str">
        <x:v>LIGHT VEHICLE TOYOTA HILUX</x:v>
      </x:c>
      <x:c r="J1130" s="16" t="n">
        <x:v>20</x:v>
      </x:c>
      <x:c r="K1130" s="16" t="n">
        <x:v>13447</x:v>
      </x:c>
      <x:c r="L1130" s="16" t="n">
        <x:v>13690</x:v>
      </x:c>
      <x:c r="M1130" s="16" t="n">
        <x:v>243</x:v>
      </x:c>
      <x:c r="N1130" s="16" t="n">
        <x:v>0.0823045267489712</x:v>
      </x:c>
      <x:c r="O1130" s="12" t="str">
        <x:v>FTRL44G004</x:v>
      </x:c>
      <x:c r="P1130" s="12" t="str">
        <x:v>LVTH24R052</x:v>
      </x:c>
      <x:c r="Q1130" s="12" t="str"/>
      <x:c r="R1130" s="12" t="str"/>
      <x:c r="S1130" s="12" t="str"/>
      <x:c r="T1130" s="12" t="str">
        <x:v>ABM</x:v>
      </x:c>
      <x:c r="U1130" s="12" t="str"/>
      <x:c r="V1130" s="12" t="str"/>
      <x:c r="W1130" s="12" t="str"/>
      <x:c r="X1130" s="12" t="str">
        <x:v>LVTH24</x:v>
      </x:c>
      <x:c r="Y1130" s="12" t="str">
        <x:v>RAFIF &amp; YOGI</x:v>
      </x:c>
      <x:c r="Z1130" s="12" t="str">
        <x:v>SUPPORT</x:v>
      </x:c>
      <x:c r="AA1130" s="32" t="n">
        <x:f>IFERROR(VLOOKUP(G1130,Master_Unit!$A$2:$N$78,7,FALSE),"")</x:f>
        <x:v>0.2</x:v>
      </x:c>
      <x:c r="AB1130" s="32" t="n">
        <x:f>IF(OR(N1130="",AA1130=""),"",N1130-AA1130)</x:f>
        <x:v>-0.11769547325102882</x:v>
      </x:c>
      <x:c r="AC1130" s="20" t="n">
        <x:f>IF(OR(N1130="",AA1130="",AA1130=0),"",AB1130/AA1130)</x:f>
        <x:v>-0.588477366255144</x:v>
      </x:c>
      <x:c r="AD1130" t="str">
        <x:f>IF(AA1130="","NO STANDARD",IF(AC1130&lt;=Config_Status!$B$2,"EFFICIENT",IF(AC1130&lt;=Config_Status!$B$3,"NORMAL",IF(AC1130&lt;=Config_Status!$B$4,"WARNING","OVER CONSUMPTION"))))</x:f>
        <x:v>EFFICIENT</x:v>
      </x:c>
      <x:c r="AE1130" t="str">
        <x:f>IFERROR(VLOOKUP(G1130,Master_Unit!$A$2:$N$78,13,FALSE),"UNIT NOT FOUND")</x:f>
        <x:v>Matched</x:v>
      </x:c>
    </x:row>
    <x:row r="1131">
      <x:c r="A1131" s="12" t="str">
        <x:v>FU-20260617-01130</x:v>
      </x:c>
      <x:c r="B1131" s="12" t="n">
        <x:v>1260</x:v>
      </x:c>
      <x:c r="C1131" s="14" t="n">
        <x:v>46190</x:v>
      </x:c>
      <x:c r="D1131" s="12" t="str">
        <x:v>Rabu</x:v>
      </x:c>
      <x:c r="E1131" s="12" t="str">
        <x:v>07:24:00</x:v>
      </x:c>
      <x:c r="F1131" s="12" t="str">
        <x:v>All Shift Day</x:v>
      </x:c>
      <x:c r="G1131" s="12" t="str">
        <x:v>LVTH24R026</x:v>
      </x:c>
      <x:c r="H1131" s="12" t="str">
        <x:v>Light Vehicle</x:v>
      </x:c>
      <x:c r="I1131" s="12" t="str">
        <x:v>LIGHT VEHICLE TOYOTA HILUX</x:v>
      </x:c>
      <x:c r="J1131" s="16" t="n">
        <x:v>20</x:v>
      </x:c>
      <x:c r="K1131" s="16" t="n">
        <x:v>59965</x:v>
      </x:c>
      <x:c r="L1131" s="16" t="n">
        <x:v>60061</x:v>
      </x:c>
      <x:c r="M1131" s="16" t="n">
        <x:v>96</x:v>
      </x:c>
      <x:c r="N1131" s="16" t="n">
        <x:v>0.20833333333333334</x:v>
      </x:c>
      <x:c r="O1131" s="12" t="str">
        <x:v>FTRL44G004</x:v>
      </x:c>
      <x:c r="P1131" s="12" t="str">
        <x:v>LVTH24R026</x:v>
      </x:c>
      <x:c r="Q1131" s="12" t="str"/>
      <x:c r="R1131" s="12" t="str"/>
      <x:c r="S1131" s="12" t="str"/>
      <x:c r="T1131" s="12" t="str">
        <x:v>ABM</x:v>
      </x:c>
      <x:c r="U1131" s="12" t="str"/>
      <x:c r="V1131" s="12" t="str"/>
      <x:c r="W1131" s="12" t="str"/>
      <x:c r="X1131" s="12" t="str">
        <x:v>LVTH24</x:v>
      </x:c>
      <x:c r="Y1131" s="12" t="str">
        <x:v>RAFIF &amp; YOGI</x:v>
      </x:c>
      <x:c r="Z1131" s="12" t="str">
        <x:v>PIT</x:v>
      </x:c>
      <x:c r="AA1131" s="32" t="n">
        <x:f>IFERROR(VLOOKUP(G1131,Master_Unit!$A$2:$N$78,7,FALSE),"")</x:f>
        <x:v>0.2</x:v>
      </x:c>
      <x:c r="AB1131" s="32" t="n">
        <x:f>IF(OR(N1131="",AA1131=""),"",N1131-AA1131)</x:f>
        <x:v>0.008333333333333331</x:v>
      </x:c>
      <x:c r="AC1131" s="20" t="n">
        <x:f>IF(OR(N1131="",AA1131="",AA1131=0),"",AB1131/AA1131)</x:f>
        <x:v>0.04166666666666666</x:v>
      </x:c>
      <x:c r="AD1131" t="str">
        <x:f>IF(AA1131="","NO STANDARD",IF(AC1131&lt;=Config_Status!$B$2,"EFFICIENT",IF(AC1131&lt;=Config_Status!$B$3,"NORMAL",IF(AC1131&lt;=Config_Status!$B$4,"WARNING","OVER CONSUMPTION"))))</x:f>
        <x:v>NORMAL</x:v>
      </x:c>
      <x:c r="AE1131" t="str">
        <x:f>IFERROR(VLOOKUP(G1131,Master_Unit!$A$2:$N$78,13,FALSE),"UNIT NOT FOUND")</x:f>
        <x:v>Matched</x:v>
      </x:c>
    </x:row>
    <x:row r="1132">
      <x:c r="A1132" s="12" t="str">
        <x:v>FU-20260617-01131</x:v>
      </x:c>
      <x:c r="B1132" s="12" t="n">
        <x:v>1261</x:v>
      </x:c>
      <x:c r="C1132" s="14" t="n">
        <x:v>46190</x:v>
      </x:c>
      <x:c r="D1132" s="12" t="str">
        <x:v>Rabu</x:v>
      </x:c>
      <x:c r="E1132" s="12" t="str">
        <x:v>07:27:00</x:v>
      </x:c>
      <x:c r="F1132" s="12" t="str">
        <x:v>All Shift Day</x:v>
      </x:c>
      <x:c r="G1132" s="12" t="str">
        <x:v>MGSD20G006</x:v>
      </x:c>
      <x:c r="H1132" s="12" t="str">
        <x:v>Other</x:v>
      </x:c>
      <x:c r="I1132" s="12" t="str">
        <x:v>MOTOR GRADER SDLG GD9220F</x:v>
      </x:c>
      <x:c r="J1132" s="16" t="n">
        <x:v>50</x:v>
      </x:c>
      <x:c r="K1132" s="16" t="n">
        <x:v>2011.9</x:v>
      </x:c>
      <x:c r="L1132" s="16" t="n">
        <x:v>2015.6</x:v>
      </x:c>
      <x:c r="M1132" s="16" t="n">
        <x:v>3.699999999999818</x:v>
      </x:c>
      <x:c r="N1132" s="16" t="n">
        <x:v>13.513513513514178</x:v>
      </x:c>
      <x:c r="O1132" s="12" t="str">
        <x:v>FTRL44G004</x:v>
      </x:c>
      <x:c r="P1132" s="12" t="str">
        <x:v>MGSD20G006</x:v>
      </x:c>
      <x:c r="Q1132" s="12" t="str"/>
      <x:c r="R1132" s="12" t="str"/>
      <x:c r="S1132" s="12" t="str"/>
      <x:c r="T1132" s="12" t="str">
        <x:v>ABM</x:v>
      </x:c>
      <x:c r="U1132" s="12" t="str"/>
      <x:c r="V1132" s="12" t="str"/>
      <x:c r="W1132" s="12" t="str"/>
      <x:c r="X1132" s="12" t="str">
        <x:v>MGSD20</x:v>
      </x:c>
      <x:c r="Y1132" s="12" t="str">
        <x:v>RAFIF &amp; YOGI</x:v>
      </x:c>
      <x:c r="Z1132" s="12" t="str">
        <x:v>SUPPORT</x:v>
      </x:c>
      <x:c r="AA1132" s="32" t="n">
        <x:f>IFERROR(VLOOKUP(G1132,Master_Unit!$A$2:$N$78,7,FALSE),"")</x:f>
        <x:v>20</x:v>
      </x:c>
      <x:c r="AB1132" s="32" t="n">
        <x:f>IF(OR(N1132="",AA1132=""),"",N1132-AA1132)</x:f>
        <x:v>-6.486486486485822</x:v>
      </x:c>
      <x:c r="AC1132" s="20" t="n">
        <x:f>IF(OR(N1132="",AA1132="",AA1132=0),"",AB1132/AA1132)</x:f>
        <x:v>-0.3243243243242911</x:v>
      </x:c>
      <x:c r="AD1132" t="str">
        <x:f>IF(AA1132="","NO STANDARD",IF(AC1132&lt;=Config_Status!$B$2,"EFFICIENT",IF(AC1132&lt;=Config_Status!$B$3,"NORMAL",IF(AC1132&lt;=Config_Status!$B$4,"WARNING","OVER CONSUMPTION"))))</x:f>
        <x:v>EFFICIENT</x:v>
      </x:c>
      <x:c r="AE1132" t="str">
        <x:f>IFERROR(VLOOKUP(G1132,Master_Unit!$A$2:$N$78,13,FALSE),"UNIT NOT FOUND")</x:f>
        <x:v>Matched</x:v>
      </x:c>
    </x:row>
    <x:row r="1133">
      <x:c r="A1133" s="12" t="str">
        <x:v>FU-20260617-01132</x:v>
      </x:c>
      <x:c r="B1133" s="12" t="n">
        <x:v>1262</x:v>
      </x:c>
      <x:c r="C1133" s="14" t="n">
        <x:v>46190</x:v>
      </x:c>
      <x:c r="D1133" s="12" t="str">
        <x:v>Rabu</x:v>
      </x:c>
      <x:c r="E1133" s="12" t="str">
        <x:v>07:28:00</x:v>
      </x:c>
      <x:c r="F1133" s="12" t="str">
        <x:v>All Shift Day</x:v>
      </x:c>
      <x:c r="G1133" s="12" t="str">
        <x:v>STRL44G138</x:v>
      </x:c>
      <x:c r="H1133" s="12" t="str">
        <x:v>Dump Truck</x:v>
      </x:c>
      <x:c r="I1133" s="12" t="str">
        <x:v>DUMP TRUCK RENAULT KRANGE440-P6X4 A/T</x:v>
      </x:c>
      <x:c r="J1133" s="16" t="n">
        <x:v>79</x:v>
      </x:c>
      <x:c r="K1133" s="16" t="n">
        <x:v>5380</x:v>
      </x:c>
      <x:c r="L1133" s="16" t="n">
        <x:v>5393</x:v>
      </x:c>
      <x:c r="M1133" s="16" t="n">
        <x:v>13</x:v>
      </x:c>
      <x:c r="N1133" s="16" t="n">
        <x:v>6.076923076923077</x:v>
      </x:c>
      <x:c r="O1133" s="12" t="str">
        <x:v>FTRL44G004</x:v>
      </x:c>
      <x:c r="P1133" s="12" t="str">
        <x:v>STRL44G138</x:v>
      </x:c>
      <x:c r="Q1133" s="12" t="str"/>
      <x:c r="R1133" s="12" t="str"/>
      <x:c r="S1133" s="12" t="str"/>
      <x:c r="T1133" s="12" t="str">
        <x:v>ABM</x:v>
      </x:c>
      <x:c r="U1133" s="12" t="str"/>
      <x:c r="V1133" s="12" t="str"/>
      <x:c r="W1133" s="12" t="str"/>
      <x:c r="X1133" s="12" t="str">
        <x:v>STRL44</x:v>
      </x:c>
      <x:c r="Y1133" s="12" t="str">
        <x:v>RAFIF &amp; YOGI</x:v>
      </x:c>
      <x:c r="Z1133" s="12" t="str">
        <x:v>SUPPORT</x:v>
      </x:c>
      <x:c r="AA1133" s="32" t="n">
        <x:f>IFERROR(VLOOKUP(G1133,Master_Unit!$A$2:$N$78,7,FALSE),"")</x:f>
        <x:v>20</x:v>
      </x:c>
      <x:c r="AB1133" s="32" t="n">
        <x:f>IF(OR(N1133="",AA1133=""),"",N1133-AA1133)</x:f>
        <x:v>-13.923076923076923</x:v>
      </x:c>
      <x:c r="AC1133" s="20" t="n">
        <x:f>IF(OR(N1133="",AA1133="",AA1133=0),"",AB1133/AA1133)</x:f>
        <x:v>-0.6961538461538461</x:v>
      </x:c>
      <x:c r="AD1133" t="str">
        <x:f>IF(AA1133="","NO STANDARD",IF(AC1133&lt;=Config_Status!$B$2,"EFFICIENT",IF(AC1133&lt;=Config_Status!$B$3,"NORMAL",IF(AC1133&lt;=Config_Status!$B$4,"WARNING","OVER CONSUMPTION"))))</x:f>
        <x:v>EFFICIENT</x:v>
      </x:c>
      <x:c r="AE1133" t="str">
        <x:f>IFERROR(VLOOKUP(G1133,Master_Unit!$A$2:$N$78,13,FALSE),"UNIT NOT FOUND")</x:f>
        <x:v>Matched</x:v>
      </x:c>
    </x:row>
    <x:row r="1134">
      <x:c r="A1134" s="12" t="str">
        <x:v>FU-20260617-01133</x:v>
      </x:c>
      <x:c r="B1134" s="12" t="n">
        <x:v>1263</x:v>
      </x:c>
      <x:c r="C1134" s="14" t="n">
        <x:v>46190</x:v>
      </x:c>
      <x:c r="D1134" s="12" t="str">
        <x:v>Rabu</x:v>
      </x:c>
      <x:c r="E1134" s="12" t="str">
        <x:v>07:31:00</x:v>
      </x:c>
      <x:c r="F1134" s="12" t="str">
        <x:v>All Shift Day</x:v>
      </x:c>
      <x:c r="G1134" s="12" t="str">
        <x:v>VRVV11G013</x:v>
      </x:c>
      <x:c r="H1134" s="12" t="str">
        <x:v>Compactor</x:v>
      </x:c>
      <x:c r="I1134" s="12" t="str">
        <x:v>VIBRO COMPACTOR VOLVO SD110NE</x:v>
      </x:c>
      <x:c r="J1134" s="16" t="n">
        <x:v>45</x:v>
      </x:c>
      <x:c r="K1134" s="16" t="n">
        <x:v>3247</x:v>
      </x:c>
      <x:c r="L1134" s="16" t="n">
        <x:v>3251.4</x:v>
      </x:c>
      <x:c r="M1134" s="16" t="n">
        <x:v>4.400000000000091</x:v>
      </x:c>
      <x:c r="N1134" s="16" t="n">
        <x:v>10.227272727272515</x:v>
      </x:c>
      <x:c r="O1134" s="12" t="str">
        <x:v>FTRL44G004</x:v>
      </x:c>
      <x:c r="P1134" s="12" t="str">
        <x:v>VRVV11G013</x:v>
      </x:c>
      <x:c r="Q1134" s="12" t="str"/>
      <x:c r="R1134" s="12" t="str"/>
      <x:c r="S1134" s="12" t="str"/>
      <x:c r="T1134" s="12" t="str">
        <x:v>ABM</x:v>
      </x:c>
      <x:c r="U1134" s="12" t="str"/>
      <x:c r="V1134" s="12" t="str"/>
      <x:c r="W1134" s="12" t="str"/>
      <x:c r="X1134" s="12" t="str">
        <x:v>VRVV11</x:v>
      </x:c>
      <x:c r="Y1134" s="12" t="str">
        <x:v>RAFIF &amp; YOGI</x:v>
      </x:c>
      <x:c r="Z1134" s="12" t="str">
        <x:v>SUPPORT</x:v>
      </x:c>
      <x:c r="AA1134" s="32" t="n">
        <x:f>IFERROR(VLOOKUP(G1134,Master_Unit!$A$2:$N$78,7,FALSE),"")</x:f>
        <x:v>15</x:v>
      </x:c>
      <x:c r="AB1134" s="32" t="n">
        <x:f>IF(OR(N1134="",AA1134=""),"",N1134-AA1134)</x:f>
        <x:v>-4.772727272727485</x:v>
      </x:c>
      <x:c r="AC1134" s="20" t="n">
        <x:f>IF(OR(N1134="",AA1134="",AA1134=0),"",AB1134/AA1134)</x:f>
        <x:v>-0.31818181818183233</x:v>
      </x:c>
      <x:c r="AD1134" t="str">
        <x:f>IF(AA1134="","NO STANDARD",IF(AC1134&lt;=Config_Status!$B$2,"EFFICIENT",IF(AC1134&lt;=Config_Status!$B$3,"NORMAL",IF(AC1134&lt;=Config_Status!$B$4,"WARNING","OVER CONSUMPTION"))))</x:f>
        <x:v>EFFICIENT</x:v>
      </x:c>
      <x:c r="AE1134" t="str">
        <x:f>IFERROR(VLOOKUP(G1134,Master_Unit!$A$2:$N$78,13,FALSE),"UNIT NOT FOUND")</x:f>
        <x:v>Matched</x:v>
      </x:c>
    </x:row>
    <x:row r="1135">
      <x:c r="A1135" s="12" t="str">
        <x:v>FU-20260617-01134</x:v>
      </x:c>
      <x:c r="B1135" s="12" t="n">
        <x:v>1264</x:v>
      </x:c>
      <x:c r="C1135" s="14" t="n">
        <x:v>46190</x:v>
      </x:c>
      <x:c r="D1135" s="12" t="str">
        <x:v>Rabu</x:v>
      </x:c>
      <x:c r="E1135" s="12" t="str">
        <x:v>07:37:00</x:v>
      </x:c>
      <x:c r="F1135" s="12" t="str">
        <x:v>All Shift Day</x:v>
      </x:c>
      <x:c r="G1135" s="12" t="str">
        <x:v>LVTH24R034</x:v>
      </x:c>
      <x:c r="H1135" s="12" t="str">
        <x:v>Light Vehicle</x:v>
      </x:c>
      <x:c r="I1135" s="12" t="str">
        <x:v>LIGHT VEHICLE TOYOTA HILUX</x:v>
      </x:c>
      <x:c r="J1135" s="16" t="n">
        <x:v>30</x:v>
      </x:c>
      <x:c r="K1135" s="16" t="n">
        <x:v>49502</x:v>
      </x:c>
      <x:c r="L1135" s="16" t="n">
        <x:v>49652</x:v>
      </x:c>
      <x:c r="M1135" s="16" t="n">
        <x:v>150</x:v>
      </x:c>
      <x:c r="N1135" s="16" t="n">
        <x:v>0.2</x:v>
      </x:c>
      <x:c r="O1135" s="12" t="str">
        <x:v>FTRL44G004</x:v>
      </x:c>
      <x:c r="P1135" s="12" t="str">
        <x:v>LVTH24R034</x:v>
      </x:c>
      <x:c r="Q1135" s="12" t="str"/>
      <x:c r="R1135" s="12" t="str"/>
      <x:c r="S1135" s="12" t="str"/>
      <x:c r="T1135" s="12" t="str">
        <x:v>ABM</x:v>
      </x:c>
      <x:c r="U1135" s="12" t="str"/>
      <x:c r="V1135" s="12" t="str"/>
      <x:c r="W1135" s="12" t="str"/>
      <x:c r="X1135" s="12" t="str">
        <x:v>LVTH24</x:v>
      </x:c>
      <x:c r="Y1135" s="12" t="str">
        <x:v>RAFIF &amp; YOGI</x:v>
      </x:c>
      <x:c r="Z1135" s="12" t="str">
        <x:v>PIT</x:v>
      </x:c>
      <x:c r="AA1135" s="32" t="n">
        <x:f>IFERROR(VLOOKUP(G1135,Master_Unit!$A$2:$N$78,7,FALSE),"")</x:f>
        <x:v>0.2</x:v>
      </x:c>
      <x:c r="AB1135" s="32" t="n">
        <x:f>IF(OR(N1135="",AA1135=""),"",N1135-AA1135)</x:f>
        <x:v>0</x:v>
      </x:c>
      <x:c r="AC1135" s="20" t="n">
        <x:f>IF(OR(N1135="",AA1135="",AA1135=0),"",AB1135/AA1135)</x:f>
        <x:v>0</x:v>
      </x:c>
      <x:c r="AD1135" t="str">
        <x:f>IF(AA1135="","NO STANDARD",IF(AC1135&lt;=Config_Status!$B$2,"EFFICIENT",IF(AC1135&lt;=Config_Status!$B$3,"NORMAL",IF(AC1135&lt;=Config_Status!$B$4,"WARNING","OVER CONSUMPTION"))))</x:f>
        <x:v>NORMAL</x:v>
      </x:c>
      <x:c r="AE1135" t="str">
        <x:f>IFERROR(VLOOKUP(G1135,Master_Unit!$A$2:$N$78,13,FALSE),"UNIT NOT FOUND")</x:f>
        <x:v>Matched</x:v>
      </x:c>
    </x:row>
    <x:row r="1136">
      <x:c r="A1136" s="12" t="str">
        <x:v>FU-20260617-01135</x:v>
      </x:c>
      <x:c r="B1136" s="12" t="n">
        <x:v>1265</x:v>
      </x:c>
      <x:c r="C1136" s="14" t="n">
        <x:v>46190</x:v>
      </x:c>
      <x:c r="D1136" s="12" t="str">
        <x:v>Rabu</x:v>
      </x:c>
      <x:c r="E1136" s="12" t="str">
        <x:v>07:40:00</x:v>
      </x:c>
      <x:c r="F1136" s="12" t="str">
        <x:v>All Shift Day</x:v>
      </x:c>
      <x:c r="G1136" s="12" t="str">
        <x:v>LVTH24R053</x:v>
      </x:c>
      <x:c r="H1136" s="12" t="str">
        <x:v>Light Vehicle</x:v>
      </x:c>
      <x:c r="I1136" s="12" t="str">
        <x:v>LIGHT VEHICLE TOYOTA HILUX</x:v>
      </x:c>
      <x:c r="J1136" s="16" t="n">
        <x:v>27</x:v>
      </x:c>
      <x:c r="K1136" s="16" t="n">
        <x:v>25291</x:v>
      </x:c>
      <x:c r="L1136" s="16" t="n">
        <x:v>25468</x:v>
      </x:c>
      <x:c r="M1136" s="16" t="n">
        <x:v>177</x:v>
      </x:c>
      <x:c r="N1136" s="16" t="n">
        <x:v>0.15254237288135594</x:v>
      </x:c>
      <x:c r="O1136" s="12" t="str">
        <x:v>FTRL44G004</x:v>
      </x:c>
      <x:c r="P1136" s="12" t="str">
        <x:v>LVTH24R053</x:v>
      </x:c>
      <x:c r="Q1136" s="12" t="str"/>
      <x:c r="R1136" s="12" t="str"/>
      <x:c r="S1136" s="12" t="str"/>
      <x:c r="T1136" s="12" t="str">
        <x:v>ABM</x:v>
      </x:c>
      <x:c r="U1136" s="12" t="str"/>
      <x:c r="V1136" s="12" t="str"/>
      <x:c r="W1136" s="12" t="str"/>
      <x:c r="X1136" s="12" t="str">
        <x:v>LVTH24</x:v>
      </x:c>
      <x:c r="Y1136" s="12" t="str">
        <x:v>RAFIF &amp; YOGI</x:v>
      </x:c>
      <x:c r="Z1136" s="12" t="str">
        <x:v>PIT</x:v>
      </x:c>
      <x:c r="AA1136" s="32" t="n">
        <x:f>IFERROR(VLOOKUP(G1136,Master_Unit!$A$2:$N$78,7,FALSE),"")</x:f>
        <x:v>0.2</x:v>
      </x:c>
      <x:c r="AB1136" s="32" t="n">
        <x:f>IF(OR(N1136="",AA1136=""),"",N1136-AA1136)</x:f>
        <x:v>-0.04745762711864407</x:v>
      </x:c>
      <x:c r="AC1136" s="20" t="n">
        <x:f>IF(OR(N1136="",AA1136="",AA1136=0),"",AB1136/AA1136)</x:f>
        <x:v>-0.23728813559322035</x:v>
      </x:c>
      <x:c r="AD1136" t="str">
        <x:f>IF(AA1136="","NO STANDARD",IF(AC1136&lt;=Config_Status!$B$2,"EFFICIENT",IF(AC1136&lt;=Config_Status!$B$3,"NORMAL",IF(AC1136&lt;=Config_Status!$B$4,"WARNING","OVER CONSUMPTION"))))</x:f>
        <x:v>EFFICIENT</x:v>
      </x:c>
      <x:c r="AE1136" t="str">
        <x:f>IFERROR(VLOOKUP(G1136,Master_Unit!$A$2:$N$78,13,FALSE),"UNIT NOT FOUND")</x:f>
        <x:v>Matched</x:v>
      </x:c>
    </x:row>
    <x:row r="1137">
      <x:c r="A1137" s="12" t="str">
        <x:v>FU-20260617-01136</x:v>
      </x:c>
      <x:c r="B1137" s="12" t="n">
        <x:v>1266</x:v>
      </x:c>
      <x:c r="C1137" s="14" t="n">
        <x:v>46190</x:v>
      </x:c>
      <x:c r="D1137" s="12" t="str">
        <x:v>Rabu</x:v>
      </x:c>
      <x:c r="E1137" s="12" t="str">
        <x:v>07:42:00</x:v>
      </x:c>
      <x:c r="F1137" s="12" t="str">
        <x:v>All Shift Day</x:v>
      </x:c>
      <x:c r="G1137" s="12" t="str">
        <x:v>LVTH24R024</x:v>
      </x:c>
      <x:c r="H1137" s="12" t="str">
        <x:v>Light Vehicle</x:v>
      </x:c>
      <x:c r="I1137" s="12" t="str">
        <x:v>LIGHT VEHICLE TOYOTA HILUX</x:v>
      </x:c>
      <x:c r="J1137" s="16" t="n">
        <x:v>20</x:v>
      </x:c>
      <x:c r="K1137" s="16" t="n">
        <x:v>46785</x:v>
      </x:c>
      <x:c r="L1137" s="16" t="n">
        <x:v>46911</x:v>
      </x:c>
      <x:c r="M1137" s="16" t="n">
        <x:v>126</x:v>
      </x:c>
      <x:c r="N1137" s="16" t="n">
        <x:v>0.15873015873015872</x:v>
      </x:c>
      <x:c r="O1137" s="12" t="str">
        <x:v>FTRL44G004</x:v>
      </x:c>
      <x:c r="P1137" s="12" t="str">
        <x:v>LVTH24R024</x:v>
      </x:c>
      <x:c r="Q1137" s="12" t="str"/>
      <x:c r="R1137" s="12" t="str"/>
      <x:c r="S1137" s="12" t="str"/>
      <x:c r="T1137" s="12" t="str">
        <x:v>ABM</x:v>
      </x:c>
      <x:c r="U1137" s="12" t="str"/>
      <x:c r="V1137" s="12" t="str"/>
      <x:c r="W1137" s="12" t="str"/>
      <x:c r="X1137" s="12" t="str">
        <x:v>LVTH24</x:v>
      </x:c>
      <x:c r="Y1137" s="12" t="str">
        <x:v>RAFIF &amp; YOGI</x:v>
      </x:c>
      <x:c r="Z1137" s="12" t="str">
        <x:v>SUPPORT</x:v>
      </x:c>
      <x:c r="AA1137" s="32" t="n">
        <x:f>IFERROR(VLOOKUP(G1137,Master_Unit!$A$2:$N$78,7,FALSE),"")</x:f>
        <x:v>0.2</x:v>
      </x:c>
      <x:c r="AB1137" s="32" t="n">
        <x:f>IF(OR(N1137="",AA1137=""),"",N1137-AA1137)</x:f>
        <x:v>-0.04126984126984129</x:v>
      </x:c>
      <x:c r="AC1137" s="20" t="n">
        <x:f>IF(OR(N1137="",AA1137="",AA1137=0),"",AB1137/AA1137)</x:f>
        <x:v>-0.20634920634920645</x:v>
      </x:c>
      <x:c r="AD1137" t="str">
        <x:f>IF(AA1137="","NO STANDARD",IF(AC1137&lt;=Config_Status!$B$2,"EFFICIENT",IF(AC1137&lt;=Config_Status!$B$3,"NORMAL",IF(AC1137&lt;=Config_Status!$B$4,"WARNING","OVER CONSUMPTION"))))</x:f>
        <x:v>EFFICIENT</x:v>
      </x:c>
      <x:c r="AE1137" t="str">
        <x:f>IFERROR(VLOOKUP(G1137,Master_Unit!$A$2:$N$78,13,FALSE),"UNIT NOT FOUND")</x:f>
        <x:v>Matched</x:v>
      </x:c>
    </x:row>
    <x:row r="1138">
      <x:c r="A1138" s="12" t="str">
        <x:v>FU-20260617-01137</x:v>
      </x:c>
      <x:c r="B1138" s="12" t="n">
        <x:v>1267</x:v>
      </x:c>
      <x:c r="C1138" s="14" t="n">
        <x:v>46190</x:v>
      </x:c>
      <x:c r="D1138" s="12" t="str">
        <x:v>Rabu</x:v>
      </x:c>
      <x:c r="E1138" s="12" t="str">
        <x:v>07:44:00</x:v>
      </x:c>
      <x:c r="F1138" s="12" t="str">
        <x:v>All Shift Day</x:v>
      </x:c>
      <x:c r="G1138" s="12" t="str">
        <x:v>LVMP25R005</x:v>
      </x:c>
      <x:c r="H1138" s="12" t="str">
        <x:v>Light Vehicle</x:v>
      </x:c>
      <x:c r="I1138" s="12" t="str">
        <x:v>LIGHT VEHICLE MITSUBISHI PAJERO</x:v>
      </x:c>
      <x:c r="J1138" s="16" t="n">
        <x:v>30</x:v>
      </x:c>
      <x:c r="K1138" s="16" t="n">
        <x:v>60346</x:v>
      </x:c>
      <x:c r="L1138" s="16" t="n">
        <x:v>60513</x:v>
      </x:c>
      <x:c r="M1138" s="16" t="n">
        <x:v>167</x:v>
      </x:c>
      <x:c r="N1138" s="16" t="n">
        <x:v>0.17964071856287425</x:v>
      </x:c>
      <x:c r="O1138" s="12" t="str">
        <x:v>FTRL44G004</x:v>
      </x:c>
      <x:c r="P1138" s="12" t="str">
        <x:v>LVMP25R005</x:v>
      </x:c>
      <x:c r="Q1138" s="12" t="str"/>
      <x:c r="R1138" s="12" t="str"/>
      <x:c r="S1138" s="12" t="str"/>
      <x:c r="T1138" s="12" t="str">
        <x:v>ABM</x:v>
      </x:c>
      <x:c r="U1138" s="12" t="str"/>
      <x:c r="V1138" s="12" t="str"/>
      <x:c r="W1138" s="12" t="str"/>
      <x:c r="X1138" s="12" t="str">
        <x:v>LVMP25</x:v>
      </x:c>
      <x:c r="Y1138" s="12" t="str">
        <x:v>RAFIF &amp; YOGI</x:v>
      </x:c>
      <x:c r="Z1138" s="12" t="str">
        <x:v>PIT</x:v>
      </x:c>
      <x:c r="AA1138" s="32" t="str">
        <x:f>IFERROR(VLOOKUP(G1138,Master_Unit!$A$2:$N$78,7,FALSE),"")</x:f>
      </x:c>
      <x:c r="AB1138" s="32" t="str">
        <x:f>IF(OR(N1138="",AA1138=""),"",N1138-AA1138)</x:f>
      </x:c>
      <x:c r="AC1138" s="20" t="str">
        <x:f>IF(OR(N1138="",AA1138="",AA1138=0),"",AB1138/AA1138)</x:f>
      </x:c>
      <x:c r="AD1138" t="str">
        <x:f>IF(AA1138="","NO STANDARD",IF(AC1138&lt;=Config_Status!$B$2,"EFFICIENT",IF(AC1138&lt;=Config_Status!$B$3,"NORMAL",IF(AC1138&lt;=Config_Status!$B$4,"WARNING","OVER CONSUMPTION"))))</x:f>
        <x:v>NO STANDARD</x:v>
      </x:c>
      <x:c r="AE1138" t="str">
        <x:f>IFERROR(VLOOKUP(G1138,Master_Unit!$A$2:$N$78,13,FALSE),"UNIT NOT FOUND")</x:f>
        <x:v>No Standard</x:v>
      </x:c>
    </x:row>
    <x:row r="1139">
      <x:c r="A1139" s="12" t="str">
        <x:v>FU-20260617-01138</x:v>
      </x:c>
      <x:c r="B1139" s="12" t="n">
        <x:v>1268</x:v>
      </x:c>
      <x:c r="C1139" s="14" t="n">
        <x:v>46190</x:v>
      </x:c>
      <x:c r="D1139" s="12" t="str">
        <x:v>Rabu</x:v>
      </x:c>
      <x:c r="E1139" s="12" t="str">
        <x:v>07:51:00</x:v>
      </x:c>
      <x:c r="F1139" s="12" t="str">
        <x:v>All Shift Day</x:v>
      </x:c>
      <x:c r="G1139" s="12" t="str">
        <x:v>LTRL44G002</x:v>
      </x:c>
      <x:c r="H1139" s="12" t="str">
        <x:v>Lube Truck</x:v>
      </x:c>
      <x:c r="I1139" s="12" t="str">
        <x:v>LUBE TRUCK RENAULT KRANGE440-P6X4 A/T</x:v>
      </x:c>
      <x:c r="J1139" s="16" t="n">
        <x:v>72</x:v>
      </x:c>
      <x:c r="K1139" s="16" t="n">
        <x:v>2098</x:v>
      </x:c>
      <x:c r="L1139" s="16" t="n">
        <x:v>2102</x:v>
      </x:c>
      <x:c r="M1139" s="16" t="n">
        <x:v>4</x:v>
      </x:c>
      <x:c r="N1139" s="16" t="n">
        <x:v>18</x:v>
      </x:c>
      <x:c r="O1139" s="12" t="str">
        <x:v>FTRL44G004</x:v>
      </x:c>
      <x:c r="P1139" s="12" t="str">
        <x:v>LTRL44G002</x:v>
      </x:c>
      <x:c r="Q1139" s="12" t="str"/>
      <x:c r="R1139" s="12" t="str"/>
      <x:c r="S1139" s="12" t="str"/>
      <x:c r="T1139" s="12" t="str">
        <x:v>ABM</x:v>
      </x:c>
      <x:c r="U1139" s="12" t="str"/>
      <x:c r="V1139" s="12" t="str"/>
      <x:c r="W1139" s="12" t="str"/>
      <x:c r="X1139" s="12" t="str">
        <x:v>LTRL44</x:v>
      </x:c>
      <x:c r="Y1139" s="12" t="str">
        <x:v>RAFIF &amp; YOGI</x:v>
      </x:c>
      <x:c r="Z1139" s="12" t="str">
        <x:v>PIT</x:v>
      </x:c>
      <x:c r="AA1139" s="32" t="n">
        <x:f>IFERROR(VLOOKUP(G1139,Master_Unit!$A$2:$N$78,7,FALSE),"")</x:f>
        <x:v>20</x:v>
      </x:c>
      <x:c r="AB1139" s="32" t="n">
        <x:f>IF(OR(N1139="",AA1139=""),"",N1139-AA1139)</x:f>
        <x:v>-2</x:v>
      </x:c>
      <x:c r="AC1139" s="20" t="n">
        <x:f>IF(OR(N1139="",AA1139="",AA1139=0),"",AB1139/AA1139)</x:f>
        <x:v>-0.1</x:v>
      </x:c>
      <x:c r="AD1139" t="str">
        <x:f>IF(AA1139="","NO STANDARD",IF(AC1139&lt;=Config_Status!$B$2,"EFFICIENT",IF(AC1139&lt;=Config_Status!$B$3,"NORMAL",IF(AC1139&lt;=Config_Status!$B$4,"WARNING","OVER CONSUMPTION"))))</x:f>
        <x:v>EFFICIENT</x:v>
      </x:c>
      <x:c r="AE1139" t="str">
        <x:f>IFERROR(VLOOKUP(G1139,Master_Unit!$A$2:$N$78,13,FALSE),"UNIT NOT FOUND")</x:f>
        <x:v>Matched</x:v>
      </x:c>
    </x:row>
    <x:row r="1140">
      <x:c r="A1140" s="12" t="str">
        <x:v>FU-20260617-01139</x:v>
      </x:c>
      <x:c r="B1140" s="12" t="n">
        <x:v>1269</x:v>
      </x:c>
      <x:c r="C1140" s="14" t="n">
        <x:v>46190</x:v>
      </x:c>
      <x:c r="D1140" s="12" t="str">
        <x:v>Rabu</x:v>
      </x:c>
      <x:c r="E1140" s="12" t="str">
        <x:v>08:18:00</x:v>
      </x:c>
      <x:c r="F1140" s="12" t="str">
        <x:v>All Shift Day</x:v>
      </x:c>
      <x:c r="G1140" s="12" t="str">
        <x:v>STRL44G155</x:v>
      </x:c>
      <x:c r="H1140" s="12" t="str">
        <x:v>Dump Truck</x:v>
      </x:c>
      <x:c r="I1140" s="12" t="str">
        <x:v>DUMP TRUCK RENAULT KRANGE440-P6X4 A/T</x:v>
      </x:c>
      <x:c r="J1140" s="16" t="n">
        <x:v>174</x:v>
      </x:c>
      <x:c r="K1140" s="16" t="n">
        <x:v>4048</x:v>
      </x:c>
      <x:c r="L1140" s="16" t="n">
        <x:v>4055</x:v>
      </x:c>
      <x:c r="M1140" s="16" t="n">
        <x:v>7</x:v>
      </x:c>
      <x:c r="N1140" s="16" t="n">
        <x:v>24.857142857142858</x:v>
      </x:c>
      <x:c r="O1140" s="12" t="str">
        <x:v>FTRL44G004</x:v>
      </x:c>
      <x:c r="P1140" s="12" t="str">
        <x:v>STRL44G155</x:v>
      </x:c>
      <x:c r="Q1140" s="12" t="str"/>
      <x:c r="R1140" s="12" t="str"/>
      <x:c r="S1140" s="12" t="str"/>
      <x:c r="T1140" s="12" t="str">
        <x:v>ABM</x:v>
      </x:c>
      <x:c r="U1140" s="12" t="str"/>
      <x:c r="V1140" s="12" t="str"/>
      <x:c r="W1140" s="12" t="str"/>
      <x:c r="X1140" s="12" t="str">
        <x:v>STRL44</x:v>
      </x:c>
      <x:c r="Y1140" s="12" t="str">
        <x:v>RAFIF &amp; YOGI</x:v>
      </x:c>
      <x:c r="Z1140" s="12" t="str">
        <x:v>SUPPORT</x:v>
      </x:c>
      <x:c r="AA1140" s="32" t="n">
        <x:f>IFERROR(VLOOKUP(G1140,Master_Unit!$A$2:$N$78,7,FALSE),"")</x:f>
        <x:v>20</x:v>
      </x:c>
      <x:c r="AB1140" s="32" t="n">
        <x:f>IF(OR(N1140="",AA1140=""),"",N1140-AA1140)</x:f>
        <x:v>4.857142857142858</x:v>
      </x:c>
      <x:c r="AC1140" s="20" t="n">
        <x:f>IF(OR(N1140="",AA1140="",AA1140=0),"",AB1140/AA1140)</x:f>
        <x:v>0.24285714285714288</x:v>
      </x:c>
      <x:c r="AD1140" t="str">
        <x:f>IF(AA1140="","NO STANDARD",IF(AC1140&lt;=Config_Status!$B$2,"EFFICIENT",IF(AC1140&lt;=Config_Status!$B$3,"NORMAL",IF(AC1140&lt;=Config_Status!$B$4,"WARNING","OVER CONSUMPTION"))))</x:f>
        <x:v>OVER CONSUMPTION</x:v>
      </x:c>
      <x:c r="AE1140" t="str">
        <x:f>IFERROR(VLOOKUP(G1140,Master_Unit!$A$2:$N$78,13,FALSE),"UNIT NOT FOUND")</x:f>
        <x:v>Matched</x:v>
      </x:c>
    </x:row>
    <x:row r="1141">
      <x:c r="A1141" s="12" t="str">
        <x:v>FU-20260617-01140</x:v>
      </x:c>
      <x:c r="B1141" s="12" t="n">
        <x:v>1270</x:v>
      </x:c>
      <x:c r="C1141" s="14" t="n">
        <x:v>46190</x:v>
      </x:c>
      <x:c r="D1141" s="12" t="str">
        <x:v>Rabu</x:v>
      </x:c>
      <x:c r="E1141" s="12" t="str">
        <x:v>08:30:00</x:v>
      </x:c>
      <x:c r="F1141" s="12" t="str">
        <x:v>All Shift Day</x:v>
      </x:c>
      <x:c r="G1141" s="12" t="str">
        <x:v>LVTH24R033</x:v>
      </x:c>
      <x:c r="H1141" s="12" t="str">
        <x:v>Light Vehicle</x:v>
      </x:c>
      <x:c r="I1141" s="12" t="str">
        <x:v>LIGHT VEHICLE TOYOTA HILUX</x:v>
      </x:c>
      <x:c r="J1141" s="16" t="n">
        <x:v>30</x:v>
      </x:c>
      <x:c r="K1141" s="16" t="n">
        <x:v>139944</x:v>
      </x:c>
      <x:c r="L1141" s="16" t="n">
        <x:v>140122</x:v>
      </x:c>
      <x:c r="M1141" s="16" t="n">
        <x:v>178</x:v>
      </x:c>
      <x:c r="N1141" s="16" t="n">
        <x:v>0.16853932584269662</x:v>
      </x:c>
      <x:c r="O1141" s="12" t="str">
        <x:v>FTRL44G004</x:v>
      </x:c>
      <x:c r="P1141" s="12" t="str">
        <x:v>LVTH24R033</x:v>
      </x:c>
      <x:c r="Q1141" s="12" t="str"/>
      <x:c r="R1141" s="12" t="str"/>
      <x:c r="S1141" s="12" t="str"/>
      <x:c r="T1141" s="12" t="str">
        <x:v>ABM</x:v>
      </x:c>
      <x:c r="U1141" s="12" t="str"/>
      <x:c r="V1141" s="12" t="str"/>
      <x:c r="W1141" s="12" t="str"/>
      <x:c r="X1141" s="12" t="str">
        <x:v>LVTH24</x:v>
      </x:c>
      <x:c r="Y1141" s="12" t="str">
        <x:v>RAFIF &amp; YOGI</x:v>
      </x:c>
      <x:c r="Z1141" s="12" t="str">
        <x:v>PIT</x:v>
      </x:c>
      <x:c r="AA1141" s="32" t="n">
        <x:f>IFERROR(VLOOKUP(G1141,Master_Unit!$A$2:$N$78,7,FALSE),"")</x:f>
        <x:v>0.2</x:v>
      </x:c>
      <x:c r="AB1141" s="32" t="n">
        <x:f>IF(OR(N1141="",AA1141=""),"",N1141-AA1141)</x:f>
        <x:v>-0.03146067415730339</x:v>
      </x:c>
      <x:c r="AC1141" s="20" t="n">
        <x:f>IF(OR(N1141="",AA1141="",AA1141=0),"",AB1141/AA1141)</x:f>
        <x:v>-0.15730337078651693</x:v>
      </x:c>
      <x:c r="AD1141" t="str">
        <x:f>IF(AA1141="","NO STANDARD",IF(AC1141&lt;=Config_Status!$B$2,"EFFICIENT",IF(AC1141&lt;=Config_Status!$B$3,"NORMAL",IF(AC1141&lt;=Config_Status!$B$4,"WARNING","OVER CONSUMPTION"))))</x:f>
        <x:v>EFFICIENT</x:v>
      </x:c>
      <x:c r="AE1141" t="str">
        <x:f>IFERROR(VLOOKUP(G1141,Master_Unit!$A$2:$N$78,13,FALSE),"UNIT NOT FOUND")</x:f>
        <x:v>Matched</x:v>
      </x:c>
    </x:row>
    <x:row r="1142">
      <x:c r="A1142" s="12" t="str">
        <x:v>FU-20260617-01141</x:v>
      </x:c>
      <x:c r="B1142" s="12" t="n">
        <x:v>1271</x:v>
      </x:c>
      <x:c r="C1142" s="14" t="n">
        <x:v>46190</x:v>
      </x:c>
      <x:c r="D1142" s="12" t="str">
        <x:v>Rabu</x:v>
      </x:c>
      <x:c r="E1142" s="12" t="str">
        <x:v>08:35:00</x:v>
      </x:c>
      <x:c r="F1142" s="12" t="str">
        <x:v>All Shift Day</x:v>
      </x:c>
      <x:c r="G1142" s="12" t="str">
        <x:v>FTRL44G004</x:v>
      </x:c>
      <x:c r="H1142" s="12" t="str">
        <x:v>Fuel Truck</x:v>
      </x:c>
      <x:c r="I1142" s="12" t="str">
        <x:v>FUEL TRUCK RENAULT KRANGE440-P6X4 A/T</x:v>
      </x:c>
      <x:c r="J1142" s="16" t="n">
        <x:v>82</x:v>
      </x:c>
      <x:c r="K1142" s="16" t="n">
        <x:v>3918</x:v>
      </x:c>
      <x:c r="L1142" s="16" t="n">
        <x:v>3930</x:v>
      </x:c>
      <x:c r="M1142" s="16" t="n">
        <x:v>12</x:v>
      </x:c>
      <x:c r="N1142" s="16" t="n">
        <x:v>6.833333333333333</x:v>
      </x:c>
      <x:c r="O1142" s="12" t="str">
        <x:v>FTRL44G004</x:v>
      </x:c>
      <x:c r="P1142" s="12" t="str">
        <x:v>FTRL44G004</x:v>
      </x:c>
      <x:c r="Q1142" s="12" t="str"/>
      <x:c r="R1142" s="12" t="str"/>
      <x:c r="S1142" s="12" t="str"/>
      <x:c r="T1142" s="12" t="str">
        <x:v>ABM</x:v>
      </x:c>
      <x:c r="U1142" s="12" t="str"/>
      <x:c r="V1142" s="12" t="str"/>
      <x:c r="W1142" s="12" t="str"/>
      <x:c r="X1142" s="12" t="str">
        <x:v>FTRL44</x:v>
      </x:c>
      <x:c r="Y1142" s="12" t="str">
        <x:v>RAFIF &amp; YOGI</x:v>
      </x:c>
      <x:c r="Z1142" s="12" t="str">
        <x:v>PIT</x:v>
      </x:c>
      <x:c r="AA1142" s="32" t="n">
        <x:f>IFERROR(VLOOKUP(G1142,Master_Unit!$A$2:$N$78,7,FALSE),"")</x:f>
        <x:v>13</x:v>
      </x:c>
      <x:c r="AB1142" s="32" t="n">
        <x:f>IF(OR(N1142="",AA1142=""),"",N1142-AA1142)</x:f>
        <x:v>-6.166666666666667</x:v>
      </x:c>
      <x:c r="AC1142" s="20" t="n">
        <x:f>IF(OR(N1142="",AA1142="",AA1142=0),"",AB1142/AA1142)</x:f>
        <x:v>-0.4743589743589744</x:v>
      </x:c>
      <x:c r="AD1142" t="str">
        <x:f>IF(AA1142="","NO STANDARD",IF(AC1142&lt;=Config_Status!$B$2,"EFFICIENT",IF(AC1142&lt;=Config_Status!$B$3,"NORMAL",IF(AC1142&lt;=Config_Status!$B$4,"WARNING","OVER CONSUMPTION"))))</x:f>
        <x:v>EFFICIENT</x:v>
      </x:c>
      <x:c r="AE1142" t="str">
        <x:f>IFERROR(VLOOKUP(G1142,Master_Unit!$A$2:$N$78,13,FALSE),"UNIT NOT FOUND")</x:f>
        <x:v>Matched</x:v>
      </x:c>
    </x:row>
    <x:row r="1143">
      <x:c r="A1143" s="12" t="str">
        <x:v>FU-20260617-01142</x:v>
      </x:c>
      <x:c r="B1143" s="12" t="n">
        <x:v>1272</x:v>
      </x:c>
      <x:c r="C1143" s="14" t="n">
        <x:v>46190</x:v>
      </x:c>
      <x:c r="D1143" s="12" t="str">
        <x:v>Rabu</x:v>
      </x:c>
      <x:c r="E1143" s="12" t="str">
        <x:v>08:37:00</x:v>
      </x:c>
      <x:c r="F1143" s="12" t="str">
        <x:v>All Shift Day</x:v>
      </x:c>
      <x:c r="G1143" s="12" t="str">
        <x:v>STRL44G140</x:v>
      </x:c>
      <x:c r="H1143" s="12" t="str">
        <x:v>Dump Truck</x:v>
      </x:c>
      <x:c r="I1143" s="12" t="str">
        <x:v>DUMP TRUCK RENAULT KRANGE440-P6X4 A/T</x:v>
      </x:c>
      <x:c r="J1143" s="16" t="n">
        <x:v>131</x:v>
      </x:c>
      <x:c r="K1143" s="16" t="n">
        <x:v>5190</x:v>
      </x:c>
      <x:c r="L1143" s="16" t="n">
        <x:v>5200</x:v>
      </x:c>
      <x:c r="M1143" s="16" t="n">
        <x:v>10</x:v>
      </x:c>
      <x:c r="N1143" s="16" t="n">
        <x:v>13.1</x:v>
      </x:c>
      <x:c r="O1143" s="12" t="str">
        <x:v>FTRL44G004</x:v>
      </x:c>
      <x:c r="P1143" s="12" t="str">
        <x:v>STRL44G140</x:v>
      </x:c>
      <x:c r="Q1143" s="12" t="str"/>
      <x:c r="R1143" s="12" t="str"/>
      <x:c r="S1143" s="12" t="str"/>
      <x:c r="T1143" s="12" t="str">
        <x:v>ABM</x:v>
      </x:c>
      <x:c r="U1143" s="12" t="str"/>
      <x:c r="V1143" s="12" t="str"/>
      <x:c r="W1143" s="12" t="str"/>
      <x:c r="X1143" s="12" t="str">
        <x:v>STRL44</x:v>
      </x:c>
      <x:c r="Y1143" s="12" t="str">
        <x:v>RAFIF &amp; YOGI</x:v>
      </x:c>
      <x:c r="Z1143" s="12" t="str">
        <x:v>SUPPORT</x:v>
      </x:c>
      <x:c r="AA1143" s="32" t="n">
        <x:f>IFERROR(VLOOKUP(G1143,Master_Unit!$A$2:$N$78,7,FALSE),"")</x:f>
        <x:v>20</x:v>
      </x:c>
      <x:c r="AB1143" s="32" t="n">
        <x:f>IF(OR(N1143="",AA1143=""),"",N1143-AA1143)</x:f>
        <x:v>-6.9</x:v>
      </x:c>
      <x:c r="AC1143" s="20" t="n">
        <x:f>IF(OR(N1143="",AA1143="",AA1143=0),"",AB1143/AA1143)</x:f>
        <x:v>-0.34500000000000003</x:v>
      </x:c>
      <x:c r="AD1143" t="str">
        <x:f>IF(AA1143="","NO STANDARD",IF(AC1143&lt;=Config_Status!$B$2,"EFFICIENT",IF(AC1143&lt;=Config_Status!$B$3,"NORMAL",IF(AC1143&lt;=Config_Status!$B$4,"WARNING","OVER CONSUMPTION"))))</x:f>
        <x:v>EFFICIENT</x:v>
      </x:c>
      <x:c r="AE1143" t="str">
        <x:f>IFERROR(VLOOKUP(G1143,Master_Unit!$A$2:$N$78,13,FALSE),"UNIT NOT FOUND")</x:f>
        <x:v>Matched</x:v>
      </x:c>
    </x:row>
    <x:row r="1144">
      <x:c r="A1144" s="12" t="str">
        <x:v>FU-20260617-01143</x:v>
      </x:c>
      <x:c r="B1144" s="12" t="n">
        <x:v>1273</x:v>
      </x:c>
      <x:c r="C1144" s="14" t="n">
        <x:v>46190</x:v>
      </x:c>
      <x:c r="D1144" s="12" t="str">
        <x:v>Rabu</x:v>
      </x:c>
      <x:c r="E1144" s="12" t="str">
        <x:v>09:22:00</x:v>
      </x:c>
      <x:c r="F1144" s="12" t="str">
        <x:v>All Shift Day</x:v>
      </x:c>
      <x:c r="G1144" s="12" t="str">
        <x:v>STRL44G139</x:v>
      </x:c>
      <x:c r="H1144" s="12" t="str">
        <x:v>Dump Truck</x:v>
      </x:c>
      <x:c r="I1144" s="12" t="str">
        <x:v>DUMP TRUCK RENAULT KRANGE440-P6X4 A/T</x:v>
      </x:c>
      <x:c r="J1144" s="16" t="n">
        <x:v>88</x:v>
      </x:c>
      <x:c r="K1144" s="16" t="n">
        <x:v>5049</x:v>
      </x:c>
      <x:c r="L1144" s="16" t="n">
        <x:v>5069</x:v>
      </x:c>
      <x:c r="M1144" s="16" t="n">
        <x:v>20</x:v>
      </x:c>
      <x:c r="N1144" s="16" t="n">
        <x:v>4.4</x:v>
      </x:c>
      <x:c r="O1144" s="12" t="str">
        <x:v>FTRL44G004</x:v>
      </x:c>
      <x:c r="P1144" s="12" t="str">
        <x:v>STRL44G139</x:v>
      </x:c>
      <x:c r="Q1144" s="12" t="str"/>
      <x:c r="R1144" s="12" t="str"/>
      <x:c r="S1144" s="12" t="str"/>
      <x:c r="T1144" s="12" t="str">
        <x:v>ABM</x:v>
      </x:c>
      <x:c r="U1144" s="12" t="str"/>
      <x:c r="V1144" s="12" t="str"/>
      <x:c r="W1144" s="12" t="str"/>
      <x:c r="X1144" s="12" t="str">
        <x:v>STRL44</x:v>
      </x:c>
      <x:c r="Y1144" s="12" t="str">
        <x:v>RAFIF &amp; YOGI</x:v>
      </x:c>
      <x:c r="Z1144" s="12" t="str">
        <x:v>PIT</x:v>
      </x:c>
      <x:c r="AA1144" s="32" t="n">
        <x:f>IFERROR(VLOOKUP(G1144,Master_Unit!$A$2:$N$78,7,FALSE),"")</x:f>
        <x:v>20</x:v>
      </x:c>
      <x:c r="AB1144" s="32" t="n">
        <x:f>IF(OR(N1144="",AA1144=""),"",N1144-AA1144)</x:f>
        <x:v>-15.6</x:v>
      </x:c>
      <x:c r="AC1144" s="20" t="n">
        <x:f>IF(OR(N1144="",AA1144="",AA1144=0),"",AB1144/AA1144)</x:f>
        <x:v>-0.78</x:v>
      </x:c>
      <x:c r="AD1144" t="str">
        <x:f>IF(AA1144="","NO STANDARD",IF(AC1144&lt;=Config_Status!$B$2,"EFFICIENT",IF(AC1144&lt;=Config_Status!$B$3,"NORMAL",IF(AC1144&lt;=Config_Status!$B$4,"WARNING","OVER CONSUMPTION"))))</x:f>
        <x:v>EFFICIENT</x:v>
      </x:c>
      <x:c r="AE1144" t="str">
        <x:f>IFERROR(VLOOKUP(G1144,Master_Unit!$A$2:$N$78,13,FALSE),"UNIT NOT FOUND")</x:f>
        <x:v>Matched</x:v>
      </x:c>
    </x:row>
    <x:row r="1145">
      <x:c r="A1145" s="12" t="str">
        <x:v>FU-20260617-01144</x:v>
      </x:c>
      <x:c r="B1145" s="12" t="n">
        <x:v>1274</x:v>
      </x:c>
      <x:c r="C1145" s="14" t="n">
        <x:v>46190</x:v>
      </x:c>
      <x:c r="D1145" s="12" t="str">
        <x:v>Rabu</x:v>
      </x:c>
      <x:c r="E1145" s="12" t="str">
        <x:v>16:42:00</x:v>
      </x:c>
      <x:c r="F1145" s="12" t="str">
        <x:v>All Shift Day</x:v>
      </x:c>
      <x:c r="G1145" s="12" t="str">
        <x:v>MHHN13G006</x:v>
      </x:c>
      <x:c r="H1145" s="12" t="str">
        <x:v>Other</x:v>
      </x:c>
      <x:c r="I1145" s="12" t="str">
        <x:v>MAIN HAUL HINO 136-HDL</x:v>
      </x:c>
      <x:c r="J1145" s="16" t="n">
        <x:v>36</x:v>
      </x:c>
      <x:c r="K1145" s="16" t="n">
        <x:v>10508</x:v>
      </x:c>
      <x:c r="L1145" s="16" t="n">
        <x:v>10630</x:v>
      </x:c>
      <x:c r="M1145" s="16" t="n">
        <x:v>122</x:v>
      </x:c>
      <x:c r="N1145" s="16" t="n">
        <x:v>0.29508196721311475</x:v>
      </x:c>
      <x:c r="O1145" s="12" t="str">
        <x:v>FTRL44G004</x:v>
      </x:c>
      <x:c r="P1145" s="12" t="str">
        <x:v>MHHN13G006</x:v>
      </x:c>
      <x:c r="Q1145" s="12" t="str"/>
      <x:c r="R1145" s="12" t="str"/>
      <x:c r="S1145" s="12" t="str"/>
      <x:c r="T1145" s="12" t="str">
        <x:v>ABM</x:v>
      </x:c>
      <x:c r="U1145" s="12" t="str"/>
      <x:c r="V1145" s="12" t="str"/>
      <x:c r="W1145" s="12" t="str"/>
      <x:c r="X1145" s="12" t="str">
        <x:v>MHHN13</x:v>
      </x:c>
      <x:c r="Y1145" s="12" t="str">
        <x:v>RAFIF &amp; YOGI</x:v>
      </x:c>
      <x:c r="Z1145" s="12" t="str">
        <x:v>PIT</x:v>
      </x:c>
      <x:c r="AA1145" s="32" t="n">
        <x:f>IFERROR(VLOOKUP(G1145,Master_Unit!$A$2:$N$78,7,FALSE),"")</x:f>
        <x:v>0.5</x:v>
      </x:c>
      <x:c r="AB1145" s="32" t="n">
        <x:f>IF(OR(N1145="",AA1145=""),"",N1145-AA1145)</x:f>
        <x:v>-0.20491803278688525</x:v>
      </x:c>
      <x:c r="AC1145" s="20" t="n">
        <x:f>IF(OR(N1145="",AA1145="",AA1145=0),"",AB1145/AA1145)</x:f>
        <x:v>-0.4098360655737705</x:v>
      </x:c>
      <x:c r="AD1145" t="str">
        <x:f>IF(AA1145="","NO STANDARD",IF(AC1145&lt;=Config_Status!$B$2,"EFFICIENT",IF(AC1145&lt;=Config_Status!$B$3,"NORMAL",IF(AC1145&lt;=Config_Status!$B$4,"WARNING","OVER CONSUMPTION"))))</x:f>
        <x:v>EFFICIENT</x:v>
      </x:c>
      <x:c r="AE1145" t="str">
        <x:f>IFERROR(VLOOKUP(G1145,Master_Unit!$A$2:$N$78,13,FALSE),"UNIT NOT FOUND")</x:f>
        <x:v>Matched</x:v>
      </x:c>
    </x:row>
    <x:row r="1146">
      <x:c r="A1146" s="12" t="str">
        <x:v>FU-20260617-01145</x:v>
      </x:c>
      <x:c r="B1146" s="12" t="n">
        <x:v>1275</x:v>
      </x:c>
      <x:c r="C1146" s="14" t="n">
        <x:v>46190</x:v>
      </x:c>
      <x:c r="D1146" s="12" t="str">
        <x:v>Rabu</x:v>
      </x:c>
      <x:c r="E1146" s="12" t="str">
        <x:v>06:24:00</x:v>
      </x:c>
      <x:c r="F1146" s="12" t="str">
        <x:v>All Shift Day</x:v>
      </x:c>
      <x:c r="G1146" s="12" t="str">
        <x:v>FTRL44G005</x:v>
      </x:c>
      <x:c r="H1146" s="12" t="str">
        <x:v>Fuel Truck</x:v>
      </x:c>
      <x:c r="I1146" s="12" t="str">
        <x:v>FUEL TRUCK RENAULT KRANGE440-P6X4 A/T</x:v>
      </x:c>
      <x:c r="J1146" s="16" t="n">
        <x:v>79</x:v>
      </x:c>
      <x:c r="K1146" s="16" t="n">
        <x:v>3706</x:v>
      </x:c>
      <x:c r="L1146" s="16" t="n">
        <x:v>3709</x:v>
      </x:c>
      <x:c r="M1146" s="16" t="n">
        <x:v>3</x:v>
      </x:c>
      <x:c r="N1146" s="16" t="n">
        <x:v>26.333333333333332</x:v>
      </x:c>
      <x:c r="O1146" s="12" t="str">
        <x:v>FTRL44G005</x:v>
      </x:c>
      <x:c r="P1146" s="12" t="str">
        <x:v>FTRL44G005</x:v>
      </x:c>
      <x:c r="Q1146" s="12" t="str"/>
      <x:c r="R1146" s="12" t="str"/>
      <x:c r="S1146" s="12" t="str"/>
      <x:c r="T1146" s="12" t="str">
        <x:v>ABM</x:v>
      </x:c>
      <x:c r="U1146" s="12" t="str"/>
      <x:c r="V1146" s="12" t="str"/>
      <x:c r="W1146" s="12" t="str"/>
      <x:c r="X1146" s="12" t="str">
        <x:v>FTRL44</x:v>
      </x:c>
      <x:c r="Y1146" s="12" t="str">
        <x:v>BADRI &amp; KAMRAN</x:v>
      </x:c>
      <x:c r="Z1146" s="12" t="str">
        <x:v>PIT</x:v>
      </x:c>
      <x:c r="AA1146" s="32" t="n">
        <x:f>IFERROR(VLOOKUP(G1146,Master_Unit!$A$2:$N$78,7,FALSE),"")</x:f>
        <x:v>13</x:v>
      </x:c>
      <x:c r="AB1146" s="32" t="n">
        <x:f>IF(OR(N1146="",AA1146=""),"",N1146-AA1146)</x:f>
        <x:v>13.333333333333332</x:v>
      </x:c>
      <x:c r="AC1146" s="20" t="n">
        <x:f>IF(OR(N1146="",AA1146="",AA1146=0),"",AB1146/AA1146)</x:f>
        <x:v>1.0256410256410255</x:v>
      </x:c>
      <x:c r="AD1146" t="str">
        <x:f>IF(AA1146="","NO STANDARD",IF(AC1146&lt;=Config_Status!$B$2,"EFFICIENT",IF(AC1146&lt;=Config_Status!$B$3,"NORMAL",IF(AC1146&lt;=Config_Status!$B$4,"WARNING","OVER CONSUMPTION"))))</x:f>
        <x:v>OVER CONSUMPTION</x:v>
      </x:c>
      <x:c r="AE1146" t="str">
        <x:f>IFERROR(VLOOKUP(G1146,Master_Unit!$A$2:$N$78,13,FALSE),"UNIT NOT FOUND")</x:f>
        <x:v>Matched</x:v>
      </x:c>
    </x:row>
    <x:row r="1147">
      <x:c r="A1147" s="12" t="str">
        <x:v>FU-20260617-01146</x:v>
      </x:c>
      <x:c r="B1147" s="12" t="n">
        <x:v>1276</x:v>
      </x:c>
      <x:c r="C1147" s="14" t="n">
        <x:v>46190</x:v>
      </x:c>
      <x:c r="D1147" s="12" t="str">
        <x:v>Rabu</x:v>
      </x:c>
      <x:c r="E1147" s="12" t="str">
        <x:v>06:39:00</x:v>
      </x:c>
      <x:c r="F1147" s="12" t="str">
        <x:v>All Shift Day</x:v>
      </x:c>
      <x:c r="G1147" s="12" t="str">
        <x:v>EXVV21G040</x:v>
      </x:c>
      <x:c r="H1147" s="12" t="str">
        <x:v>Excavator</x:v>
      </x:c>
      <x:c r="I1147" s="12" t="str">
        <x:v>EXCAVATOR VOLVO EC210D</x:v>
      </x:c>
      <x:c r="J1147" s="16" t="n">
        <x:v>79</x:v>
      </x:c>
      <x:c r="K1147" s="16" t="n">
        <x:v>6671.8</x:v>
      </x:c>
      <x:c r="L1147" s="16" t="n">
        <x:v>6680.3</x:v>
      </x:c>
      <x:c r="M1147" s="16" t="n">
        <x:v>8.5</x:v>
      </x:c>
      <x:c r="N1147" s="16" t="n">
        <x:v>9.294117647058824</x:v>
      </x:c>
      <x:c r="O1147" s="12" t="str">
        <x:v>FTRL44G005</x:v>
      </x:c>
      <x:c r="P1147" s="12" t="str">
        <x:v>EXVV21G040</x:v>
      </x:c>
      <x:c r="Q1147" s="12" t="str"/>
      <x:c r="R1147" s="12" t="str"/>
      <x:c r="S1147" s="12" t="str"/>
      <x:c r="T1147" s="12" t="str">
        <x:v>ABM</x:v>
      </x:c>
      <x:c r="U1147" s="12" t="str"/>
      <x:c r="V1147" s="12" t="str"/>
      <x:c r="W1147" s="12" t="str"/>
      <x:c r="X1147" s="12" t="str">
        <x:v>EXVV21</x:v>
      </x:c>
      <x:c r="Y1147" s="12" t="str">
        <x:v>BADRI &amp; KAMRAN</x:v>
      </x:c>
      <x:c r="Z1147" s="12" t="str">
        <x:v>PIT</x:v>
      </x:c>
      <x:c r="AA1147" s="32" t="n">
        <x:f>IFERROR(VLOOKUP(G1147,Master_Unit!$A$2:$N$78,7,FALSE),"")</x:f>
        <x:v>20</x:v>
      </x:c>
      <x:c r="AB1147" s="32" t="n">
        <x:f>IF(OR(N1147="",AA1147=""),"",N1147-AA1147)</x:f>
        <x:v>-10.705882352941176</x:v>
      </x:c>
      <x:c r="AC1147" s="20" t="n">
        <x:f>IF(OR(N1147="",AA1147="",AA1147=0),"",AB1147/AA1147)</x:f>
        <x:v>-0.5352941176470588</x:v>
      </x:c>
      <x:c r="AD1147" t="str">
        <x:f>IF(AA1147="","NO STANDARD",IF(AC1147&lt;=Config_Status!$B$2,"EFFICIENT",IF(AC1147&lt;=Config_Status!$B$3,"NORMAL",IF(AC1147&lt;=Config_Status!$B$4,"WARNING","OVER CONSUMPTION"))))</x:f>
        <x:v>EFFICIENT</x:v>
      </x:c>
      <x:c r="AE1147" t="str">
        <x:f>IFERROR(VLOOKUP(G1147,Master_Unit!$A$2:$N$78,13,FALSE),"UNIT NOT FOUND")</x:f>
        <x:v>Matched</x:v>
      </x:c>
    </x:row>
    <x:row r="1148">
      <x:c r="A1148" s="12" t="str">
        <x:v>FU-20260617-01147</x:v>
      </x:c>
      <x:c r="B1148" s="12" t="n">
        <x:v>1277</x:v>
      </x:c>
      <x:c r="C1148" s="14" t="n">
        <x:v>46190</x:v>
      </x:c>
      <x:c r="D1148" s="12" t="str">
        <x:v>Rabu</x:v>
      </x:c>
      <x:c r="E1148" s="12" t="str">
        <x:v>06:47:00</x:v>
      </x:c>
      <x:c r="F1148" s="12" t="str">
        <x:v>All Shift Day</x:v>
      </x:c>
      <x:c r="G1148" s="12" t="str">
        <x:v>EXVV35G006</x:v>
      </x:c>
      <x:c r="H1148" s="12" t="str">
        <x:v>Excavator</x:v>
      </x:c>
      <x:c r="I1148" s="12" t="str">
        <x:v>EXCAVATOR VOLVO EC350D</x:v>
      </x:c>
      <x:c r="J1148" s="16" t="n">
        <x:v>243</x:v>
      </x:c>
      <x:c r="K1148" s="16" t="n">
        <x:v>3249</x:v>
      </x:c>
      <x:c r="L1148" s="16" t="n">
        <x:v>3256.8</x:v>
      </x:c>
      <x:c r="M1148" s="16" t="n">
        <x:v>7.800000000000182</x:v>
      </x:c>
      <x:c r="N1148" s="16" t="n">
        <x:v>31.15384615384543</x:v>
      </x:c>
      <x:c r="O1148" s="12" t="str">
        <x:v>FTRL44G005</x:v>
      </x:c>
      <x:c r="P1148" s="12" t="str">
        <x:v>EXVV35G006</x:v>
      </x:c>
      <x:c r="Q1148" s="12" t="str"/>
      <x:c r="R1148" s="12" t="str"/>
      <x:c r="S1148" s="12" t="str"/>
      <x:c r="T1148" s="12" t="str">
        <x:v>ABM</x:v>
      </x:c>
      <x:c r="U1148" s="12" t="str"/>
      <x:c r="V1148" s="12" t="str"/>
      <x:c r="W1148" s="12" t="str"/>
      <x:c r="X1148" s="12" t="str">
        <x:v>EXVV35</x:v>
      </x:c>
      <x:c r="Y1148" s="12" t="str">
        <x:v>BADRI &amp; KAMRAN</x:v>
      </x:c>
      <x:c r="Z1148" s="12" t="str">
        <x:v>PIT</x:v>
      </x:c>
      <x:c r="AA1148" s="32" t="n">
        <x:f>IFERROR(VLOOKUP(G1148,Master_Unit!$A$2:$N$78,7,FALSE),"")</x:f>
        <x:v>25</x:v>
      </x:c>
      <x:c r="AB1148" s="32" t="n">
        <x:f>IF(OR(N1148="",AA1148=""),"",N1148-AA1148)</x:f>
        <x:v>6.1538461538454285</x:v>
      </x:c>
      <x:c r="AC1148" s="20" t="n">
        <x:f>IF(OR(N1148="",AA1148="",AA1148=0),"",AB1148/AA1148)</x:f>
        <x:v>0.24615384615381714</x:v>
      </x:c>
      <x:c r="AD1148" t="str">
        <x:f>IF(AA1148="","NO STANDARD",IF(AC1148&lt;=Config_Status!$B$2,"EFFICIENT",IF(AC1148&lt;=Config_Status!$B$3,"NORMAL",IF(AC1148&lt;=Config_Status!$B$4,"WARNING","OVER CONSUMPTION"))))</x:f>
        <x:v>OVER CONSUMPTION</x:v>
      </x:c>
      <x:c r="AE1148" t="str">
        <x:f>IFERROR(VLOOKUP(G1148,Master_Unit!$A$2:$N$78,13,FALSE),"UNIT NOT FOUND")</x:f>
        <x:v>Matched</x:v>
      </x:c>
    </x:row>
    <x:row r="1149">
      <x:c r="A1149" s="12" t="str">
        <x:v>FU-20260617-01148</x:v>
      </x:c>
      <x:c r="B1149" s="12" t="n">
        <x:v>1278</x:v>
      </x:c>
      <x:c r="C1149" s="14" t="n">
        <x:v>46190</x:v>
      </x:c>
      <x:c r="D1149" s="12" t="str">
        <x:v>Rabu</x:v>
      </x:c>
      <x:c r="E1149" s="12" t="str">
        <x:v>06:51:00</x:v>
      </x:c>
      <x:c r="F1149" s="12" t="str">
        <x:v>All Shift Day</x:v>
      </x:c>
      <x:c r="G1149" s="12" t="str">
        <x:v>EXVV21G036</x:v>
      </x:c>
      <x:c r="H1149" s="12" t="str">
        <x:v>Excavator</x:v>
      </x:c>
      <x:c r="I1149" s="12" t="str">
        <x:v>EXCAVATOR VOLVO EC210D</x:v>
      </x:c>
      <x:c r="J1149" s="16" t="n">
        <x:v>97</x:v>
      </x:c>
      <x:c r="K1149" s="16" t="n">
        <x:v>7659.8</x:v>
      </x:c>
      <x:c r="L1149" s="16" t="n">
        <x:v>7667.3</x:v>
      </x:c>
      <x:c r="M1149" s="16" t="n">
        <x:v>7.5</x:v>
      </x:c>
      <x:c r="N1149" s="16" t="n">
        <x:v>12.933333333333334</x:v>
      </x:c>
      <x:c r="O1149" s="12" t="str">
        <x:v>FTRL44G005</x:v>
      </x:c>
      <x:c r="P1149" s="12" t="str">
        <x:v>EXVV21G036</x:v>
      </x:c>
      <x:c r="Q1149" s="12" t="str"/>
      <x:c r="R1149" s="12" t="str"/>
      <x:c r="S1149" s="12" t="str"/>
      <x:c r="T1149" s="12" t="str">
        <x:v>ABM</x:v>
      </x:c>
      <x:c r="U1149" s="12" t="str"/>
      <x:c r="V1149" s="12" t="str"/>
      <x:c r="W1149" s="12" t="str"/>
      <x:c r="X1149" s="12" t="str">
        <x:v>EXVV21</x:v>
      </x:c>
      <x:c r="Y1149" s="12" t="str">
        <x:v>BADRI &amp; KAMRAN</x:v>
      </x:c>
      <x:c r="Z1149" s="12" t="str">
        <x:v>PIT</x:v>
      </x:c>
      <x:c r="AA1149" s="32" t="n">
        <x:f>IFERROR(VLOOKUP(G1149,Master_Unit!$A$2:$N$78,7,FALSE),"")</x:f>
        <x:v>20</x:v>
      </x:c>
      <x:c r="AB1149" s="32" t="n">
        <x:f>IF(OR(N1149="",AA1149=""),"",N1149-AA1149)</x:f>
        <x:v>-7.066666666666666</x:v>
      </x:c>
      <x:c r="AC1149" s="20" t="n">
        <x:f>IF(OR(N1149="",AA1149="",AA1149=0),"",AB1149/AA1149)</x:f>
        <x:v>-0.35333333333333333</x:v>
      </x:c>
      <x:c r="AD1149" t="str">
        <x:f>IF(AA1149="","NO STANDARD",IF(AC1149&lt;=Config_Status!$B$2,"EFFICIENT",IF(AC1149&lt;=Config_Status!$B$3,"NORMAL",IF(AC1149&lt;=Config_Status!$B$4,"WARNING","OVER CONSUMPTION"))))</x:f>
        <x:v>EFFICIENT</x:v>
      </x:c>
      <x:c r="AE1149" t="str">
        <x:f>IFERROR(VLOOKUP(G1149,Master_Unit!$A$2:$N$78,13,FALSE),"UNIT NOT FOUND")</x:f>
        <x:v>Matched</x:v>
      </x:c>
    </x:row>
    <x:row r="1150">
      <x:c r="A1150" s="12" t="str">
        <x:v>FU-20260617-01149</x:v>
      </x:c>
      <x:c r="B1150" s="12" t="n">
        <x:v>1279</x:v>
      </x:c>
      <x:c r="C1150" s="14" t="n">
        <x:v>46190</x:v>
      </x:c>
      <x:c r="D1150" s="12" t="str">
        <x:v>Rabu</x:v>
      </x:c>
      <x:c r="E1150" s="12" t="str">
        <x:v>07:22:00</x:v>
      </x:c>
      <x:c r="F1150" s="12" t="str">
        <x:v>All Shift Day</x:v>
      </x:c>
      <x:c r="G1150" s="12" t="str">
        <x:v>EXVV21G038</x:v>
      </x:c>
      <x:c r="H1150" s="12" t="str">
        <x:v>Excavator</x:v>
      </x:c>
      <x:c r="I1150" s="12" t="str">
        <x:v>EXCAVATOR VOLVO EC210D</x:v>
      </x:c>
      <x:c r="J1150" s="16" t="n">
        <x:v>171</x:v>
      </x:c>
      <x:c r="K1150" s="16" t="n">
        <x:v>4307.9</x:v>
      </x:c>
      <x:c r="L1150" s="16" t="n">
        <x:v>4316.1</x:v>
      </x:c>
      <x:c r="M1150" s="16" t="n">
        <x:v>8.200000000000728</x:v>
      </x:c>
      <x:c r="N1150" s="16" t="n">
        <x:v>20.853658536583517</x:v>
      </x:c>
      <x:c r="O1150" s="12" t="str">
        <x:v>FTRL44G005</x:v>
      </x:c>
      <x:c r="P1150" s="12" t="str">
        <x:v>EXVV21G038</x:v>
      </x:c>
      <x:c r="Q1150" s="12" t="str"/>
      <x:c r="R1150" s="12" t="str"/>
      <x:c r="S1150" s="12" t="str"/>
      <x:c r="T1150" s="12" t="str">
        <x:v>ABM</x:v>
      </x:c>
      <x:c r="U1150" s="12" t="str"/>
      <x:c r="V1150" s="12" t="str"/>
      <x:c r="W1150" s="12" t="str"/>
      <x:c r="X1150" s="12" t="str">
        <x:v>EXVV21</x:v>
      </x:c>
      <x:c r="Y1150" s="12" t="str">
        <x:v>BADRI &amp; KAMRAN</x:v>
      </x:c>
      <x:c r="Z1150" s="12" t="str">
        <x:v>PIT</x:v>
      </x:c>
      <x:c r="AA1150" s="32" t="n">
        <x:f>IFERROR(VLOOKUP(G1150,Master_Unit!$A$2:$N$78,7,FALSE),"")</x:f>
        <x:v>20</x:v>
      </x:c>
      <x:c r="AB1150" s="32" t="n">
        <x:f>IF(OR(N1150="",AA1150=""),"",N1150-AA1150)</x:f>
        <x:v>0.8536585365835165</x:v>
      </x:c>
      <x:c r="AC1150" s="20" t="n">
        <x:f>IF(OR(N1150="",AA1150="",AA1150=0),"",AB1150/AA1150)</x:f>
        <x:v>0.04268292682917583</x:v>
      </x:c>
      <x:c r="AD1150" t="str">
        <x:f>IF(AA1150="","NO STANDARD",IF(AC1150&lt;=Config_Status!$B$2,"EFFICIENT",IF(AC1150&lt;=Config_Status!$B$3,"NORMAL",IF(AC1150&lt;=Config_Status!$B$4,"WARNING","OVER CONSUMPTION"))))</x:f>
        <x:v>NORMAL</x:v>
      </x:c>
      <x:c r="AE1150" t="str">
        <x:f>IFERROR(VLOOKUP(G1150,Master_Unit!$A$2:$N$78,13,FALSE),"UNIT NOT FOUND")</x:f>
        <x:v>Matched</x:v>
      </x:c>
    </x:row>
    <x:row r="1151">
      <x:c r="A1151" s="12" t="str">
        <x:v>FU-20260617-01150</x:v>
      </x:c>
      <x:c r="B1151" s="12" t="n">
        <x:v>1280</x:v>
      </x:c>
      <x:c r="C1151" s="14" t="n">
        <x:v>46190</x:v>
      </x:c>
      <x:c r="D1151" s="12" t="str">
        <x:v>Rabu</x:v>
      </x:c>
      <x:c r="E1151" s="12" t="str">
        <x:v>07:30:00</x:v>
      </x:c>
      <x:c r="F1151" s="12" t="str">
        <x:v>All Shift Day</x:v>
      </x:c>
      <x:c r="G1151" s="12" t="str">
        <x:v>EXVV21G041</x:v>
      </x:c>
      <x:c r="H1151" s="12" t="str">
        <x:v>Excavator</x:v>
      </x:c>
      <x:c r="I1151" s="12" t="str">
        <x:v>EXCAVATOR VOLVO EC210D</x:v>
      </x:c>
      <x:c r="J1151" s="16" t="n">
        <x:v>171</x:v>
      </x:c>
      <x:c r="K1151" s="16" t="n">
        <x:v>4609.7</x:v>
      </x:c>
      <x:c r="L1151" s="16" t="n">
        <x:v>4617.6</x:v>
      </x:c>
      <x:c r="M1151" s="16" t="n">
        <x:v>7.900000000000546</x:v>
      </x:c>
      <x:c r="N1151" s="16" t="n">
        <x:v>21.64556962025167</x:v>
      </x:c>
      <x:c r="O1151" s="12" t="str">
        <x:v>FTRL44G005</x:v>
      </x:c>
      <x:c r="P1151" s="12" t="str">
        <x:v>EXVV21G041</x:v>
      </x:c>
      <x:c r="Q1151" s="12" t="str"/>
      <x:c r="R1151" s="12" t="str"/>
      <x:c r="S1151" s="12" t="str"/>
      <x:c r="T1151" s="12" t="str">
        <x:v>ABM</x:v>
      </x:c>
      <x:c r="U1151" s="12" t="str"/>
      <x:c r="V1151" s="12" t="str"/>
      <x:c r="W1151" s="12" t="str"/>
      <x:c r="X1151" s="12" t="str">
        <x:v>EXVV21</x:v>
      </x:c>
      <x:c r="Y1151" s="12" t="str">
        <x:v>BADRI &amp; KAMRAN</x:v>
      </x:c>
      <x:c r="Z1151" s="12" t="str">
        <x:v>PIT</x:v>
      </x:c>
      <x:c r="AA1151" s="32" t="n">
        <x:f>IFERROR(VLOOKUP(G1151,Master_Unit!$A$2:$N$78,7,FALSE),"")</x:f>
        <x:v>20</x:v>
      </x:c>
      <x:c r="AB1151" s="32" t="n">
        <x:f>IF(OR(N1151="",AA1151=""),"",N1151-AA1151)</x:f>
        <x:v>1.6455696202516705</x:v>
      </x:c>
      <x:c r="AC1151" s="20" t="n">
        <x:f>IF(OR(N1151="",AA1151="",AA1151=0),"",AB1151/AA1151)</x:f>
        <x:v>0.08227848101258353</x:v>
      </x:c>
      <x:c r="AD1151" t="str">
        <x:f>IF(AA1151="","NO STANDARD",IF(AC1151&lt;=Config_Status!$B$2,"EFFICIENT",IF(AC1151&lt;=Config_Status!$B$3,"NORMAL",IF(AC1151&lt;=Config_Status!$B$4,"WARNING","OVER CONSUMPTION"))))</x:f>
        <x:v>NORMAL</x:v>
      </x:c>
      <x:c r="AE1151" t="str">
        <x:f>IFERROR(VLOOKUP(G1151,Master_Unit!$A$2:$N$78,13,FALSE),"UNIT NOT FOUND")</x:f>
        <x:v>Matched</x:v>
      </x:c>
    </x:row>
    <x:row r="1152">
      <x:c r="A1152" s="12" t="str">
        <x:v>FU-20260617-01151</x:v>
      </x:c>
      <x:c r="B1152" s="12" t="n">
        <x:v>1281</x:v>
      </x:c>
      <x:c r="C1152" s="14" t="n">
        <x:v>46190</x:v>
      </x:c>
      <x:c r="D1152" s="12" t="str">
        <x:v>Rabu</x:v>
      </x:c>
      <x:c r="E1152" s="12" t="str">
        <x:v>07:36:00</x:v>
      </x:c>
      <x:c r="F1152" s="12" t="str">
        <x:v>All Shift Day</x:v>
      </x:c>
      <x:c r="G1152" s="12" t="str">
        <x:v>TLYM50G017</x:v>
      </x:c>
      <x:c r="H1152" s="12" t="str">
        <x:v>Other</x:v>
      </x:c>
      <x:c r="I1152" s="12" t="str">
        <x:v>TOWERLAMP YAMAGEN YDG5001SE-D-TLD4</x:v>
      </x:c>
      <x:c r="J1152" s="16" t="n">
        <x:v>23</x:v>
      </x:c>
      <x:c r="K1152" s="16" t="n">
        <x:v>3423.77</x:v>
      </x:c>
      <x:c r="L1152" s="16" t="n">
        <x:v>3432.94</x:v>
      </x:c>
      <x:c r="M1152" s="16" t="n">
        <x:v>9.170000000000073</x:v>
      </x:c>
      <x:c r="N1152" s="16" t="n">
        <x:v>2.508178844056687</x:v>
      </x:c>
      <x:c r="O1152" s="12" t="str">
        <x:v>FTRL44G005</x:v>
      </x:c>
      <x:c r="P1152" s="12" t="str">
        <x:v>TLYM50G017</x:v>
      </x:c>
      <x:c r="Q1152" s="12" t="str"/>
      <x:c r="R1152" s="12" t="str"/>
      <x:c r="S1152" s="12" t="str"/>
      <x:c r="T1152" s="12" t="str">
        <x:v>ABM</x:v>
      </x:c>
      <x:c r="U1152" s="12" t="str"/>
      <x:c r="V1152" s="12" t="str"/>
      <x:c r="W1152" s="12" t="str"/>
      <x:c r="X1152" s="12" t="str">
        <x:v>TLYM50</x:v>
      </x:c>
      <x:c r="Y1152" s="12" t="str">
        <x:v>BADRI &amp; KAMRAN</x:v>
      </x:c>
      <x:c r="Z1152" s="12" t="str">
        <x:v>ETO</x:v>
      </x:c>
      <x:c r="AA1152" s="32" t="n">
        <x:f>IFERROR(VLOOKUP(G1152,Master_Unit!$A$2:$N$78,7,FALSE),"")</x:f>
        <x:v>2</x:v>
      </x:c>
      <x:c r="AB1152" s="32" t="n">
        <x:f>IF(OR(N1152="",AA1152=""),"",N1152-AA1152)</x:f>
        <x:v>0.5081788440566868</x:v>
      </x:c>
      <x:c r="AC1152" s="20" t="n">
        <x:f>IF(OR(N1152="",AA1152="",AA1152=0),"",AB1152/AA1152)</x:f>
        <x:v>0.2540894220283434</x:v>
      </x:c>
      <x:c r="AD1152" t="str">
        <x:f>IF(AA1152="","NO STANDARD",IF(AC1152&lt;=Config_Status!$B$2,"EFFICIENT",IF(AC1152&lt;=Config_Status!$B$3,"NORMAL",IF(AC1152&lt;=Config_Status!$B$4,"WARNING","OVER CONSUMPTION"))))</x:f>
        <x:v>OVER CONSUMPTION</x:v>
      </x:c>
      <x:c r="AE1152" t="str">
        <x:f>IFERROR(VLOOKUP(G1152,Master_Unit!$A$2:$N$78,13,FALSE),"UNIT NOT FOUND")</x:f>
        <x:v>Matched</x:v>
      </x:c>
    </x:row>
    <x:row r="1153">
      <x:c r="A1153" s="12" t="str">
        <x:v>FU-20260617-01152</x:v>
      </x:c>
      <x:c r="B1153" s="12" t="n">
        <x:v>1282</x:v>
      </x:c>
      <x:c r="C1153" s="14" t="n">
        <x:v>46190</x:v>
      </x:c>
      <x:c r="D1153" s="12" t="str">
        <x:v>Rabu</x:v>
      </x:c>
      <x:c r="E1153" s="12" t="str">
        <x:v>08:20:00</x:v>
      </x:c>
      <x:c r="F1153" s="12" t="str">
        <x:v>All Shift Day</x:v>
      </x:c>
      <x:c r="G1153" s="12" t="str">
        <x:v>STRL44G146</x:v>
      </x:c>
      <x:c r="H1153" s="12" t="str">
        <x:v>Dump Truck</x:v>
      </x:c>
      <x:c r="I1153" s="12" t="str">
        <x:v>DUMP TRUCK RENAULT KRANGE440-P6X4 A/T</x:v>
      </x:c>
      <x:c r="J1153" s="16" t="n">
        <x:v>174</x:v>
      </x:c>
      <x:c r="K1153" s="16" t="n">
        <x:v>5021</x:v>
      </x:c>
      <x:c r="L1153" s="16" t="n">
        <x:v>5028</x:v>
      </x:c>
      <x:c r="M1153" s="16" t="n">
        <x:v>7</x:v>
      </x:c>
      <x:c r="N1153" s="16" t="n">
        <x:v>24.857142857142858</x:v>
      </x:c>
      <x:c r="O1153" s="12" t="str">
        <x:v>FTRL44G005</x:v>
      </x:c>
      <x:c r="P1153" s="12" t="str">
        <x:v>STRL44G146</x:v>
      </x:c>
      <x:c r="Q1153" s="12" t="str"/>
      <x:c r="R1153" s="12" t="str"/>
      <x:c r="S1153" s="12" t="str"/>
      <x:c r="T1153" s="12" t="str">
        <x:v>ABM</x:v>
      </x:c>
      <x:c r="U1153" s="12" t="str"/>
      <x:c r="V1153" s="12" t="str"/>
      <x:c r="W1153" s="12" t="str"/>
      <x:c r="X1153" s="12" t="str">
        <x:v>STRL44</x:v>
      </x:c>
      <x:c r="Y1153" s="12" t="str">
        <x:v>BADRI &amp; KAMRAN</x:v>
      </x:c>
      <x:c r="Z1153" s="12" t="str">
        <x:v>GENSET</x:v>
      </x:c>
      <x:c r="AA1153" s="32" t="n">
        <x:f>IFERROR(VLOOKUP(G1153,Master_Unit!$A$2:$N$78,7,FALSE),"")</x:f>
        <x:v>20</x:v>
      </x:c>
      <x:c r="AB1153" s="32" t="n">
        <x:f>IF(OR(N1153="",AA1153=""),"",N1153-AA1153)</x:f>
        <x:v>4.857142857142858</x:v>
      </x:c>
      <x:c r="AC1153" s="20" t="n">
        <x:f>IF(OR(N1153="",AA1153="",AA1153=0),"",AB1153/AA1153)</x:f>
        <x:v>0.24285714285714288</x:v>
      </x:c>
      <x:c r="AD1153" t="str">
        <x:f>IF(AA1153="","NO STANDARD",IF(AC1153&lt;=Config_Status!$B$2,"EFFICIENT",IF(AC1153&lt;=Config_Status!$B$3,"NORMAL",IF(AC1153&lt;=Config_Status!$B$4,"WARNING","OVER CONSUMPTION"))))</x:f>
        <x:v>OVER CONSUMPTION</x:v>
      </x:c>
      <x:c r="AE1153" t="str">
        <x:f>IFERROR(VLOOKUP(G1153,Master_Unit!$A$2:$N$78,13,FALSE),"UNIT NOT FOUND")</x:f>
        <x:v>Matched</x:v>
      </x:c>
    </x:row>
    <x:row r="1154">
      <x:c r="A1154" s="12" t="str">
        <x:v>FU-20260617-01153</x:v>
      </x:c>
      <x:c r="B1154" s="12" t="n">
        <x:v>1283</x:v>
      </x:c>
      <x:c r="C1154" s="14" t="n">
        <x:v>46190</x:v>
      </x:c>
      <x:c r="D1154" s="12" t="str">
        <x:v>Rabu</x:v>
      </x:c>
      <x:c r="E1154" s="12" t="str">
        <x:v>08:23:00</x:v>
      </x:c>
      <x:c r="F1154" s="12" t="str">
        <x:v>All Shift Day</x:v>
      </x:c>
      <x:c r="G1154" s="12" t="str">
        <x:v>STRL44G157</x:v>
      </x:c>
      <x:c r="H1154" s="12" t="str">
        <x:v>Dump Truck</x:v>
      </x:c>
      <x:c r="I1154" s="12" t="str">
        <x:v>DUMP TRUCK RENAULT KRANGE440-P6X4 A/T</x:v>
      </x:c>
      <x:c r="J1154" s="16" t="n">
        <x:v>163</x:v>
      </x:c>
      <x:c r="K1154" s="16" t="n">
        <x:v>4150</x:v>
      </x:c>
      <x:c r="L1154" s="16" t="n">
        <x:v>4156</x:v>
      </x:c>
      <x:c r="M1154" s="16" t="n">
        <x:v>6</x:v>
      </x:c>
      <x:c r="N1154" s="16" t="n">
        <x:v>27.166666666666668</x:v>
      </x:c>
      <x:c r="O1154" s="12" t="str">
        <x:v>FTRL44G005</x:v>
      </x:c>
      <x:c r="P1154" s="12" t="str">
        <x:v>STRL44G157</x:v>
      </x:c>
      <x:c r="Q1154" s="12" t="str"/>
      <x:c r="R1154" s="12" t="str"/>
      <x:c r="S1154" s="12" t="str"/>
      <x:c r="T1154" s="12" t="str">
        <x:v>ABM</x:v>
      </x:c>
      <x:c r="U1154" s="12" t="str"/>
      <x:c r="V1154" s="12" t="str"/>
      <x:c r="W1154" s="12" t="str"/>
      <x:c r="X1154" s="12" t="str">
        <x:v>STRL44</x:v>
      </x:c>
      <x:c r="Y1154" s="12" t="str">
        <x:v>BADRI &amp; KAMRAN</x:v>
      </x:c>
      <x:c r="Z1154" s="12" t="str">
        <x:v>SUPPORT</x:v>
      </x:c>
      <x:c r="AA1154" s="32" t="n">
        <x:f>IFERROR(VLOOKUP(G1154,Master_Unit!$A$2:$N$78,7,FALSE),"")</x:f>
        <x:v>20</x:v>
      </x:c>
      <x:c r="AB1154" s="32" t="n">
        <x:f>IF(OR(N1154="",AA1154=""),"",N1154-AA1154)</x:f>
        <x:v>7.166666666666668</x:v>
      </x:c>
      <x:c r="AC1154" s="20" t="n">
        <x:f>IF(OR(N1154="",AA1154="",AA1154=0),"",AB1154/AA1154)</x:f>
        <x:v>0.3583333333333334</x:v>
      </x:c>
      <x:c r="AD1154" t="str">
        <x:f>IF(AA1154="","NO STANDARD",IF(AC1154&lt;=Config_Status!$B$2,"EFFICIENT",IF(AC1154&lt;=Config_Status!$B$3,"NORMAL",IF(AC1154&lt;=Config_Status!$B$4,"WARNING","OVER CONSUMPTION"))))</x:f>
        <x:v>OVER CONSUMPTION</x:v>
      </x:c>
      <x:c r="AE1154" t="str">
        <x:f>IFERROR(VLOOKUP(G1154,Master_Unit!$A$2:$N$78,13,FALSE),"UNIT NOT FOUND")</x:f>
        <x:v>Matched</x:v>
      </x:c>
    </x:row>
    <x:row r="1155">
      <x:c r="A1155" s="12" t="str">
        <x:v>FU-20260617-01154</x:v>
      </x:c>
      <x:c r="B1155" s="12" t="n">
        <x:v>1284</x:v>
      </x:c>
      <x:c r="C1155" s="14" t="n">
        <x:v>46190</x:v>
      </x:c>
      <x:c r="D1155" s="12" t="str">
        <x:v>Rabu</x:v>
      </x:c>
      <x:c r="E1155" s="12" t="str">
        <x:v>08:26:00</x:v>
      </x:c>
      <x:c r="F1155" s="12" t="str">
        <x:v>All Shift Day</x:v>
      </x:c>
      <x:c r="G1155" s="12" t="str">
        <x:v>STRL44G154</x:v>
      </x:c>
      <x:c r="H1155" s="12" t="str">
        <x:v>Dump Truck</x:v>
      </x:c>
      <x:c r="I1155" s="12" t="str">
        <x:v>DUMP TRUCK RENAULT KRANGE440-P6X4 A/T</x:v>
      </x:c>
      <x:c r="J1155" s="16" t="n">
        <x:v>174</x:v>
      </x:c>
      <x:c r="K1155" s="16" t="n">
        <x:v>4174</x:v>
      </x:c>
      <x:c r="L1155" s="16" t="n">
        <x:v>4182</x:v>
      </x:c>
      <x:c r="M1155" s="16" t="n">
        <x:v>8</x:v>
      </x:c>
      <x:c r="N1155" s="16" t="n">
        <x:v>21.75</x:v>
      </x:c>
      <x:c r="O1155" s="12" t="str">
        <x:v>FTRL44G005</x:v>
      </x:c>
      <x:c r="P1155" s="12" t="str">
        <x:v>STRL44G154</x:v>
      </x:c>
      <x:c r="Q1155" s="12" t="str"/>
      <x:c r="R1155" s="12" t="str"/>
      <x:c r="S1155" s="12" t="str"/>
      <x:c r="T1155" s="12" t="str">
        <x:v>ABM</x:v>
      </x:c>
      <x:c r="U1155" s="12" t="str"/>
      <x:c r="V1155" s="12" t="str"/>
      <x:c r="W1155" s="12" t="str"/>
      <x:c r="X1155" s="12" t="str">
        <x:v>STRL44</x:v>
      </x:c>
      <x:c r="Y1155" s="12" t="str">
        <x:v>BADRI &amp; KAMRAN</x:v>
      </x:c>
      <x:c r="Z1155" s="12" t="str">
        <x:v>SUPPORT</x:v>
      </x:c>
      <x:c r="AA1155" s="32" t="n">
        <x:f>IFERROR(VLOOKUP(G1155,Master_Unit!$A$2:$N$78,7,FALSE),"")</x:f>
        <x:v>20</x:v>
      </x:c>
      <x:c r="AB1155" s="32" t="n">
        <x:f>IF(OR(N1155="",AA1155=""),"",N1155-AA1155)</x:f>
        <x:v>1.75</x:v>
      </x:c>
      <x:c r="AC1155" s="20" t="n">
        <x:f>IF(OR(N1155="",AA1155="",AA1155=0),"",AB1155/AA1155)</x:f>
        <x:v>0.0875</x:v>
      </x:c>
      <x:c r="AD1155" t="str">
        <x:f>IF(AA1155="","NO STANDARD",IF(AC1155&lt;=Config_Status!$B$2,"EFFICIENT",IF(AC1155&lt;=Config_Status!$B$3,"NORMAL",IF(AC1155&lt;=Config_Status!$B$4,"WARNING","OVER CONSUMPTION"))))</x:f>
        <x:v>NORMAL</x:v>
      </x:c>
      <x:c r="AE1155" t="str">
        <x:f>IFERROR(VLOOKUP(G1155,Master_Unit!$A$2:$N$78,13,FALSE),"UNIT NOT FOUND")</x:f>
        <x:v>Matched</x:v>
      </x:c>
    </x:row>
    <x:row r="1156">
      <x:c r="A1156" s="12" t="str">
        <x:v>FU-20260617-01155</x:v>
      </x:c>
      <x:c r="B1156" s="12" t="n">
        <x:v>1285</x:v>
      </x:c>
      <x:c r="C1156" s="14" t="n">
        <x:v>46190</x:v>
      </x:c>
      <x:c r="D1156" s="12" t="str">
        <x:v>Rabu</x:v>
      </x:c>
      <x:c r="E1156" s="12" t="str">
        <x:v>08:31:00</x:v>
      </x:c>
      <x:c r="F1156" s="12" t="str">
        <x:v>All Shift Day</x:v>
      </x:c>
      <x:c r="G1156" s="12" t="str">
        <x:v>STRL44G143</x:v>
      </x:c>
      <x:c r="H1156" s="12" t="str">
        <x:v>Dump Truck</x:v>
      </x:c>
      <x:c r="I1156" s="12" t="str">
        <x:v>DUMP TRUCK RENAULT KRANGE440-P6X4 A/T</x:v>
      </x:c>
      <x:c r="J1156" s="16" t="n">
        <x:v>174</x:v>
      </x:c>
      <x:c r="K1156" s="16" t="n">
        <x:v>5322</x:v>
      </x:c>
      <x:c r="L1156" s="16" t="n">
        <x:v>5329</x:v>
      </x:c>
      <x:c r="M1156" s="16" t="n">
        <x:v>7</x:v>
      </x:c>
      <x:c r="N1156" s="16" t="n">
        <x:v>24.857142857142858</x:v>
      </x:c>
      <x:c r="O1156" s="12" t="str">
        <x:v>FTRL44G005</x:v>
      </x:c>
      <x:c r="P1156" s="12" t="str">
        <x:v>STRL44G143</x:v>
      </x:c>
      <x:c r="Q1156" s="12" t="str"/>
      <x:c r="R1156" s="12" t="str"/>
      <x:c r="S1156" s="12" t="str"/>
      <x:c r="T1156" s="12" t="str">
        <x:v>ABM</x:v>
      </x:c>
      <x:c r="U1156" s="12" t="str"/>
      <x:c r="V1156" s="12" t="str"/>
      <x:c r="W1156" s="12" t="str"/>
      <x:c r="X1156" s="12" t="str">
        <x:v>STRL44</x:v>
      </x:c>
      <x:c r="Y1156" s="12" t="str">
        <x:v>BADRI &amp; KAMRAN</x:v>
      </x:c>
      <x:c r="Z1156" s="12" t="str">
        <x:v>EFO</x:v>
      </x:c>
      <x:c r="AA1156" s="32" t="n">
        <x:f>IFERROR(VLOOKUP(G1156,Master_Unit!$A$2:$N$78,7,FALSE),"")</x:f>
        <x:v>20</x:v>
      </x:c>
      <x:c r="AB1156" s="32" t="n">
        <x:f>IF(OR(N1156="",AA1156=""),"",N1156-AA1156)</x:f>
        <x:v>4.857142857142858</x:v>
      </x:c>
      <x:c r="AC1156" s="20" t="n">
        <x:f>IF(OR(N1156="",AA1156="",AA1156=0),"",AB1156/AA1156)</x:f>
        <x:v>0.24285714285714288</x:v>
      </x:c>
      <x:c r="AD1156" t="str">
        <x:f>IF(AA1156="","NO STANDARD",IF(AC1156&lt;=Config_Status!$B$2,"EFFICIENT",IF(AC1156&lt;=Config_Status!$B$3,"NORMAL",IF(AC1156&lt;=Config_Status!$B$4,"WARNING","OVER CONSUMPTION"))))</x:f>
        <x:v>OVER CONSUMPTION</x:v>
      </x:c>
      <x:c r="AE1156" t="str">
        <x:f>IFERROR(VLOOKUP(G1156,Master_Unit!$A$2:$N$78,13,FALSE),"UNIT NOT FOUND")</x:f>
        <x:v>Matched</x:v>
      </x:c>
    </x:row>
    <x:row r="1157">
      <x:c r="A1157" s="12" t="str">
        <x:v>FU-20260617-01156</x:v>
      </x:c>
      <x:c r="B1157" s="12" t="n">
        <x:v>1286</x:v>
      </x:c>
      <x:c r="C1157" s="14" t="n">
        <x:v>46190</x:v>
      </x:c>
      <x:c r="D1157" s="12" t="str">
        <x:v>Rabu</x:v>
      </x:c>
      <x:c r="E1157" s="12" t="str">
        <x:v>08:36:00</x:v>
      </x:c>
      <x:c r="F1157" s="12" t="str">
        <x:v>All Shift Day</x:v>
      </x:c>
      <x:c r="G1157" s="12" t="str">
        <x:v>STRL44G144</x:v>
      </x:c>
      <x:c r="H1157" s="12" t="str">
        <x:v>Dump Truck</x:v>
      </x:c>
      <x:c r="I1157" s="12" t="str">
        <x:v>DUMP TRUCK RENAULT KRANGE440-P6X4 A/T</x:v>
      </x:c>
      <x:c r="J1157" s="16" t="n">
        <x:v>174</x:v>
      </x:c>
      <x:c r="K1157" s="16" t="n">
        <x:v>1610</x:v>
      </x:c>
      <x:c r="L1157" s="16" t="n">
        <x:v>1616</x:v>
      </x:c>
      <x:c r="M1157" s="16" t="n">
        <x:v>6</x:v>
      </x:c>
      <x:c r="N1157" s="16" t="n">
        <x:v>29</x:v>
      </x:c>
      <x:c r="O1157" s="12" t="str">
        <x:v>FTRL44G005</x:v>
      </x:c>
      <x:c r="P1157" s="12" t="str">
        <x:v>STRL44G144</x:v>
      </x:c>
      <x:c r="Q1157" s="12" t="str"/>
      <x:c r="R1157" s="12" t="str"/>
      <x:c r="S1157" s="12" t="str"/>
      <x:c r="T1157" s="12" t="str">
        <x:v>ABM</x:v>
      </x:c>
      <x:c r="U1157" s="12" t="str"/>
      <x:c r="V1157" s="12" t="str"/>
      <x:c r="W1157" s="12" t="str"/>
      <x:c r="X1157" s="12" t="str">
        <x:v>STRL44</x:v>
      </x:c>
      <x:c r="Y1157" s="12" t="str">
        <x:v>BADRI &amp; KAMRAN</x:v>
      </x:c>
      <x:c r="Z1157" s="12" t="str">
        <x:v>ETO</x:v>
      </x:c>
      <x:c r="AA1157" s="32" t="n">
        <x:f>IFERROR(VLOOKUP(G1157,Master_Unit!$A$2:$N$78,7,FALSE),"")</x:f>
        <x:v>20</x:v>
      </x:c>
      <x:c r="AB1157" s="32" t="n">
        <x:f>IF(OR(N1157="",AA1157=""),"",N1157-AA1157)</x:f>
        <x:v>9</x:v>
      </x:c>
      <x:c r="AC1157" s="20" t="n">
        <x:f>IF(OR(N1157="",AA1157="",AA1157=0),"",AB1157/AA1157)</x:f>
        <x:v>0.45</x:v>
      </x:c>
      <x:c r="AD1157" t="str">
        <x:f>IF(AA1157="","NO STANDARD",IF(AC1157&lt;=Config_Status!$B$2,"EFFICIENT",IF(AC1157&lt;=Config_Status!$B$3,"NORMAL",IF(AC1157&lt;=Config_Status!$B$4,"WARNING","OVER CONSUMPTION"))))</x:f>
        <x:v>OVER CONSUMPTION</x:v>
      </x:c>
      <x:c r="AE1157" t="str">
        <x:f>IFERROR(VLOOKUP(G1157,Master_Unit!$A$2:$N$78,13,FALSE),"UNIT NOT FOUND")</x:f>
        <x:v>Matched</x:v>
      </x:c>
    </x:row>
    <x:row r="1158">
      <x:c r="A1158" s="12" t="str">
        <x:v>FU-20260617-01157</x:v>
      </x:c>
      <x:c r="B1158" s="12" t="n">
        <x:v>1287</x:v>
      </x:c>
      <x:c r="C1158" s="14" t="n">
        <x:v>46190</x:v>
      </x:c>
      <x:c r="D1158" s="12" t="str">
        <x:v>Rabu</x:v>
      </x:c>
      <x:c r="E1158" s="12" t="str">
        <x:v>08:38:00</x:v>
      </x:c>
      <x:c r="F1158" s="12" t="str">
        <x:v>All Shift Day</x:v>
      </x:c>
      <x:c r="G1158" s="12" t="str">
        <x:v>STRL44G145</x:v>
      </x:c>
      <x:c r="H1158" s="12" t="str">
        <x:v>Dump Truck</x:v>
      </x:c>
      <x:c r="I1158" s="12" t="str">
        <x:v>DUMP TRUCK RENAULT KRANGE440-P6X4 A/T</x:v>
      </x:c>
      <x:c r="J1158" s="16" t="n">
        <x:v>174</x:v>
      </x:c>
      <x:c r="K1158" s="16" t="n">
        <x:v>5032</x:v>
      </x:c>
      <x:c r="L1158" s="16" t="n">
        <x:v>5039</x:v>
      </x:c>
      <x:c r="M1158" s="16" t="n">
        <x:v>7</x:v>
      </x:c>
      <x:c r="N1158" s="16" t="n">
        <x:v>24.857142857142858</x:v>
      </x:c>
      <x:c r="O1158" s="12" t="str">
        <x:v>FTRL44G005</x:v>
      </x:c>
      <x:c r="P1158" s="12" t="str">
        <x:v>STRL44G145</x:v>
      </x:c>
      <x:c r="Q1158" s="12" t="str"/>
      <x:c r="R1158" s="12" t="str"/>
      <x:c r="S1158" s="12" t="str"/>
      <x:c r="T1158" s="12" t="str">
        <x:v>ABM</x:v>
      </x:c>
      <x:c r="U1158" s="12" t="str"/>
      <x:c r="V1158" s="12" t="str"/>
      <x:c r="W1158" s="12" t="str"/>
      <x:c r="X1158" s="12" t="str">
        <x:v>STRL44</x:v>
      </x:c>
      <x:c r="Y1158" s="12" t="str">
        <x:v>BADRI &amp; KAMRAN</x:v>
      </x:c>
      <x:c r="Z1158" s="12" t="str"/>
      <x:c r="AA1158" s="32" t="n">
        <x:f>IFERROR(VLOOKUP(G1158,Master_Unit!$A$2:$N$78,7,FALSE),"")</x:f>
        <x:v>20</x:v>
      </x:c>
      <x:c r="AB1158" s="32" t="n">
        <x:f>IF(OR(N1158="",AA1158=""),"",N1158-AA1158)</x:f>
        <x:v>4.857142857142858</x:v>
      </x:c>
      <x:c r="AC1158" s="20" t="n">
        <x:f>IF(OR(N1158="",AA1158="",AA1158=0),"",AB1158/AA1158)</x:f>
        <x:v>0.24285714285714288</x:v>
      </x:c>
      <x:c r="AD1158" t="str">
        <x:f>IF(AA1158="","NO STANDARD",IF(AC1158&lt;=Config_Status!$B$2,"EFFICIENT",IF(AC1158&lt;=Config_Status!$B$3,"NORMAL",IF(AC1158&lt;=Config_Status!$B$4,"WARNING","OVER CONSUMPTION"))))</x:f>
        <x:v>OVER CONSUMPTION</x:v>
      </x:c>
      <x:c r="AE1158" t="str">
        <x:f>IFERROR(VLOOKUP(G1158,Master_Unit!$A$2:$N$78,13,FALSE),"UNIT NOT FOUND")</x:f>
        <x:v>Matched</x:v>
      </x:c>
    </x:row>
    <x:row r="1159">
      <x:c r="A1159" s="12" t="str">
        <x:v>FU-20260617-01158</x:v>
      </x:c>
      <x:c r="B1159" s="12" t="n">
        <x:v>1288</x:v>
      </x:c>
      <x:c r="C1159" s="14" t="n">
        <x:v>46190</x:v>
      </x:c>
      <x:c r="D1159" s="12" t="str">
        <x:v>Rabu</x:v>
      </x:c>
      <x:c r="E1159" s="12" t="str">
        <x:v>08:42:00</x:v>
      </x:c>
      <x:c r="F1159" s="12" t="str">
        <x:v>All Shift Day</x:v>
      </x:c>
      <x:c r="G1159" s="12" t="str">
        <x:v>STRL44G152</x:v>
      </x:c>
      <x:c r="H1159" s="12" t="str">
        <x:v>Dump Truck</x:v>
      </x:c>
      <x:c r="I1159" s="12" t="str">
        <x:v>DUMP TRUCK RENAULT KRANGE440-P6X4 A/T</x:v>
      </x:c>
      <x:c r="J1159" s="16" t="n">
        <x:v>119</x:v>
      </x:c>
      <x:c r="K1159" s="16" t="n">
        <x:v>3782</x:v>
      </x:c>
      <x:c r="L1159" s="16" t="n">
        <x:v>3787</x:v>
      </x:c>
      <x:c r="M1159" s="16" t="n">
        <x:v>5</x:v>
      </x:c>
      <x:c r="N1159" s="16" t="n">
        <x:v>23.8</x:v>
      </x:c>
      <x:c r="O1159" s="12" t="str">
        <x:v>FTRL44G005</x:v>
      </x:c>
      <x:c r="P1159" s="12" t="str">
        <x:v>STRL44G152</x:v>
      </x:c>
      <x:c r="Q1159" s="12" t="str"/>
      <x:c r="R1159" s="12" t="str"/>
      <x:c r="S1159" s="12" t="str"/>
      <x:c r="T1159" s="12" t="str">
        <x:v>ABM</x:v>
      </x:c>
      <x:c r="U1159" s="12" t="str"/>
      <x:c r="V1159" s="12" t="str"/>
      <x:c r="W1159" s="12" t="str"/>
      <x:c r="X1159" s="12" t="str">
        <x:v>STRL44</x:v>
      </x:c>
      <x:c r="Y1159" s="12" t="str">
        <x:v>BADRI &amp; KAMRAN</x:v>
      </x:c>
      <x:c r="Z1159" s="12" t="str"/>
      <x:c r="AA1159" s="32" t="n">
        <x:f>IFERROR(VLOOKUP(G1159,Master_Unit!$A$2:$N$78,7,FALSE),"")</x:f>
        <x:v>20</x:v>
      </x:c>
      <x:c r="AB1159" s="32" t="n">
        <x:f>IF(OR(N1159="",AA1159=""),"",N1159-AA1159)</x:f>
        <x:v>3.8000000000000007</x:v>
      </x:c>
      <x:c r="AC1159" s="20" t="n">
        <x:f>IF(OR(N1159="",AA1159="",AA1159=0),"",AB1159/AA1159)</x:f>
        <x:v>0.19000000000000003</x:v>
      </x:c>
      <x:c r="AD1159" t="str">
        <x:f>IF(AA1159="","NO STANDARD",IF(AC1159&lt;=Config_Status!$B$2,"EFFICIENT",IF(AC1159&lt;=Config_Status!$B$3,"NORMAL",IF(AC1159&lt;=Config_Status!$B$4,"WARNING","OVER CONSUMPTION"))))</x:f>
        <x:v>WARNING</x:v>
      </x:c>
      <x:c r="AE1159" t="str">
        <x:f>IFERROR(VLOOKUP(G1159,Master_Unit!$A$2:$N$78,13,FALSE),"UNIT NOT FOUND")</x:f>
        <x:v>Matched</x:v>
      </x:c>
    </x:row>
    <x:row r="1160">
      <x:c r="A1160" s="12" t="str">
        <x:v>FU-20260617-01159</x:v>
      </x:c>
      <x:c r="B1160" s="12" t="n">
        <x:v>1289</x:v>
      </x:c>
      <x:c r="C1160" s="14" t="n">
        <x:v>46190</x:v>
      </x:c>
      <x:c r="D1160" s="12" t="str">
        <x:v>Rabu</x:v>
      </x:c>
      <x:c r="E1160" s="12" t="str">
        <x:v>08:46:00</x:v>
      </x:c>
      <x:c r="F1160" s="12" t="str">
        <x:v>All Shift Day</x:v>
      </x:c>
      <x:c r="G1160" s="12" t="str">
        <x:v>STRL44G149</x:v>
      </x:c>
      <x:c r="H1160" s="12" t="str">
        <x:v>Dump Truck</x:v>
      </x:c>
      <x:c r="I1160" s="12" t="str">
        <x:v>DUMP TRUCK RENAULT KRANGE440-P6X4 A/T</x:v>
      </x:c>
      <x:c r="J1160" s="16" t="n">
        <x:v>174</x:v>
      </x:c>
      <x:c r="K1160" s="16" t="n">
        <x:v>4379</x:v>
      </x:c>
      <x:c r="L1160" s="16" t="n">
        <x:v>4386</x:v>
      </x:c>
      <x:c r="M1160" s="16" t="n">
        <x:v>7</x:v>
      </x:c>
      <x:c r="N1160" s="16" t="n">
        <x:v>24.857142857142858</x:v>
      </x:c>
      <x:c r="O1160" s="12" t="str">
        <x:v>FTRL44G005</x:v>
      </x:c>
      <x:c r="P1160" s="12" t="str">
        <x:v>STRL44G149</x:v>
      </x:c>
      <x:c r="Q1160" s="12" t="str"/>
      <x:c r="R1160" s="12" t="str"/>
      <x:c r="S1160" s="12" t="str"/>
      <x:c r="T1160" s="12" t="str">
        <x:v>ABM</x:v>
      </x:c>
      <x:c r="U1160" s="12" t="str"/>
      <x:c r="V1160" s="12" t="str"/>
      <x:c r="W1160" s="12" t="str"/>
      <x:c r="X1160" s="12" t="str">
        <x:v>STRL44</x:v>
      </x:c>
      <x:c r="Y1160" s="12" t="str">
        <x:v>BADRI &amp; KAMRAN</x:v>
      </x:c>
      <x:c r="Z1160" s="12" t="str"/>
      <x:c r="AA1160" s="32" t="n">
        <x:f>IFERROR(VLOOKUP(G1160,Master_Unit!$A$2:$N$78,7,FALSE),"")</x:f>
        <x:v>20</x:v>
      </x:c>
      <x:c r="AB1160" s="32" t="n">
        <x:f>IF(OR(N1160="",AA1160=""),"",N1160-AA1160)</x:f>
        <x:v>4.857142857142858</x:v>
      </x:c>
      <x:c r="AC1160" s="20" t="n">
        <x:f>IF(OR(N1160="",AA1160="",AA1160=0),"",AB1160/AA1160)</x:f>
        <x:v>0.24285714285714288</x:v>
      </x:c>
      <x:c r="AD1160" t="str">
        <x:f>IF(AA1160="","NO STANDARD",IF(AC1160&lt;=Config_Status!$B$2,"EFFICIENT",IF(AC1160&lt;=Config_Status!$B$3,"NORMAL",IF(AC1160&lt;=Config_Status!$B$4,"WARNING","OVER CONSUMPTION"))))</x:f>
        <x:v>OVER CONSUMPTION</x:v>
      </x:c>
      <x:c r="AE1160" t="str">
        <x:f>IFERROR(VLOOKUP(G1160,Master_Unit!$A$2:$N$78,13,FALSE),"UNIT NOT FOUND")</x:f>
        <x:v>Matched</x:v>
      </x:c>
    </x:row>
    <x:row r="1161">
      <x:c r="A1161" s="12" t="str">
        <x:v>FU-20260617-01160</x:v>
      </x:c>
      <x:c r="B1161" s="12" t="n">
        <x:v>1290</x:v>
      </x:c>
      <x:c r="C1161" s="14" t="n">
        <x:v>46190</x:v>
      </x:c>
      <x:c r="D1161" s="12" t="str">
        <x:v>Rabu</x:v>
      </x:c>
      <x:c r="E1161" s="12" t="str">
        <x:v>08:55:00</x:v>
      </x:c>
      <x:c r="F1161" s="12" t="str">
        <x:v>All Shift Day</x:v>
      </x:c>
      <x:c r="G1161" s="12" t="str">
        <x:v>STRL44G147</x:v>
      </x:c>
      <x:c r="H1161" s="12" t="str">
        <x:v>Dump Truck</x:v>
      </x:c>
      <x:c r="I1161" s="12" t="str">
        <x:v>DUMP TRUCK RENAULT KRANGE440-P6X4 A/T</x:v>
      </x:c>
      <x:c r="J1161" s="16" t="n">
        <x:v>174</x:v>
      </x:c>
      <x:c r="K1161" s="16" t="n">
        <x:v>5098</x:v>
      </x:c>
      <x:c r="L1161" s="16" t="n">
        <x:v>5106</x:v>
      </x:c>
      <x:c r="M1161" s="16" t="n">
        <x:v>8</x:v>
      </x:c>
      <x:c r="N1161" s="16" t="n">
        <x:v>21.75</x:v>
      </x:c>
      <x:c r="O1161" s="12" t="str">
        <x:v>FTRL44G005</x:v>
      </x:c>
      <x:c r="P1161" s="12" t="str">
        <x:v>STRL44G147</x:v>
      </x:c>
      <x:c r="Q1161" s="12" t="str"/>
      <x:c r="R1161" s="12" t="str"/>
      <x:c r="S1161" s="12" t="str"/>
      <x:c r="T1161" s="12" t="str">
        <x:v>ABM</x:v>
      </x:c>
      <x:c r="U1161" s="12" t="str"/>
      <x:c r="V1161" s="12" t="str"/>
      <x:c r="W1161" s="12" t="str"/>
      <x:c r="X1161" s="12" t="str">
        <x:v>STRL44</x:v>
      </x:c>
      <x:c r="Y1161" s="12" t="str">
        <x:v>BADRI &amp; KAMRAN</x:v>
      </x:c>
      <x:c r="Z1161" s="12" t="str"/>
      <x:c r="AA1161" s="32" t="n">
        <x:f>IFERROR(VLOOKUP(G1161,Master_Unit!$A$2:$N$78,7,FALSE),"")</x:f>
        <x:v>20</x:v>
      </x:c>
      <x:c r="AB1161" s="32" t="n">
        <x:f>IF(OR(N1161="",AA1161=""),"",N1161-AA1161)</x:f>
        <x:v>1.75</x:v>
      </x:c>
      <x:c r="AC1161" s="20" t="n">
        <x:f>IF(OR(N1161="",AA1161="",AA1161=0),"",AB1161/AA1161)</x:f>
        <x:v>0.0875</x:v>
      </x:c>
      <x:c r="AD1161" t="str">
        <x:f>IF(AA1161="","NO STANDARD",IF(AC1161&lt;=Config_Status!$B$2,"EFFICIENT",IF(AC1161&lt;=Config_Status!$B$3,"NORMAL",IF(AC1161&lt;=Config_Status!$B$4,"WARNING","OVER CONSUMPTION"))))</x:f>
        <x:v>NORMAL</x:v>
      </x:c>
      <x:c r="AE1161" t="str">
        <x:f>IFERROR(VLOOKUP(G1161,Master_Unit!$A$2:$N$78,13,FALSE),"UNIT NOT FOUND")</x:f>
        <x:v>Matched</x:v>
      </x:c>
    </x:row>
    <x:row r="1162">
      <x:c r="A1162" s="12" t="str">
        <x:v>FU-20260617-01161</x:v>
      </x:c>
      <x:c r="B1162" s="12" t="n">
        <x:v>1291</x:v>
      </x:c>
      <x:c r="C1162" s="14" t="n">
        <x:v>46190</x:v>
      </x:c>
      <x:c r="D1162" s="12" t="str">
        <x:v>Rabu</x:v>
      </x:c>
      <x:c r="E1162" s="12" t="str">
        <x:v>09:01:00</x:v>
      </x:c>
      <x:c r="F1162" s="12" t="str">
        <x:v>All Shift Day</x:v>
      </x:c>
      <x:c r="G1162" s="12" t="str">
        <x:v>STRL44G156</x:v>
      </x:c>
      <x:c r="H1162" s="12" t="str">
        <x:v>Dump Truck</x:v>
      </x:c>
      <x:c r="I1162" s="12" t="str">
        <x:v>DUMP TRUCK RENAULT KRANGE440-P6X4 A/T</x:v>
      </x:c>
      <x:c r="J1162" s="16" t="n">
        <x:v>174</x:v>
      </x:c>
      <x:c r="K1162" s="16" t="n">
        <x:v>3858</x:v>
      </x:c>
      <x:c r="L1162" s="16" t="n">
        <x:v>3864</x:v>
      </x:c>
      <x:c r="M1162" s="16" t="n">
        <x:v>6</x:v>
      </x:c>
      <x:c r="N1162" s="16" t="n">
        <x:v>29</x:v>
      </x:c>
      <x:c r="O1162" s="12" t="str">
        <x:v>FTRL44G005</x:v>
      </x:c>
      <x:c r="P1162" s="12" t="str">
        <x:v>STRL44G156</x:v>
      </x:c>
      <x:c r="Q1162" s="12" t="str"/>
      <x:c r="R1162" s="12" t="str"/>
      <x:c r="S1162" s="12" t="str"/>
      <x:c r="T1162" s="12" t="str">
        <x:v>ABM</x:v>
      </x:c>
      <x:c r="U1162" s="12" t="str"/>
      <x:c r="V1162" s="12" t="str"/>
      <x:c r="W1162" s="12" t="str"/>
      <x:c r="X1162" s="12" t="str">
        <x:v>STRL44</x:v>
      </x:c>
      <x:c r="Y1162" s="12" t="str">
        <x:v>BADRI &amp; KAMRAN</x:v>
      </x:c>
      <x:c r="Z1162" s="12" t="str"/>
      <x:c r="AA1162" s="32" t="n">
        <x:f>IFERROR(VLOOKUP(G1162,Master_Unit!$A$2:$N$78,7,FALSE),"")</x:f>
        <x:v>20</x:v>
      </x:c>
      <x:c r="AB1162" s="32" t="n">
        <x:f>IF(OR(N1162="",AA1162=""),"",N1162-AA1162)</x:f>
        <x:v>9</x:v>
      </x:c>
      <x:c r="AC1162" s="20" t="n">
        <x:f>IF(OR(N1162="",AA1162="",AA1162=0),"",AB1162/AA1162)</x:f>
        <x:v>0.45</x:v>
      </x:c>
      <x:c r="AD1162" t="str">
        <x:f>IF(AA1162="","NO STANDARD",IF(AC1162&lt;=Config_Status!$B$2,"EFFICIENT",IF(AC1162&lt;=Config_Status!$B$3,"NORMAL",IF(AC1162&lt;=Config_Status!$B$4,"WARNING","OVER CONSUMPTION"))))</x:f>
        <x:v>OVER CONSUMPTION</x:v>
      </x:c>
      <x:c r="AE1162" t="str">
        <x:f>IFERROR(VLOOKUP(G1162,Master_Unit!$A$2:$N$78,13,FALSE),"UNIT NOT FOUND")</x:f>
        <x:v>Matched</x:v>
      </x:c>
    </x:row>
    <x:row r="1163">
      <x:c r="A1163" s="12" t="str">
        <x:v>FU-20260617-01162</x:v>
      </x:c>
      <x:c r="B1163" s="12" t="n">
        <x:v>1292</x:v>
      </x:c>
      <x:c r="C1163" s="14" t="n">
        <x:v>46190</x:v>
      </x:c>
      <x:c r="D1163" s="12" t="str">
        <x:v>Rabu</x:v>
      </x:c>
      <x:c r="E1163" s="12" t="str">
        <x:v>09:04:00</x:v>
      </x:c>
      <x:c r="F1163" s="12" t="str">
        <x:v>All Shift Day</x:v>
      </x:c>
      <x:c r="G1163" s="12" t="str">
        <x:v>STRL44G153</x:v>
      </x:c>
      <x:c r="H1163" s="12" t="str">
        <x:v>Dump Truck</x:v>
      </x:c>
      <x:c r="I1163" s="12" t="str">
        <x:v>DUMP TRUCK RENAULT KRANGE440-P6X4 A/T</x:v>
      </x:c>
      <x:c r="J1163" s="16" t="n">
        <x:v>174</x:v>
      </x:c>
      <x:c r="K1163" s="16" t="n">
        <x:v>4054</x:v>
      </x:c>
      <x:c r="L1163" s="16" t="n">
        <x:v>4065</x:v>
      </x:c>
      <x:c r="M1163" s="16" t="n">
        <x:v>11</x:v>
      </x:c>
      <x:c r="N1163" s="16" t="n">
        <x:v>15.818181818181818</x:v>
      </x:c>
      <x:c r="O1163" s="12" t="str">
        <x:v>FTRL44G005</x:v>
      </x:c>
      <x:c r="P1163" s="12" t="str">
        <x:v>STRL44G153</x:v>
      </x:c>
      <x:c r="Q1163" s="12" t="str"/>
      <x:c r="R1163" s="12" t="str"/>
      <x:c r="S1163" s="12" t="str"/>
      <x:c r="T1163" s="12" t="str">
        <x:v>ABM</x:v>
      </x:c>
      <x:c r="U1163" s="12" t="str"/>
      <x:c r="V1163" s="12" t="str"/>
      <x:c r="W1163" s="12" t="str"/>
      <x:c r="X1163" s="12" t="str">
        <x:v>STRL44</x:v>
      </x:c>
      <x:c r="Y1163" s="12" t="str">
        <x:v>BADRI &amp; KAMRAN</x:v>
      </x:c>
      <x:c r="Z1163" s="12" t="str"/>
      <x:c r="AA1163" s="32" t="n">
        <x:f>IFERROR(VLOOKUP(G1163,Master_Unit!$A$2:$N$78,7,FALSE),"")</x:f>
        <x:v>20</x:v>
      </x:c>
      <x:c r="AB1163" s="32" t="n">
        <x:f>IF(OR(N1163="",AA1163=""),"",N1163-AA1163)</x:f>
        <x:v>-4.181818181818182</x:v>
      </x:c>
      <x:c r="AC1163" s="20" t="n">
        <x:f>IF(OR(N1163="",AA1163="",AA1163=0),"",AB1163/AA1163)</x:f>
        <x:v>-0.20909090909090908</x:v>
      </x:c>
      <x:c r="AD1163" t="str">
        <x:f>IF(AA1163="","NO STANDARD",IF(AC1163&lt;=Config_Status!$B$2,"EFFICIENT",IF(AC1163&lt;=Config_Status!$B$3,"NORMAL",IF(AC1163&lt;=Config_Status!$B$4,"WARNING","OVER CONSUMPTION"))))</x:f>
        <x:v>EFFICIENT</x:v>
      </x:c>
      <x:c r="AE1163" t="str">
        <x:f>IFERROR(VLOOKUP(G1163,Master_Unit!$A$2:$N$78,13,FALSE),"UNIT NOT FOUND")</x:f>
        <x:v>Matched</x:v>
      </x:c>
    </x:row>
    <x:row r="1164">
      <x:c r="A1164" s="12" t="str">
        <x:v>FU-20260617-01163</x:v>
      </x:c>
      <x:c r="B1164" s="12" t="n">
        <x:v>1293</x:v>
      </x:c>
      <x:c r="C1164" s="14" t="n">
        <x:v>46190</x:v>
      </x:c>
      <x:c r="D1164" s="12" t="str">
        <x:v>Rabu</x:v>
      </x:c>
      <x:c r="E1164" s="12" t="str">
        <x:v>16:52:00</x:v>
      </x:c>
      <x:c r="F1164" s="12" t="str">
        <x:v>All Shift Day</x:v>
      </x:c>
      <x:c r="G1164" s="12" t="str">
        <x:v>TLYM50G019</x:v>
      </x:c>
      <x:c r="H1164" s="12" t="str">
        <x:v>Other</x:v>
      </x:c>
      <x:c r="I1164" s="12" t="str">
        <x:v>TOWERLAMP YAMAGEN YDG5001SE-D-TLD4</x:v>
      </x:c>
      <x:c r="J1164" s="16" t="n">
        <x:v>20</x:v>
      </x:c>
      <x:c r="K1164" s="16" t="n">
        <x:v>4723.01</x:v>
      </x:c>
      <x:c r="L1164" s="16" t="n">
        <x:v>4742.570000000001</x:v>
      </x:c>
      <x:c r="M1164" s="16" t="n">
        <x:v>19.5600000000004</x:v>
      </x:c>
      <x:c r="N1164" s="16" t="n">
        <x:v>1.0224948875255415</x:v>
      </x:c>
      <x:c r="O1164" s="12" t="str">
        <x:v>FTRL44G005</x:v>
      </x:c>
      <x:c r="P1164" s="12" t="str">
        <x:v>TLYM50G019</x:v>
      </x:c>
      <x:c r="Q1164" s="12" t="str"/>
      <x:c r="R1164" s="12" t="str"/>
      <x:c r="S1164" s="12" t="str"/>
      <x:c r="T1164" s="12" t="str">
        <x:v>ABM</x:v>
      </x:c>
      <x:c r="U1164" s="12" t="str"/>
      <x:c r="V1164" s="12" t="str"/>
      <x:c r="W1164" s="12" t="str"/>
      <x:c r="X1164" s="12" t="str">
        <x:v>TLYM50</x:v>
      </x:c>
      <x:c r="Y1164" s="12" t="str">
        <x:v>BADRI &amp; KAMRAN</x:v>
      </x:c>
      <x:c r="Z1164" s="12" t="str"/>
      <x:c r="AA1164" s="32" t="n">
        <x:f>IFERROR(VLOOKUP(G1164,Master_Unit!$A$2:$N$78,7,FALSE),"")</x:f>
        <x:v>2</x:v>
      </x:c>
      <x:c r="AB1164" s="32" t="n">
        <x:f>IF(OR(N1164="",AA1164=""),"",N1164-AA1164)</x:f>
        <x:v>-0.9775051124744585</x:v>
      </x:c>
      <x:c r="AC1164" s="20" t="n">
        <x:f>IF(OR(N1164="",AA1164="",AA1164=0),"",AB1164/AA1164)</x:f>
        <x:v>-0.48875255623722924</x:v>
      </x:c>
      <x:c r="AD1164" t="str">
        <x:f>IF(AA1164="","NO STANDARD",IF(AC1164&lt;=Config_Status!$B$2,"EFFICIENT",IF(AC1164&lt;=Config_Status!$B$3,"NORMAL",IF(AC1164&lt;=Config_Status!$B$4,"WARNING","OVER CONSUMPTION"))))</x:f>
        <x:v>EFFICIENT</x:v>
      </x:c>
      <x:c r="AE1164" t="str">
        <x:f>IFERROR(VLOOKUP(G1164,Master_Unit!$A$2:$N$78,13,FALSE),"UNIT NOT FOUND")</x:f>
        <x:v>Matched</x:v>
      </x:c>
    </x:row>
    <x:row r="1165">
      <x:c r="A1165" s="12" t="str">
        <x:v>FU-20260617-01164</x:v>
      </x:c>
      <x:c r="B1165" s="12" t="n">
        <x:v>1294</x:v>
      </x:c>
      <x:c r="C1165" s="14" t="n">
        <x:v>46190</x:v>
      </x:c>
      <x:c r="D1165" s="12" t="str">
        <x:v>Rabu</x:v>
      </x:c>
      <x:c r="E1165" s="12" t="str">
        <x:v>18:06:00</x:v>
      </x:c>
      <x:c r="F1165" s="12" t="str">
        <x:v>All Shift Night</x:v>
      </x:c>
      <x:c r="G1165" s="12" t="str">
        <x:v>EXVV21G037</x:v>
      </x:c>
      <x:c r="H1165" s="12" t="str">
        <x:v>Excavator</x:v>
      </x:c>
      <x:c r="I1165" s="12" t="str">
        <x:v>EXCAVATOR VOLVO EC210D</x:v>
      </x:c>
      <x:c r="J1165" s="16" t="n">
        <x:v>86</x:v>
      </x:c>
      <x:c r="K1165" s="16" t="n">
        <x:v>6960.6</x:v>
      </x:c>
      <x:c r="L1165" s="16" t="n">
        <x:v>6970.2</x:v>
      </x:c>
      <x:c r="M1165" s="16" t="n">
        <x:v>9.599999999999454</x:v>
      </x:c>
      <x:c r="N1165" s="16" t="n">
        <x:v>8.958333333333842</x:v>
      </x:c>
      <x:c r="O1165" s="12" t="str">
        <x:v>FTRL44G004</x:v>
      </x:c>
      <x:c r="P1165" s="12" t="str">
        <x:v>EXVV21G037</x:v>
      </x:c>
      <x:c r="Q1165" s="12" t="str"/>
      <x:c r="R1165" s="12" t="str"/>
      <x:c r="S1165" s="12" t="str"/>
      <x:c r="T1165" s="12" t="str">
        <x:v>ABM</x:v>
      </x:c>
      <x:c r="U1165" s="12" t="str"/>
      <x:c r="V1165" s="12" t="str"/>
      <x:c r="W1165" s="12" t="str"/>
      <x:c r="X1165" s="12" t="str">
        <x:v>EXVV21</x:v>
      </x:c>
      <x:c r="Y1165" s="12" t="str">
        <x:v>FANGKI &amp; ACUNG</x:v>
      </x:c>
      <x:c r="Z1165" s="12" t="str"/>
      <x:c r="AA1165" s="32" t="n">
        <x:f>IFERROR(VLOOKUP(G1165,Master_Unit!$A$2:$N$78,7,FALSE),"")</x:f>
        <x:v>20</x:v>
      </x:c>
      <x:c r="AB1165" s="32" t="n">
        <x:f>IF(OR(N1165="",AA1165=""),"",N1165-AA1165)</x:f>
        <x:v>-11.041666666666158</x:v>
      </x:c>
      <x:c r="AC1165" s="20" t="n">
        <x:f>IF(OR(N1165="",AA1165="",AA1165=0),"",AB1165/AA1165)</x:f>
        <x:v>-0.552083333333308</x:v>
      </x:c>
      <x:c r="AD1165" t="str">
        <x:f>IF(AA1165="","NO STANDARD",IF(AC1165&lt;=Config_Status!$B$2,"EFFICIENT",IF(AC1165&lt;=Config_Status!$B$3,"NORMAL",IF(AC1165&lt;=Config_Status!$B$4,"WARNING","OVER CONSUMPTION"))))</x:f>
        <x:v>EFFICIENT</x:v>
      </x:c>
      <x:c r="AE1165" t="str">
        <x:f>IFERROR(VLOOKUP(G1165,Master_Unit!$A$2:$N$78,13,FALSE),"UNIT NOT FOUND")</x:f>
        <x:v>Matched</x:v>
      </x:c>
    </x:row>
    <x:row r="1166">
      <x:c r="A1166" s="12" t="str">
        <x:v>FU-20260617-01165</x:v>
      </x:c>
      <x:c r="B1166" s="12" t="n">
        <x:v>1295</x:v>
      </x:c>
      <x:c r="C1166" s="14" t="n">
        <x:v>46190</x:v>
      </x:c>
      <x:c r="D1166" s="12" t="str">
        <x:v>Rabu</x:v>
      </x:c>
      <x:c r="E1166" s="12" t="str">
        <x:v>18:11:00</x:v>
      </x:c>
      <x:c r="F1166" s="12" t="str">
        <x:v>All Shift Night</x:v>
      </x:c>
      <x:c r="G1166" s="12" t="str">
        <x:v>EXVV35G007</x:v>
      </x:c>
      <x:c r="H1166" s="12" t="str">
        <x:v>Excavator</x:v>
      </x:c>
      <x:c r="I1166" s="12" t="str">
        <x:v>EXCAVATOR VOLVO EC350D</x:v>
      </x:c>
      <x:c r="J1166" s="16" t="n">
        <x:v>161</x:v>
      </x:c>
      <x:c r="K1166" s="16" t="n">
        <x:v>654.9</x:v>
      </x:c>
      <x:c r="L1166" s="16" t="n">
        <x:v>662.8</x:v>
      </x:c>
      <x:c r="M1166" s="16" t="n">
        <x:v>7.899999999999977</x:v>
      </x:c>
      <x:c r="N1166" s="16" t="n">
        <x:v>20.379746835443097</x:v>
      </x:c>
      <x:c r="O1166" s="12" t="str">
        <x:v>FTRL44G004</x:v>
      </x:c>
      <x:c r="P1166" s="12" t="str">
        <x:v>EXVV35G007</x:v>
      </x:c>
      <x:c r="Q1166" s="12" t="str"/>
      <x:c r="R1166" s="12" t="str"/>
      <x:c r="S1166" s="12" t="str"/>
      <x:c r="T1166" s="12" t="str">
        <x:v>ABM</x:v>
      </x:c>
      <x:c r="U1166" s="12" t="str"/>
      <x:c r="V1166" s="12" t="str"/>
      <x:c r="W1166" s="12" t="str"/>
      <x:c r="X1166" s="12" t="str">
        <x:v>EXVV35</x:v>
      </x:c>
      <x:c r="Y1166" s="12" t="str">
        <x:v>FANGKI &amp; ACUNG</x:v>
      </x:c>
      <x:c r="Z1166" s="12" t="str"/>
      <x:c r="AA1166" s="32" t="n">
        <x:f>IFERROR(VLOOKUP(G1166,Master_Unit!$A$2:$N$78,7,FALSE),"")</x:f>
        <x:v>25</x:v>
      </x:c>
      <x:c r="AB1166" s="32" t="n">
        <x:f>IF(OR(N1166="",AA1166=""),"",N1166-AA1166)</x:f>
        <x:v>-4.620253164556903</x:v>
      </x:c>
      <x:c r="AC1166" s="20" t="n">
        <x:f>IF(OR(N1166="",AA1166="",AA1166=0),"",AB1166/AA1166)</x:f>
        <x:v>-0.18481012658227614</x:v>
      </x:c>
      <x:c r="AD1166" t="str">
        <x:f>IF(AA1166="","NO STANDARD",IF(AC1166&lt;=Config_Status!$B$2,"EFFICIENT",IF(AC1166&lt;=Config_Status!$B$3,"NORMAL",IF(AC1166&lt;=Config_Status!$B$4,"WARNING","OVER CONSUMPTION"))))</x:f>
        <x:v>EFFICIENT</x:v>
      </x:c>
      <x:c r="AE1166" t="str">
        <x:f>IFERROR(VLOOKUP(G1166,Master_Unit!$A$2:$N$78,13,FALSE),"UNIT NOT FOUND")</x:f>
        <x:v>Matched</x:v>
      </x:c>
    </x:row>
    <x:row r="1167">
      <x:c r="A1167" s="12" t="str">
        <x:v>FU-20260617-01166</x:v>
      </x:c>
      <x:c r="B1167" s="12" t="n">
        <x:v>1296</x:v>
      </x:c>
      <x:c r="C1167" s="14" t="n">
        <x:v>46190</x:v>
      </x:c>
      <x:c r="D1167" s="12" t="str">
        <x:v>Rabu</x:v>
      </x:c>
      <x:c r="E1167" s="12" t="str">
        <x:v>18:16:00</x:v>
      </x:c>
      <x:c r="F1167" s="12" t="str">
        <x:v>All Shift Night</x:v>
      </x:c>
      <x:c r="G1167" s="12" t="str">
        <x:v>EXVV21G032</x:v>
      </x:c>
      <x:c r="H1167" s="12" t="str">
        <x:v>Excavator</x:v>
      </x:c>
      <x:c r="I1167" s="12" t="str">
        <x:v>EXCAVATOR VOLVO EC210D</x:v>
      </x:c>
      <x:c r="J1167" s="16" t="n">
        <x:v>97</x:v>
      </x:c>
      <x:c r="K1167" s="16" t="n">
        <x:v>7620.8</x:v>
      </x:c>
      <x:c r="L1167" s="16" t="n">
        <x:v>7631.3</x:v>
      </x:c>
      <x:c r="M1167" s="16" t="n">
        <x:v>10.5</x:v>
      </x:c>
      <x:c r="N1167" s="16" t="n">
        <x:v>9.238095238095237</x:v>
      </x:c>
      <x:c r="O1167" s="12" t="str">
        <x:v>FTRL44G004</x:v>
      </x:c>
      <x:c r="P1167" s="12" t="str">
        <x:v>EXVV21G032</x:v>
      </x:c>
      <x:c r="Q1167" s="12" t="str"/>
      <x:c r="R1167" s="12" t="str"/>
      <x:c r="S1167" s="12" t="str"/>
      <x:c r="T1167" s="12" t="str">
        <x:v>ABM</x:v>
      </x:c>
      <x:c r="U1167" s="12" t="str"/>
      <x:c r="V1167" s="12" t="str"/>
      <x:c r="W1167" s="12" t="str"/>
      <x:c r="X1167" s="12" t="str">
        <x:v>EXVV21</x:v>
      </x:c>
      <x:c r="Y1167" s="12" t="str">
        <x:v>FANGKI &amp; ACUNG</x:v>
      </x:c>
      <x:c r="Z1167" s="12" t="str"/>
      <x:c r="AA1167" s="32" t="n">
        <x:f>IFERROR(VLOOKUP(G1167,Master_Unit!$A$2:$N$78,7,FALSE),"")</x:f>
        <x:v>20</x:v>
      </x:c>
      <x:c r="AB1167" s="32" t="n">
        <x:f>IF(OR(N1167="",AA1167=""),"",N1167-AA1167)</x:f>
        <x:v>-10.761904761904763</x:v>
      </x:c>
      <x:c r="AC1167" s="20" t="n">
        <x:f>IF(OR(N1167="",AA1167="",AA1167=0),"",AB1167/AA1167)</x:f>
        <x:v>-0.5380952380952382</x:v>
      </x:c>
      <x:c r="AD1167" t="str">
        <x:f>IF(AA1167="","NO STANDARD",IF(AC1167&lt;=Config_Status!$B$2,"EFFICIENT",IF(AC1167&lt;=Config_Status!$B$3,"NORMAL",IF(AC1167&lt;=Config_Status!$B$4,"WARNING","OVER CONSUMPTION"))))</x:f>
        <x:v>EFFICIENT</x:v>
      </x:c>
      <x:c r="AE1167" t="str">
        <x:f>IFERROR(VLOOKUP(G1167,Master_Unit!$A$2:$N$78,13,FALSE),"UNIT NOT FOUND")</x:f>
        <x:v>Matched</x:v>
      </x:c>
    </x:row>
    <x:row r="1168">
      <x:c r="A1168" s="12" t="str">
        <x:v>FU-20260617-01167</x:v>
      </x:c>
      <x:c r="B1168" s="12" t="n">
        <x:v>1297</x:v>
      </x:c>
      <x:c r="C1168" s="14" t="n">
        <x:v>46190</x:v>
      </x:c>
      <x:c r="D1168" s="12" t="str">
        <x:v>Rabu</x:v>
      </x:c>
      <x:c r="E1168" s="12" t="str">
        <x:v>18:20:00</x:v>
      </x:c>
      <x:c r="F1168" s="12" t="str">
        <x:v>All Shift Night</x:v>
      </x:c>
      <x:c r="G1168" s="12" t="str">
        <x:v>EXVV21G036</x:v>
      </x:c>
      <x:c r="H1168" s="12" t="str">
        <x:v>Excavator</x:v>
      </x:c>
      <x:c r="I1168" s="12" t="str">
        <x:v>EXCAVATOR VOLVO EC210D</x:v>
      </x:c>
      <x:c r="J1168" s="16" t="n">
        <x:v>95</x:v>
      </x:c>
      <x:c r="K1168" s="16" t="n">
        <x:v>7667.3</x:v>
      </x:c>
      <x:c r="L1168" s="16" t="n">
        <x:v>7675.7</x:v>
      </x:c>
      <x:c r="M1168" s="16" t="n">
        <x:v>8.399999999999636</x:v>
      </x:c>
      <x:c r="N1168" s="16" t="n">
        <x:v>11.309523809524299</x:v>
      </x:c>
      <x:c r="O1168" s="12" t="str">
        <x:v>FTRL44G004</x:v>
      </x:c>
      <x:c r="P1168" s="12" t="str">
        <x:v>EXVV21G036</x:v>
      </x:c>
      <x:c r="Q1168" s="12" t="str"/>
      <x:c r="R1168" s="12" t="str"/>
      <x:c r="S1168" s="12" t="str"/>
      <x:c r="T1168" s="12" t="str">
        <x:v>ABM</x:v>
      </x:c>
      <x:c r="U1168" s="12" t="str"/>
      <x:c r="V1168" s="12" t="str"/>
      <x:c r="W1168" s="12" t="str"/>
      <x:c r="X1168" s="12" t="str">
        <x:v>EXVV21</x:v>
      </x:c>
      <x:c r="Y1168" s="12" t="str">
        <x:v>FANGKI &amp; ACUNG</x:v>
      </x:c>
      <x:c r="Z1168" s="12" t="str"/>
      <x:c r="AA1168" s="32" t="n">
        <x:f>IFERROR(VLOOKUP(G1168,Master_Unit!$A$2:$N$78,7,FALSE),"")</x:f>
        <x:v>20</x:v>
      </x:c>
      <x:c r="AB1168" s="32" t="n">
        <x:f>IF(OR(N1168="",AA1168=""),"",N1168-AA1168)</x:f>
        <x:v>-8.690476190475701</x:v>
      </x:c>
      <x:c r="AC1168" s="20" t="n">
        <x:f>IF(OR(N1168="",AA1168="",AA1168=0),"",AB1168/AA1168)</x:f>
        <x:v>-0.43452380952378505</x:v>
      </x:c>
      <x:c r="AD1168" t="str">
        <x:f>IF(AA1168="","NO STANDARD",IF(AC1168&lt;=Config_Status!$B$2,"EFFICIENT",IF(AC1168&lt;=Config_Status!$B$3,"NORMAL",IF(AC1168&lt;=Config_Status!$B$4,"WARNING","OVER CONSUMPTION"))))</x:f>
        <x:v>EFFICIENT</x:v>
      </x:c>
      <x:c r="AE1168" t="str">
        <x:f>IFERROR(VLOOKUP(G1168,Master_Unit!$A$2:$N$78,13,FALSE),"UNIT NOT FOUND")</x:f>
        <x:v>Matched</x:v>
      </x:c>
    </x:row>
    <x:row r="1169">
      <x:c r="A1169" s="12" t="str">
        <x:v>FU-20260617-01168</x:v>
      </x:c>
      <x:c r="B1169" s="12" t="n">
        <x:v>1298</x:v>
      </x:c>
      <x:c r="C1169" s="14" t="n">
        <x:v>46190</x:v>
      </x:c>
      <x:c r="D1169" s="12" t="str">
        <x:v>Rabu</x:v>
      </x:c>
      <x:c r="E1169" s="12" t="str">
        <x:v>18:24:00</x:v>
      </x:c>
      <x:c r="F1169" s="12" t="str">
        <x:v>All Shift Night</x:v>
      </x:c>
      <x:c r="G1169" s="12" t="str">
        <x:v>BDKM85G039</x:v>
      </x:c>
      <x:c r="H1169" s="12" t="str">
        <x:v>Dozer</x:v>
      </x:c>
      <x:c r="I1169" s="12" t="str">
        <x:v>BULDOZER KOMATSU D85ESS-2</x:v>
      </x:c>
      <x:c r="J1169" s="16" t="n">
        <x:v>54</x:v>
      </x:c>
      <x:c r="K1169" s="16" t="n">
        <x:v>7156</x:v>
      </x:c>
      <x:c r="L1169" s="16" t="n">
        <x:v>7158.3</x:v>
      </x:c>
      <x:c r="M1169" s="16" t="n">
        <x:v>2.300000000000182</x:v>
      </x:c>
      <x:c r="N1169" s="16" t="n">
        <x:v>23.47826086956336</x:v>
      </x:c>
      <x:c r="O1169" s="12" t="str">
        <x:v>FTRL44G004</x:v>
      </x:c>
      <x:c r="P1169" s="12" t="str">
        <x:v>BDKM85G039</x:v>
      </x:c>
      <x:c r="Q1169" s="12" t="str"/>
      <x:c r="R1169" s="12" t="str"/>
      <x:c r="S1169" s="12" t="str"/>
      <x:c r="T1169" s="12" t="str">
        <x:v>ABM</x:v>
      </x:c>
      <x:c r="U1169" s="12" t="str"/>
      <x:c r="V1169" s="12" t="str"/>
      <x:c r="W1169" s="12" t="str"/>
      <x:c r="X1169" s="12" t="str">
        <x:v>BDKM85</x:v>
      </x:c>
      <x:c r="Y1169" s="12" t="str">
        <x:v>FANGKI &amp; ACUNG</x:v>
      </x:c>
      <x:c r="Z1169" s="12" t="str"/>
      <x:c r="AA1169" s="32" t="n">
        <x:f>IFERROR(VLOOKUP(G1169,Master_Unit!$A$2:$N$78,7,FALSE),"")</x:f>
        <x:v>30</x:v>
      </x:c>
      <x:c r="AB1169" s="32" t="n">
        <x:f>IF(OR(N1169="",AA1169=""),"",N1169-AA1169)</x:f>
        <x:v>-6.521739130436639</x:v>
      </x:c>
      <x:c r="AC1169" s="20" t="n">
        <x:f>IF(OR(N1169="",AA1169="",AA1169=0),"",AB1169/AA1169)</x:f>
        <x:v>-0.21739130434788798</x:v>
      </x:c>
      <x:c r="AD1169" t="str">
        <x:f>IF(AA1169="","NO STANDARD",IF(AC1169&lt;=Config_Status!$B$2,"EFFICIENT",IF(AC1169&lt;=Config_Status!$B$3,"NORMAL",IF(AC1169&lt;=Config_Status!$B$4,"WARNING","OVER CONSUMPTION"))))</x:f>
        <x:v>EFFICIENT</x:v>
      </x:c>
      <x:c r="AE1169" t="str">
        <x:f>IFERROR(VLOOKUP(G1169,Master_Unit!$A$2:$N$78,13,FALSE),"UNIT NOT FOUND")</x:f>
        <x:v>Matched</x:v>
      </x:c>
    </x:row>
    <x:row r="1170">
      <x:c r="A1170" s="12" t="str">
        <x:v>FU-20260617-01169</x:v>
      </x:c>
      <x:c r="B1170" s="12" t="n">
        <x:v>1299</x:v>
      </x:c>
      <x:c r="C1170" s="14" t="n">
        <x:v>46190</x:v>
      </x:c>
      <x:c r="D1170" s="12" t="str">
        <x:v>Rabu</x:v>
      </x:c>
      <x:c r="E1170" s="12" t="str">
        <x:v>18:28:00</x:v>
      </x:c>
      <x:c r="F1170" s="12" t="str">
        <x:v>All Shift Night</x:v>
      </x:c>
      <x:c r="G1170" s="12" t="str">
        <x:v>EXVV21G040</x:v>
      </x:c>
      <x:c r="H1170" s="12" t="str">
        <x:v>Excavator</x:v>
      </x:c>
      <x:c r="I1170" s="12" t="str">
        <x:v>EXCAVATOR VOLVO EC210D</x:v>
      </x:c>
      <x:c r="J1170" s="16" t="n">
        <x:v>99</x:v>
      </x:c>
      <x:c r="K1170" s="16" t="n">
        <x:v>6680.3</x:v>
      </x:c>
      <x:c r="L1170" s="16" t="n">
        <x:v>6689</x:v>
      </x:c>
      <x:c r="M1170" s="16" t="n">
        <x:v>8.699999999999818</x:v>
      </x:c>
      <x:c r="N1170" s="16" t="n">
        <x:v>11.379310344827823</x:v>
      </x:c>
      <x:c r="O1170" s="12" t="str">
        <x:v>FTRL44G004</x:v>
      </x:c>
      <x:c r="P1170" s="12" t="str">
        <x:v>EXVV21G040</x:v>
      </x:c>
      <x:c r="Q1170" s="12" t="str"/>
      <x:c r="R1170" s="12" t="str"/>
      <x:c r="S1170" s="12" t="str"/>
      <x:c r="T1170" s="12" t="str">
        <x:v>ABM</x:v>
      </x:c>
      <x:c r="U1170" s="12" t="str"/>
      <x:c r="V1170" s="12" t="str"/>
      <x:c r="W1170" s="12" t="str"/>
      <x:c r="X1170" s="12" t="str">
        <x:v>EXVV21</x:v>
      </x:c>
      <x:c r="Y1170" s="12" t="str">
        <x:v>FANGKI &amp; ACUNG</x:v>
      </x:c>
      <x:c r="Z1170" s="12" t="str"/>
      <x:c r="AA1170" s="32" t="n">
        <x:f>IFERROR(VLOOKUP(G1170,Master_Unit!$A$2:$N$78,7,FALSE),"")</x:f>
        <x:v>20</x:v>
      </x:c>
      <x:c r="AB1170" s="32" t="n">
        <x:f>IF(OR(N1170="",AA1170=""),"",N1170-AA1170)</x:f>
        <x:v>-8.620689655172177</x:v>
      </x:c>
      <x:c r="AC1170" s="20" t="n">
        <x:f>IF(OR(N1170="",AA1170="",AA1170=0),"",AB1170/AA1170)</x:f>
        <x:v>-0.43103448275860884</x:v>
      </x:c>
      <x:c r="AD1170" t="str">
        <x:f>IF(AA1170="","NO STANDARD",IF(AC1170&lt;=Config_Status!$B$2,"EFFICIENT",IF(AC1170&lt;=Config_Status!$B$3,"NORMAL",IF(AC1170&lt;=Config_Status!$B$4,"WARNING","OVER CONSUMPTION"))))</x:f>
        <x:v>EFFICIENT</x:v>
      </x:c>
      <x:c r="AE1170" t="str">
        <x:f>IFERROR(VLOOKUP(G1170,Master_Unit!$A$2:$N$78,13,FALSE),"UNIT NOT FOUND")</x:f>
        <x:v>Matched</x:v>
      </x:c>
    </x:row>
    <x:row r="1171">
      <x:c r="A1171" s="12" t="str">
        <x:v>FU-20260617-01170</x:v>
      </x:c>
      <x:c r="B1171" s="12" t="n">
        <x:v>1300</x:v>
      </x:c>
      <x:c r="C1171" s="14" t="n">
        <x:v>46190</x:v>
      </x:c>
      <x:c r="D1171" s="12" t="str">
        <x:v>Rabu</x:v>
      </x:c>
      <x:c r="E1171" s="12" t="str">
        <x:v>18:36:00</x:v>
      </x:c>
      <x:c r="F1171" s="12" t="str">
        <x:v>All Shift Night</x:v>
      </x:c>
      <x:c r="G1171" s="12" t="str">
        <x:v>EXVV21G042</x:v>
      </x:c>
      <x:c r="H1171" s="12" t="str">
        <x:v>Excavator</x:v>
      </x:c>
      <x:c r="I1171" s="12" t="str">
        <x:v>EXCAVATOR VOLVO EC210D</x:v>
      </x:c>
      <x:c r="J1171" s="16" t="n">
        <x:v>97</x:v>
      </x:c>
      <x:c r="K1171" s="16" t="n">
        <x:v>7848.1</x:v>
      </x:c>
      <x:c r="L1171" s="16" t="n">
        <x:v>7857.7</x:v>
      </x:c>
      <x:c r="M1171" s="16" t="n">
        <x:v>9.599999999999454</x:v>
      </x:c>
      <x:c r="N1171" s="16" t="n">
        <x:v>10.104166666667242</x:v>
      </x:c>
      <x:c r="O1171" s="12" t="str">
        <x:v>FTRL44G004</x:v>
      </x:c>
      <x:c r="P1171" s="12" t="str">
        <x:v>EXVV21G042</x:v>
      </x:c>
      <x:c r="Q1171" s="12" t="str"/>
      <x:c r="R1171" s="12" t="str"/>
      <x:c r="S1171" s="12" t="str"/>
      <x:c r="T1171" s="12" t="str">
        <x:v>ABM</x:v>
      </x:c>
      <x:c r="U1171" s="12" t="str"/>
      <x:c r="V1171" s="12" t="str"/>
      <x:c r="W1171" s="12" t="str"/>
      <x:c r="X1171" s="12" t="str">
        <x:v>EXVV21</x:v>
      </x:c>
      <x:c r="Y1171" s="12" t="str">
        <x:v>FANGKI &amp; ACUNG</x:v>
      </x:c>
      <x:c r="Z1171" s="12" t="str"/>
      <x:c r="AA1171" s="32" t="n">
        <x:f>IFERROR(VLOOKUP(G1171,Master_Unit!$A$2:$N$78,7,FALSE),"")</x:f>
        <x:v>20</x:v>
      </x:c>
      <x:c r="AB1171" s="32" t="n">
        <x:f>IF(OR(N1171="",AA1171=""),"",N1171-AA1171)</x:f>
        <x:v>-9.895833333332758</x:v>
      </x:c>
      <x:c r="AC1171" s="20" t="n">
        <x:f>IF(OR(N1171="",AA1171="",AA1171=0),"",AB1171/AA1171)</x:f>
        <x:v>-0.49479166666663793</x:v>
      </x:c>
      <x:c r="AD1171" t="str">
        <x:f>IF(AA1171="","NO STANDARD",IF(AC1171&lt;=Config_Status!$B$2,"EFFICIENT",IF(AC1171&lt;=Config_Status!$B$3,"NORMAL",IF(AC1171&lt;=Config_Status!$B$4,"WARNING","OVER CONSUMPTION"))))</x:f>
        <x:v>EFFICIENT</x:v>
      </x:c>
      <x:c r="AE1171" t="str">
        <x:f>IFERROR(VLOOKUP(G1171,Master_Unit!$A$2:$N$78,13,FALSE),"UNIT NOT FOUND")</x:f>
        <x:v>Matched</x:v>
      </x:c>
    </x:row>
    <x:row r="1172">
      <x:c r="A1172" s="12" t="str">
        <x:v>FU-20260617-01171</x:v>
      </x:c>
      <x:c r="B1172" s="12" t="n">
        <x:v>1301</x:v>
      </x:c>
      <x:c r="C1172" s="14" t="n">
        <x:v>46190</x:v>
      </x:c>
      <x:c r="D1172" s="12" t="str">
        <x:v>Rabu</x:v>
      </x:c>
      <x:c r="E1172" s="12" t="str">
        <x:v>18:43:00</x:v>
      </x:c>
      <x:c r="F1172" s="12" t="str">
        <x:v>All Shift Night</x:v>
      </x:c>
      <x:c r="G1172" s="12" t="str">
        <x:v>EXVV35G005</x:v>
      </x:c>
      <x:c r="H1172" s="12" t="str">
        <x:v>Excavator</x:v>
      </x:c>
      <x:c r="I1172" s="12" t="str">
        <x:v>EXCAVATOR VOLVO EC350D</x:v>
      </x:c>
      <x:c r="J1172" s="16" t="n">
        <x:v>139</x:v>
      </x:c>
      <x:c r="K1172" s="16" t="n">
        <x:v>5283</x:v>
      </x:c>
      <x:c r="L1172" s="16" t="n">
        <x:v>5290.5</x:v>
      </x:c>
      <x:c r="M1172" s="16" t="n">
        <x:v>7.5</x:v>
      </x:c>
      <x:c r="N1172" s="16" t="n">
        <x:v>18.533333333333335</x:v>
      </x:c>
      <x:c r="O1172" s="12" t="str">
        <x:v>FTRL44G004</x:v>
      </x:c>
      <x:c r="P1172" s="12" t="str">
        <x:v>EXVV35G005</x:v>
      </x:c>
      <x:c r="Q1172" s="12" t="str"/>
      <x:c r="R1172" s="12" t="str"/>
      <x:c r="S1172" s="12" t="str"/>
      <x:c r="T1172" s="12" t="str">
        <x:v>ABM</x:v>
      </x:c>
      <x:c r="U1172" s="12" t="str"/>
      <x:c r="V1172" s="12" t="str"/>
      <x:c r="W1172" s="12" t="str"/>
      <x:c r="X1172" s="12" t="str">
        <x:v>EXVV35</x:v>
      </x:c>
      <x:c r="Y1172" s="12" t="str">
        <x:v>FANGKI &amp; ACUNG</x:v>
      </x:c>
      <x:c r="Z1172" s="12" t="str"/>
      <x:c r="AA1172" s="32" t="n">
        <x:f>IFERROR(VLOOKUP(G1172,Master_Unit!$A$2:$N$78,7,FALSE),"")</x:f>
        <x:v>25</x:v>
      </x:c>
      <x:c r="AB1172" s="32" t="n">
        <x:f>IF(OR(N1172="",AA1172=""),"",N1172-AA1172)</x:f>
        <x:v>-6.466666666666665</x:v>
      </x:c>
      <x:c r="AC1172" s="20" t="n">
        <x:f>IF(OR(N1172="",AA1172="",AA1172=0),"",AB1172/AA1172)</x:f>
        <x:v>-0.2586666666666666</x:v>
      </x:c>
      <x:c r="AD1172" t="str">
        <x:f>IF(AA1172="","NO STANDARD",IF(AC1172&lt;=Config_Status!$B$2,"EFFICIENT",IF(AC1172&lt;=Config_Status!$B$3,"NORMAL",IF(AC1172&lt;=Config_Status!$B$4,"WARNING","OVER CONSUMPTION"))))</x:f>
        <x:v>EFFICIENT</x:v>
      </x:c>
      <x:c r="AE1172" t="str">
        <x:f>IFERROR(VLOOKUP(G1172,Master_Unit!$A$2:$N$78,13,FALSE),"UNIT NOT FOUND")</x:f>
        <x:v>Matched</x:v>
      </x:c>
    </x:row>
    <x:row r="1173">
      <x:c r="A1173" s="12" t="str">
        <x:v>FU-20260617-01172</x:v>
      </x:c>
      <x:c r="B1173" s="12" t="n">
        <x:v>1302</x:v>
      </x:c>
      <x:c r="C1173" s="14" t="n">
        <x:v>46190</x:v>
      </x:c>
      <x:c r="D1173" s="12" t="str">
        <x:v>Rabu</x:v>
      </x:c>
      <x:c r="E1173" s="12" t="str">
        <x:v>18:47:00</x:v>
      </x:c>
      <x:c r="F1173" s="12" t="str">
        <x:v>All Shift Night</x:v>
      </x:c>
      <x:c r="G1173" s="12" t="str">
        <x:v>EXVV21G039</x:v>
      </x:c>
      <x:c r="H1173" s="12" t="str">
        <x:v>Excavator</x:v>
      </x:c>
      <x:c r="I1173" s="12" t="str">
        <x:v>EXCAVATOR VOLVO EC210D</x:v>
      </x:c>
      <x:c r="J1173" s="16" t="n">
        <x:v>97</x:v>
      </x:c>
      <x:c r="K1173" s="16" t="n">
        <x:v>6392.7</x:v>
      </x:c>
      <x:c r="L1173" s="16" t="n">
        <x:v>6402.1</x:v>
      </x:c>
      <x:c r="M1173" s="16" t="n">
        <x:v>9.400000000000546</x:v>
      </x:c>
      <x:c r="N1173" s="16" t="n">
        <x:v>10.319148936169613</x:v>
      </x:c>
      <x:c r="O1173" s="12" t="str">
        <x:v>FTRL44G004</x:v>
      </x:c>
      <x:c r="P1173" s="12" t="str">
        <x:v>EXVV21G039</x:v>
      </x:c>
      <x:c r="Q1173" s="12" t="str"/>
      <x:c r="R1173" s="12" t="str"/>
      <x:c r="S1173" s="12" t="str"/>
      <x:c r="T1173" s="12" t="str">
        <x:v>ABM</x:v>
      </x:c>
      <x:c r="U1173" s="12" t="str"/>
      <x:c r="V1173" s="12" t="str"/>
      <x:c r="W1173" s="12" t="str"/>
      <x:c r="X1173" s="12" t="str">
        <x:v>EXVV21</x:v>
      </x:c>
      <x:c r="Y1173" s="12" t="str">
        <x:v>FANGKI &amp; ACUNG</x:v>
      </x:c>
      <x:c r="Z1173" s="12" t="str"/>
      <x:c r="AA1173" s="32" t="n">
        <x:f>IFERROR(VLOOKUP(G1173,Master_Unit!$A$2:$N$78,7,FALSE),"")</x:f>
        <x:v>20</x:v>
      </x:c>
      <x:c r="AB1173" s="32" t="n">
        <x:f>IF(OR(N1173="",AA1173=""),"",N1173-AA1173)</x:f>
        <x:v>-9.680851063830387</x:v>
      </x:c>
      <x:c r="AC1173" s="20" t="n">
        <x:f>IF(OR(N1173="",AA1173="",AA1173=0),"",AB1173/AA1173)</x:f>
        <x:v>-0.48404255319151934</x:v>
      </x:c>
      <x:c r="AD1173" t="str">
        <x:f>IF(AA1173="","NO STANDARD",IF(AC1173&lt;=Config_Status!$B$2,"EFFICIENT",IF(AC1173&lt;=Config_Status!$B$3,"NORMAL",IF(AC1173&lt;=Config_Status!$B$4,"WARNING","OVER CONSUMPTION"))))</x:f>
        <x:v>EFFICIENT</x:v>
      </x:c>
      <x:c r="AE1173" t="str">
        <x:f>IFERROR(VLOOKUP(G1173,Master_Unit!$A$2:$N$78,13,FALSE),"UNIT NOT FOUND")</x:f>
        <x:v>Matched</x:v>
      </x:c>
    </x:row>
    <x:row r="1174">
      <x:c r="A1174" s="12" t="str">
        <x:v>FU-20260617-01173</x:v>
      </x:c>
      <x:c r="B1174" s="12" t="n">
        <x:v>1303</x:v>
      </x:c>
      <x:c r="C1174" s="14" t="n">
        <x:v>46190</x:v>
      </x:c>
      <x:c r="D1174" s="12" t="str">
        <x:v>Rabu</x:v>
      </x:c>
      <x:c r="E1174" s="12" t="str">
        <x:v>18:51:00</x:v>
      </x:c>
      <x:c r="F1174" s="12" t="str">
        <x:v>All Shift Night</x:v>
      </x:c>
      <x:c r="G1174" s="12" t="str">
        <x:v>EXVV21G035</x:v>
      </x:c>
      <x:c r="H1174" s="12" t="str">
        <x:v>Excavator</x:v>
      </x:c>
      <x:c r="I1174" s="12" t="str">
        <x:v>EXCAVATOR VOLVO EC210D</x:v>
      </x:c>
      <x:c r="J1174" s="16" t="n">
        <x:v>97</x:v>
      </x:c>
      <x:c r="K1174" s="16" t="n">
        <x:v>8497.1</x:v>
      </x:c>
      <x:c r="L1174" s="16" t="n">
        <x:v>8507.4</x:v>
      </x:c>
      <x:c r="M1174" s="16" t="n">
        <x:v>10.299999999999272</x:v>
      </x:c>
      <x:c r="N1174" s="16" t="n">
        <x:v>9.417475728156004</x:v>
      </x:c>
      <x:c r="O1174" s="12" t="str">
        <x:v>FTRL44G004</x:v>
      </x:c>
      <x:c r="P1174" s="12" t="str">
        <x:v>EXVV21G035</x:v>
      </x:c>
      <x:c r="Q1174" s="12" t="str"/>
      <x:c r="R1174" s="12" t="str"/>
      <x:c r="S1174" s="12" t="str"/>
      <x:c r="T1174" s="12" t="str">
        <x:v>ABM</x:v>
      </x:c>
      <x:c r="U1174" s="12" t="str"/>
      <x:c r="V1174" s="12" t="str"/>
      <x:c r="W1174" s="12" t="str"/>
      <x:c r="X1174" s="12" t="str">
        <x:v>EXVV21</x:v>
      </x:c>
      <x:c r="Y1174" s="12" t="str">
        <x:v>FANGKI &amp; ACUNG</x:v>
      </x:c>
      <x:c r="Z1174" s="12" t="str"/>
      <x:c r="AA1174" s="32" t="n">
        <x:f>IFERROR(VLOOKUP(G1174,Master_Unit!$A$2:$N$78,7,FALSE),"")</x:f>
        <x:v>20</x:v>
      </x:c>
      <x:c r="AB1174" s="32" t="n">
        <x:f>IF(OR(N1174="",AA1174=""),"",N1174-AA1174)</x:f>
        <x:v>-10.582524271843996</x:v>
      </x:c>
      <x:c r="AC1174" s="20" t="n">
        <x:f>IF(OR(N1174="",AA1174="",AA1174=0),"",AB1174/AA1174)</x:f>
        <x:v>-0.5291262135921998</x:v>
      </x:c>
      <x:c r="AD1174" t="str">
        <x:f>IF(AA1174="","NO STANDARD",IF(AC1174&lt;=Config_Status!$B$2,"EFFICIENT",IF(AC1174&lt;=Config_Status!$B$3,"NORMAL",IF(AC1174&lt;=Config_Status!$B$4,"WARNING","OVER CONSUMPTION"))))</x:f>
        <x:v>EFFICIENT</x:v>
      </x:c>
      <x:c r="AE1174" t="str">
        <x:f>IFERROR(VLOOKUP(G1174,Master_Unit!$A$2:$N$78,13,FALSE),"UNIT NOT FOUND")</x:f>
        <x:v>Matched</x:v>
      </x:c>
    </x:row>
    <x:row r="1175">
      <x:c r="A1175" s="12" t="str">
        <x:v>FU-20260617-01174</x:v>
      </x:c>
      <x:c r="B1175" s="12" t="n">
        <x:v>1304</x:v>
      </x:c>
      <x:c r="C1175" s="14" t="n">
        <x:v>46190</x:v>
      </x:c>
      <x:c r="D1175" s="12" t="str">
        <x:v>Rabu</x:v>
      </x:c>
      <x:c r="E1175" s="12" t="str">
        <x:v>18:53:00</x:v>
      </x:c>
      <x:c r="F1175" s="12" t="str">
        <x:v>All Shift Night</x:v>
      </x:c>
      <x:c r="G1175" s="12" t="str">
        <x:v>EXVV21G038</x:v>
      </x:c>
      <x:c r="H1175" s="12" t="str">
        <x:v>Excavator</x:v>
      </x:c>
      <x:c r="I1175" s="12" t="str">
        <x:v>EXCAVATOR VOLVO EC210D</x:v>
      </x:c>
      <x:c r="J1175" s="16" t="n">
        <x:v>172</x:v>
      </x:c>
      <x:c r="K1175" s="16" t="n">
        <x:v>4316.1</x:v>
      </x:c>
      <x:c r="L1175" s="16" t="n">
        <x:v>4325.2</x:v>
      </x:c>
      <x:c r="M1175" s="16" t="n">
        <x:v>9.099999999999454</x:v>
      </x:c>
      <x:c r="N1175" s="16" t="n">
        <x:v>18.901098901100035</x:v>
      </x:c>
      <x:c r="O1175" s="12" t="str">
        <x:v>FTRL44G004</x:v>
      </x:c>
      <x:c r="P1175" s="12" t="str">
        <x:v>EXVV21G038</x:v>
      </x:c>
      <x:c r="Q1175" s="12" t="str"/>
      <x:c r="R1175" s="12" t="str"/>
      <x:c r="S1175" s="12" t="str"/>
      <x:c r="T1175" s="12" t="str">
        <x:v>ABM</x:v>
      </x:c>
      <x:c r="U1175" s="12" t="str"/>
      <x:c r="V1175" s="12" t="str"/>
      <x:c r="W1175" s="12" t="str"/>
      <x:c r="X1175" s="12" t="str">
        <x:v>EXVV21</x:v>
      </x:c>
      <x:c r="Y1175" s="12" t="str">
        <x:v>FANGKI &amp; ACUNG</x:v>
      </x:c>
      <x:c r="Z1175" s="12" t="str"/>
      <x:c r="AA1175" s="32" t="n">
        <x:f>IFERROR(VLOOKUP(G1175,Master_Unit!$A$2:$N$78,7,FALSE),"")</x:f>
        <x:v>20</x:v>
      </x:c>
      <x:c r="AB1175" s="32" t="n">
        <x:f>IF(OR(N1175="",AA1175=""),"",N1175-AA1175)</x:f>
        <x:v>-1.0989010988999652</x:v>
      </x:c>
      <x:c r="AC1175" s="20" t="n">
        <x:f>IF(OR(N1175="",AA1175="",AA1175=0),"",AB1175/AA1175)</x:f>
        <x:v>-0.05494505494499826</x:v>
      </x:c>
      <x:c r="AD1175" t="str">
        <x:f>IF(AA1175="","NO STANDARD",IF(AC1175&lt;=Config_Status!$B$2,"EFFICIENT",IF(AC1175&lt;=Config_Status!$B$3,"NORMAL",IF(AC1175&lt;=Config_Status!$B$4,"WARNING","OVER CONSUMPTION"))))</x:f>
        <x:v>NORMAL</x:v>
      </x:c>
      <x:c r="AE1175" t="str">
        <x:f>IFERROR(VLOOKUP(G1175,Master_Unit!$A$2:$N$78,13,FALSE),"UNIT NOT FOUND")</x:f>
        <x:v>Matched</x:v>
      </x:c>
    </x:row>
    <x:row r="1176">
      <x:c r="A1176" s="12" t="str">
        <x:v>FU-20260617-01175</x:v>
      </x:c>
      <x:c r="B1176" s="12" t="n">
        <x:v>1305</x:v>
      </x:c>
      <x:c r="C1176" s="14" t="n">
        <x:v>46190</x:v>
      </x:c>
      <x:c r="D1176" s="12" t="str">
        <x:v>Rabu</x:v>
      </x:c>
      <x:c r="E1176" s="12" t="str">
        <x:v>19:07:00</x:v>
      </x:c>
      <x:c r="F1176" s="12" t="str">
        <x:v>All Shift Night</x:v>
      </x:c>
      <x:c r="G1176" s="12" t="str">
        <x:v>STRL44G137</x:v>
      </x:c>
      <x:c r="H1176" s="12" t="str">
        <x:v>Dump Truck</x:v>
      </x:c>
      <x:c r="I1176" s="12" t="str">
        <x:v>DUMP TRUCK RENAULT KRANGE440-P6X4 A/T</x:v>
      </x:c>
      <x:c r="J1176" s="16" t="n">
        <x:v>64</x:v>
      </x:c>
      <x:c r="K1176" s="16" t="n">
        <x:v>6499</x:v>
      </x:c>
      <x:c r="L1176" s="16" t="n">
        <x:v>6514</x:v>
      </x:c>
      <x:c r="M1176" s="16" t="n">
        <x:v>15</x:v>
      </x:c>
      <x:c r="N1176" s="16" t="n">
        <x:v>4.266666666666667</x:v>
      </x:c>
      <x:c r="O1176" s="12" t="str">
        <x:v>FTRL44G004</x:v>
      </x:c>
      <x:c r="P1176" s="12" t="str">
        <x:v>STRL44G137</x:v>
      </x:c>
      <x:c r="Q1176" s="12" t="str"/>
      <x:c r="R1176" s="12" t="str"/>
      <x:c r="S1176" s="12" t="str"/>
      <x:c r="T1176" s="12" t="str">
        <x:v>ABM</x:v>
      </x:c>
      <x:c r="U1176" s="12" t="str"/>
      <x:c r="V1176" s="12" t="str"/>
      <x:c r="W1176" s="12" t="str"/>
      <x:c r="X1176" s="12" t="str">
        <x:v>STRL44</x:v>
      </x:c>
      <x:c r="Y1176" s="12" t="str">
        <x:v>FANGKI &amp; ACUNG</x:v>
      </x:c>
      <x:c r="Z1176" s="12" t="str"/>
      <x:c r="AA1176" s="32" t="n">
        <x:f>IFERROR(VLOOKUP(G1176,Master_Unit!$A$2:$N$78,7,FALSE),"")</x:f>
        <x:v>20</x:v>
      </x:c>
      <x:c r="AB1176" s="32" t="n">
        <x:f>IF(OR(N1176="",AA1176=""),"",N1176-AA1176)</x:f>
        <x:v>-15.733333333333334</x:v>
      </x:c>
      <x:c r="AC1176" s="20" t="n">
        <x:f>IF(OR(N1176="",AA1176="",AA1176=0),"",AB1176/AA1176)</x:f>
        <x:v>-0.7866666666666667</x:v>
      </x:c>
      <x:c r="AD1176" t="str">
        <x:f>IF(AA1176="","NO STANDARD",IF(AC1176&lt;=Config_Status!$B$2,"EFFICIENT",IF(AC1176&lt;=Config_Status!$B$3,"NORMAL",IF(AC1176&lt;=Config_Status!$B$4,"WARNING","OVER CONSUMPTION"))))</x:f>
        <x:v>EFFICIENT</x:v>
      </x:c>
      <x:c r="AE1176" t="str">
        <x:f>IFERROR(VLOOKUP(G1176,Master_Unit!$A$2:$N$78,13,FALSE),"UNIT NOT FOUND")</x:f>
        <x:v>Matched</x:v>
      </x:c>
    </x:row>
    <x:row r="1177">
      <x:c r="A1177" s="12" t="str">
        <x:v>FU-20260617-01176</x:v>
      </x:c>
      <x:c r="B1177" s="12" t="n">
        <x:v>1306</x:v>
      </x:c>
      <x:c r="C1177" s="14" t="n">
        <x:v>46190</x:v>
      </x:c>
      <x:c r="D1177" s="12" t="str">
        <x:v>Rabu</x:v>
      </x:c>
      <x:c r="E1177" s="12" t="str">
        <x:v>19:11:00</x:v>
      </x:c>
      <x:c r="F1177" s="12" t="str">
        <x:v>All Shift Night</x:v>
      </x:c>
      <x:c r="G1177" s="12" t="str">
        <x:v>STRL44G136</x:v>
      </x:c>
      <x:c r="H1177" s="12" t="str">
        <x:v>Dump Truck</x:v>
      </x:c>
      <x:c r="I1177" s="12" t="str">
        <x:v>DUMP TRUCK RENAULT KRANGE440-P6X4 A/T</x:v>
      </x:c>
      <x:c r="J1177" s="16" t="n">
        <x:v>45</x:v>
      </x:c>
      <x:c r="K1177" s="16" t="n">
        <x:v>5924</x:v>
      </x:c>
      <x:c r="L1177" s="16" t="n">
        <x:v>5931</x:v>
      </x:c>
      <x:c r="M1177" s="16" t="n">
        <x:v>7</x:v>
      </x:c>
      <x:c r="N1177" s="16" t="n">
        <x:v>6.428571428571429</x:v>
      </x:c>
      <x:c r="O1177" s="12" t="str">
        <x:v>FTRL44G004</x:v>
      </x:c>
      <x:c r="P1177" s="12" t="str">
        <x:v>STRL44G136</x:v>
      </x:c>
      <x:c r="Q1177" s="12" t="str"/>
      <x:c r="R1177" s="12" t="str"/>
      <x:c r="S1177" s="12" t="str"/>
      <x:c r="T1177" s="12" t="str">
        <x:v>ABM</x:v>
      </x:c>
      <x:c r="U1177" s="12" t="str"/>
      <x:c r="V1177" s="12" t="str"/>
      <x:c r="W1177" s="12" t="str"/>
      <x:c r="X1177" s="12" t="str">
        <x:v>STRL44</x:v>
      </x:c>
      <x:c r="Y1177" s="12" t="str">
        <x:v>FANGKI &amp; ACUNG</x:v>
      </x:c>
      <x:c r="Z1177" s="12" t="str">
        <x:v>PIT</x:v>
      </x:c>
      <x:c r="AA1177" s="32" t="n">
        <x:f>IFERROR(VLOOKUP(G1177,Master_Unit!$A$2:$N$78,7,FALSE),"")</x:f>
        <x:v>20</x:v>
      </x:c>
      <x:c r="AB1177" s="32" t="n">
        <x:f>IF(OR(N1177="",AA1177=""),"",N1177-AA1177)</x:f>
        <x:v>-13.571428571428571</x:v>
      </x:c>
      <x:c r="AC1177" s="20" t="n">
        <x:f>IF(OR(N1177="",AA1177="",AA1177=0),"",AB1177/AA1177)</x:f>
        <x:v>-0.6785714285714286</x:v>
      </x:c>
      <x:c r="AD1177" t="str">
        <x:f>IF(AA1177="","NO STANDARD",IF(AC1177&lt;=Config_Status!$B$2,"EFFICIENT",IF(AC1177&lt;=Config_Status!$B$3,"NORMAL",IF(AC1177&lt;=Config_Status!$B$4,"WARNING","OVER CONSUMPTION"))))</x:f>
        <x:v>EFFICIENT</x:v>
      </x:c>
      <x:c r="AE1177" t="str">
        <x:f>IFERROR(VLOOKUP(G1177,Master_Unit!$A$2:$N$78,13,FALSE),"UNIT NOT FOUND")</x:f>
        <x:v>Matched</x:v>
      </x:c>
    </x:row>
    <x:row r="1178">
      <x:c r="A1178" s="12" t="str">
        <x:v>FU-20260617-01177</x:v>
      </x:c>
      <x:c r="B1178" s="12" t="n">
        <x:v>1307</x:v>
      </x:c>
      <x:c r="C1178" s="14" t="n">
        <x:v>46190</x:v>
      </x:c>
      <x:c r="D1178" s="12" t="str">
        <x:v>Rabu</x:v>
      </x:c>
      <x:c r="E1178" s="12" t="str">
        <x:v>19:16:00</x:v>
      </x:c>
      <x:c r="F1178" s="12" t="str">
        <x:v>All Shift Night</x:v>
      </x:c>
      <x:c r="G1178" s="12" t="str">
        <x:v>VRVV11G013</x:v>
      </x:c>
      <x:c r="H1178" s="12" t="str">
        <x:v>Compactor</x:v>
      </x:c>
      <x:c r="I1178" s="12" t="str">
        <x:v>VIBRO COMPACTOR VOLVO SD110NE</x:v>
      </x:c>
      <x:c r="J1178" s="16" t="n">
        <x:v>56</x:v>
      </x:c>
      <x:c r="K1178" s="16" t="n">
        <x:v>3251.4</x:v>
      </x:c>
      <x:c r="L1178" s="16" t="n">
        <x:v>3258.8</x:v>
      </x:c>
      <x:c r="M1178" s="16" t="n">
        <x:v>7.400000000000091</x:v>
      </x:c>
      <x:c r="N1178" s="16" t="n">
        <x:v>7.567567567567474</x:v>
      </x:c>
      <x:c r="O1178" s="12" t="str">
        <x:v>FTRL44G004</x:v>
      </x:c>
      <x:c r="P1178" s="12" t="str">
        <x:v>VRVV11G013</x:v>
      </x:c>
      <x:c r="Q1178" s="12" t="str"/>
      <x:c r="R1178" s="12" t="str"/>
      <x:c r="S1178" s="12" t="str"/>
      <x:c r="T1178" s="12" t="str">
        <x:v>ABM</x:v>
      </x:c>
      <x:c r="U1178" s="12" t="str"/>
      <x:c r="V1178" s="12" t="str"/>
      <x:c r="W1178" s="12" t="str"/>
      <x:c r="X1178" s="12" t="str">
        <x:v>VRVV11</x:v>
      </x:c>
      <x:c r="Y1178" s="12" t="str">
        <x:v>FANGKI &amp; ACUNG</x:v>
      </x:c>
      <x:c r="Z1178" s="12" t="str">
        <x:v>PIT</x:v>
      </x:c>
      <x:c r="AA1178" s="32" t="n">
        <x:f>IFERROR(VLOOKUP(G1178,Master_Unit!$A$2:$N$78,7,FALSE),"")</x:f>
        <x:v>15</x:v>
      </x:c>
      <x:c r="AB1178" s="32" t="n">
        <x:f>IF(OR(N1178="",AA1178=""),"",N1178-AA1178)</x:f>
        <x:v>-7.432432432432526</x:v>
      </x:c>
      <x:c r="AC1178" s="20" t="n">
        <x:f>IF(OR(N1178="",AA1178="",AA1178=0),"",AB1178/AA1178)</x:f>
        <x:v>-0.4954954954955017</x:v>
      </x:c>
      <x:c r="AD1178" t="str">
        <x:f>IF(AA1178="","NO STANDARD",IF(AC1178&lt;=Config_Status!$B$2,"EFFICIENT",IF(AC1178&lt;=Config_Status!$B$3,"NORMAL",IF(AC1178&lt;=Config_Status!$B$4,"WARNING","OVER CONSUMPTION"))))</x:f>
        <x:v>EFFICIENT</x:v>
      </x:c>
      <x:c r="AE1178" t="str">
        <x:f>IFERROR(VLOOKUP(G1178,Master_Unit!$A$2:$N$78,13,FALSE),"UNIT NOT FOUND")</x:f>
        <x:v>Matched</x:v>
      </x:c>
    </x:row>
    <x:row r="1179">
      <x:c r="A1179" s="12" t="str">
        <x:v>FU-20260617-01178</x:v>
      </x:c>
      <x:c r="B1179" s="12" t="n">
        <x:v>1308</x:v>
      </x:c>
      <x:c r="C1179" s="14" t="n">
        <x:v>46190</x:v>
      </x:c>
      <x:c r="D1179" s="12" t="str">
        <x:v>Rabu</x:v>
      </x:c>
      <x:c r="E1179" s="12" t="str">
        <x:v>19:23:00</x:v>
      </x:c>
      <x:c r="F1179" s="12" t="str">
        <x:v>All Shift Night</x:v>
      </x:c>
      <x:c r="G1179" s="12" t="str">
        <x:v>MGSD20G006</x:v>
      </x:c>
      <x:c r="H1179" s="12" t="str">
        <x:v>Other</x:v>
      </x:c>
      <x:c r="I1179" s="12" t="str">
        <x:v>MOTOR GRADER SDLG GD9220F</x:v>
      </x:c>
      <x:c r="J1179" s="16" t="n">
        <x:v>58</x:v>
      </x:c>
      <x:c r="K1179" s="16" t="n">
        <x:v>2015.6</x:v>
      </x:c>
      <x:c r="L1179" s="16" t="n">
        <x:v>2022.3</x:v>
      </x:c>
      <x:c r="M1179" s="16" t="n">
        <x:v>6.7000000000000455</x:v>
      </x:c>
      <x:c r="N1179" s="16" t="n">
        <x:v>8.656716417910388</x:v>
      </x:c>
      <x:c r="O1179" s="12" t="str">
        <x:v>FTRL44G004</x:v>
      </x:c>
      <x:c r="P1179" s="12" t="str">
        <x:v>MGSD20G006</x:v>
      </x:c>
      <x:c r="Q1179" s="12" t="str"/>
      <x:c r="R1179" s="12" t="str"/>
      <x:c r="S1179" s="12" t="str"/>
      <x:c r="T1179" s="12" t="str">
        <x:v>ABM</x:v>
      </x:c>
      <x:c r="U1179" s="12" t="str"/>
      <x:c r="V1179" s="12" t="str"/>
      <x:c r="W1179" s="12" t="str"/>
      <x:c r="X1179" s="12" t="str">
        <x:v>MGSD20</x:v>
      </x:c>
      <x:c r="Y1179" s="12" t="str">
        <x:v>FANGKI &amp; ACUNG</x:v>
      </x:c>
      <x:c r="Z1179" s="12" t="str">
        <x:v>SUPPORT</x:v>
      </x:c>
      <x:c r="AA1179" s="32" t="n">
        <x:f>IFERROR(VLOOKUP(G1179,Master_Unit!$A$2:$N$78,7,FALSE),"")</x:f>
        <x:v>20</x:v>
      </x:c>
      <x:c r="AB1179" s="32" t="n">
        <x:f>IF(OR(N1179="",AA1179=""),"",N1179-AA1179)</x:f>
        <x:v>-11.343283582089612</x:v>
      </x:c>
      <x:c r="AC1179" s="20" t="n">
        <x:f>IF(OR(N1179="",AA1179="",AA1179=0),"",AB1179/AA1179)</x:f>
        <x:v>-0.5671641791044806</x:v>
      </x:c>
      <x:c r="AD1179" t="str">
        <x:f>IF(AA1179="","NO STANDARD",IF(AC1179&lt;=Config_Status!$B$2,"EFFICIENT",IF(AC1179&lt;=Config_Status!$B$3,"NORMAL",IF(AC1179&lt;=Config_Status!$B$4,"WARNING","OVER CONSUMPTION"))))</x:f>
        <x:v>EFFICIENT</x:v>
      </x:c>
      <x:c r="AE1179" t="str">
        <x:f>IFERROR(VLOOKUP(G1179,Master_Unit!$A$2:$N$78,13,FALSE),"UNIT NOT FOUND")</x:f>
        <x:v>Matched</x:v>
      </x:c>
    </x:row>
    <x:row r="1180">
      <x:c r="A1180" s="12" t="str">
        <x:v>FU-20260617-01179</x:v>
      </x:c>
      <x:c r="B1180" s="12" t="n">
        <x:v>1309</x:v>
      </x:c>
      <x:c r="C1180" s="14" t="n">
        <x:v>46190</x:v>
      </x:c>
      <x:c r="D1180" s="12" t="str">
        <x:v>Rabu</x:v>
      </x:c>
      <x:c r="E1180" s="12" t="str">
        <x:v>19:29:00</x:v>
      </x:c>
      <x:c r="F1180" s="12" t="str">
        <x:v>All Shift Night</x:v>
      </x:c>
      <x:c r="G1180" s="12" t="str">
        <x:v>STRL44G135</x:v>
      </x:c>
      <x:c r="H1180" s="12" t="str">
        <x:v>Dump Truck</x:v>
      </x:c>
      <x:c r="I1180" s="12" t="str">
        <x:v>DUMP TRUCK RENAULT KRANGE440-P6X4 A/T</x:v>
      </x:c>
      <x:c r="J1180" s="16" t="n">
        <x:v>66</x:v>
      </x:c>
      <x:c r="K1180" s="16" t="n">
        <x:v>5929</x:v>
      </x:c>
      <x:c r="L1180" s="16" t="n">
        <x:v>5945</x:v>
      </x:c>
      <x:c r="M1180" s="16" t="n">
        <x:v>16</x:v>
      </x:c>
      <x:c r="N1180" s="16" t="n">
        <x:v>4.125</x:v>
      </x:c>
      <x:c r="O1180" s="12" t="str">
        <x:v>FTRL44G004</x:v>
      </x:c>
      <x:c r="P1180" s="12" t="str">
        <x:v>STRL44G135</x:v>
      </x:c>
      <x:c r="Q1180" s="12" t="str"/>
      <x:c r="R1180" s="12" t="str"/>
      <x:c r="S1180" s="12" t="str"/>
      <x:c r="T1180" s="12" t="str">
        <x:v>ABM</x:v>
      </x:c>
      <x:c r="U1180" s="12" t="str"/>
      <x:c r="V1180" s="12" t="str"/>
      <x:c r="W1180" s="12" t="str"/>
      <x:c r="X1180" s="12" t="str">
        <x:v>STRL44</x:v>
      </x:c>
      <x:c r="Y1180" s="12" t="str">
        <x:v>FANGKI &amp; ACUNG</x:v>
      </x:c>
      <x:c r="Z1180" s="12" t="str">
        <x:v>PIT</x:v>
      </x:c>
      <x:c r="AA1180" s="32" t="n">
        <x:f>IFERROR(VLOOKUP(G1180,Master_Unit!$A$2:$N$78,7,FALSE),"")</x:f>
        <x:v>20</x:v>
      </x:c>
      <x:c r="AB1180" s="32" t="n">
        <x:f>IF(OR(N1180="",AA1180=""),"",N1180-AA1180)</x:f>
        <x:v>-15.875</x:v>
      </x:c>
      <x:c r="AC1180" s="20" t="n">
        <x:f>IF(OR(N1180="",AA1180="",AA1180=0),"",AB1180/AA1180)</x:f>
        <x:v>-0.79375</x:v>
      </x:c>
      <x:c r="AD1180" t="str">
        <x:f>IF(AA1180="","NO STANDARD",IF(AC1180&lt;=Config_Status!$B$2,"EFFICIENT",IF(AC1180&lt;=Config_Status!$B$3,"NORMAL",IF(AC1180&lt;=Config_Status!$B$4,"WARNING","OVER CONSUMPTION"))))</x:f>
        <x:v>EFFICIENT</x:v>
      </x:c>
      <x:c r="AE1180" t="str">
        <x:f>IFERROR(VLOOKUP(G1180,Master_Unit!$A$2:$N$78,13,FALSE),"UNIT NOT FOUND")</x:f>
        <x:v>Matched</x:v>
      </x:c>
    </x:row>
    <x:row r="1181">
      <x:c r="A1181" s="12" t="str">
        <x:v>FU-20260617-01180</x:v>
      </x:c>
      <x:c r="B1181" s="12" t="n">
        <x:v>1310</x:v>
      </x:c>
      <x:c r="C1181" s="14" t="n">
        <x:v>46190</x:v>
      </x:c>
      <x:c r="D1181" s="12" t="str">
        <x:v>Rabu</x:v>
      </x:c>
      <x:c r="E1181" s="12" t="str">
        <x:v>19:34:00</x:v>
      </x:c>
      <x:c r="F1181" s="12" t="str">
        <x:v>All Shift Night</x:v>
      </x:c>
      <x:c r="G1181" s="12" t="str">
        <x:v>STRL44G139</x:v>
      </x:c>
      <x:c r="H1181" s="12" t="str">
        <x:v>Dump Truck</x:v>
      </x:c>
      <x:c r="I1181" s="12" t="str">
        <x:v>DUMP TRUCK RENAULT KRANGE440-P6X4 A/T</x:v>
      </x:c>
      <x:c r="J1181" s="16" t="n">
        <x:v>41</x:v>
      </x:c>
      <x:c r="K1181" s="16" t="n">
        <x:v>5069</x:v>
      </x:c>
      <x:c r="L1181" s="16" t="n">
        <x:v>5074</x:v>
      </x:c>
      <x:c r="M1181" s="16" t="n">
        <x:v>5</x:v>
      </x:c>
      <x:c r="N1181" s="16" t="n">
        <x:v>8.2</x:v>
      </x:c>
      <x:c r="O1181" s="12" t="str">
        <x:v>FTRL44G004</x:v>
      </x:c>
      <x:c r="P1181" s="12" t="str">
        <x:v>STRL44G139</x:v>
      </x:c>
      <x:c r="Q1181" s="12" t="str"/>
      <x:c r="R1181" s="12" t="str"/>
      <x:c r="S1181" s="12" t="str"/>
      <x:c r="T1181" s="12" t="str">
        <x:v>ABM</x:v>
      </x:c>
      <x:c r="U1181" s="12" t="str"/>
      <x:c r="V1181" s="12" t="str"/>
      <x:c r="W1181" s="12" t="str"/>
      <x:c r="X1181" s="12" t="str">
        <x:v>STRL44</x:v>
      </x:c>
      <x:c r="Y1181" s="12" t="str">
        <x:v>FANGKI &amp; ACUNG</x:v>
      </x:c>
      <x:c r="Z1181" s="12" t="str">
        <x:v>PIT</x:v>
      </x:c>
      <x:c r="AA1181" s="32" t="n">
        <x:f>IFERROR(VLOOKUP(G1181,Master_Unit!$A$2:$N$78,7,FALSE),"")</x:f>
        <x:v>20</x:v>
      </x:c>
      <x:c r="AB1181" s="32" t="n">
        <x:f>IF(OR(N1181="",AA1181=""),"",N1181-AA1181)</x:f>
        <x:v>-11.8</x:v>
      </x:c>
      <x:c r="AC1181" s="20" t="n">
        <x:f>IF(OR(N1181="",AA1181="",AA1181=0),"",AB1181/AA1181)</x:f>
        <x:v>-0.5900000000000001</x:v>
      </x:c>
      <x:c r="AD1181" t="str">
        <x:f>IF(AA1181="","NO STANDARD",IF(AC1181&lt;=Config_Status!$B$2,"EFFICIENT",IF(AC1181&lt;=Config_Status!$B$3,"NORMAL",IF(AC1181&lt;=Config_Status!$B$4,"WARNING","OVER CONSUMPTION"))))</x:f>
        <x:v>EFFICIENT</x:v>
      </x:c>
      <x:c r="AE1181" t="str">
        <x:f>IFERROR(VLOOKUP(G1181,Master_Unit!$A$2:$N$78,13,FALSE),"UNIT NOT FOUND")</x:f>
        <x:v>Matched</x:v>
      </x:c>
    </x:row>
    <x:row r="1182">
      <x:c r="A1182" s="12" t="str">
        <x:v>FU-20260617-01181</x:v>
      </x:c>
      <x:c r="B1182" s="12" t="n">
        <x:v>1311</x:v>
      </x:c>
      <x:c r="C1182" s="14" t="n">
        <x:v>46190</x:v>
      </x:c>
      <x:c r="D1182" s="12" t="str">
        <x:v>Rabu</x:v>
      </x:c>
      <x:c r="E1182" s="12" t="str">
        <x:v>20:01:00</x:v>
      </x:c>
      <x:c r="F1182" s="12" t="str">
        <x:v>All Shift Night</x:v>
      </x:c>
      <x:c r="G1182" s="12" t="str">
        <x:v>STRL44G142</x:v>
      </x:c>
      <x:c r="H1182" s="12" t="str">
        <x:v>Dump Truck</x:v>
      </x:c>
      <x:c r="I1182" s="12" t="str">
        <x:v>DUMP TRUCK RENAULT KRANGE440-P6X4 A/T</x:v>
      </x:c>
      <x:c r="J1182" s="16" t="n">
        <x:v>61</x:v>
      </x:c>
      <x:c r="K1182" s="16" t="n">
        <x:v>3436</x:v>
      </x:c>
      <x:c r="L1182" s="16" t="n">
        <x:v>3448</x:v>
      </x:c>
      <x:c r="M1182" s="16" t="n">
        <x:v>12</x:v>
      </x:c>
      <x:c r="N1182" s="16" t="n">
        <x:v>5.083333333333333</x:v>
      </x:c>
      <x:c r="O1182" s="12" t="str">
        <x:v>FTRL44G004</x:v>
      </x:c>
      <x:c r="P1182" s="12" t="str">
        <x:v>STRL44G142</x:v>
      </x:c>
      <x:c r="Q1182" s="12" t="str"/>
      <x:c r="R1182" s="12" t="str"/>
      <x:c r="S1182" s="12" t="str"/>
      <x:c r="T1182" s="12" t="str">
        <x:v>ABM</x:v>
      </x:c>
      <x:c r="U1182" s="12" t="str"/>
      <x:c r="V1182" s="12" t="str"/>
      <x:c r="W1182" s="12" t="str"/>
      <x:c r="X1182" s="12" t="str">
        <x:v>STRL44</x:v>
      </x:c>
      <x:c r="Y1182" s="12" t="str">
        <x:v>FANGKI &amp; ACUNG</x:v>
      </x:c>
      <x:c r="Z1182" s="12" t="str">
        <x:v>PIT</x:v>
      </x:c>
      <x:c r="AA1182" s="32" t="n">
        <x:f>IFERROR(VLOOKUP(G1182,Master_Unit!$A$2:$N$78,7,FALSE),"")</x:f>
        <x:v>20</x:v>
      </x:c>
      <x:c r="AB1182" s="32" t="n">
        <x:f>IF(OR(N1182="",AA1182=""),"",N1182-AA1182)</x:f>
        <x:v>-14.916666666666668</x:v>
      </x:c>
      <x:c r="AC1182" s="20" t="n">
        <x:f>IF(OR(N1182="",AA1182="",AA1182=0),"",AB1182/AA1182)</x:f>
        <x:v>-0.7458333333333333</x:v>
      </x:c>
      <x:c r="AD1182" t="str">
        <x:f>IF(AA1182="","NO STANDARD",IF(AC1182&lt;=Config_Status!$B$2,"EFFICIENT",IF(AC1182&lt;=Config_Status!$B$3,"NORMAL",IF(AC1182&lt;=Config_Status!$B$4,"WARNING","OVER CONSUMPTION"))))</x:f>
        <x:v>EFFICIENT</x:v>
      </x:c>
      <x:c r="AE1182" t="str">
        <x:f>IFERROR(VLOOKUP(G1182,Master_Unit!$A$2:$N$78,13,FALSE),"UNIT NOT FOUND")</x:f>
        <x:v>Matched</x:v>
      </x:c>
    </x:row>
    <x:row r="1183">
      <x:c r="A1183" s="12" t="str">
        <x:v>FU-20260617-01182</x:v>
      </x:c>
      <x:c r="B1183" s="12" t="n">
        <x:v>1312</x:v>
      </x:c>
      <x:c r="C1183" s="14" t="n">
        <x:v>46190</x:v>
      </x:c>
      <x:c r="D1183" s="12" t="str">
        <x:v>Rabu</x:v>
      </x:c>
      <x:c r="E1183" s="12" t="str">
        <x:v>20:09:00</x:v>
      </x:c>
      <x:c r="F1183" s="12" t="str">
        <x:v>All Shift Night</x:v>
      </x:c>
      <x:c r="G1183" s="12" t="str">
        <x:v>STRL44G134</x:v>
      </x:c>
      <x:c r="H1183" s="12" t="str">
        <x:v>Dump Truck</x:v>
      </x:c>
      <x:c r="I1183" s="12" t="str">
        <x:v>DUMP TRUCK RENAULT KRANGE440-P6X4 A/T</x:v>
      </x:c>
      <x:c r="J1183" s="16" t="n">
        <x:v>65</x:v>
      </x:c>
      <x:c r="K1183" s="16" t="n">
        <x:v>5780</x:v>
      </x:c>
      <x:c r="L1183" s="16" t="n">
        <x:v>5786</x:v>
      </x:c>
      <x:c r="M1183" s="16" t="n">
        <x:v>6</x:v>
      </x:c>
      <x:c r="N1183" s="16" t="n">
        <x:v>10.833333333333334</x:v>
      </x:c>
      <x:c r="O1183" s="12" t="str">
        <x:v>FTRL44G004</x:v>
      </x:c>
      <x:c r="P1183" s="12" t="str">
        <x:v>STRL44G134</x:v>
      </x:c>
      <x:c r="Q1183" s="12" t="str"/>
      <x:c r="R1183" s="12" t="str"/>
      <x:c r="S1183" s="12" t="str"/>
      <x:c r="T1183" s="12" t="str">
        <x:v>ABM</x:v>
      </x:c>
      <x:c r="U1183" s="12" t="str"/>
      <x:c r="V1183" s="12" t="str"/>
      <x:c r="W1183" s="12" t="str"/>
      <x:c r="X1183" s="12" t="str">
        <x:v>STRL44</x:v>
      </x:c>
      <x:c r="Y1183" s="12" t="str">
        <x:v>FANGKI &amp; ACUNG</x:v>
      </x:c>
      <x:c r="Z1183" s="12" t="str">
        <x:v>PIT</x:v>
      </x:c>
      <x:c r="AA1183" s="32" t="n">
        <x:f>IFERROR(VLOOKUP(G1183,Master_Unit!$A$2:$N$78,7,FALSE),"")</x:f>
        <x:v>20</x:v>
      </x:c>
      <x:c r="AB1183" s="32" t="n">
        <x:f>IF(OR(N1183="",AA1183=""),"",N1183-AA1183)</x:f>
        <x:v>-9.166666666666666</x:v>
      </x:c>
      <x:c r="AC1183" s="20" t="n">
        <x:f>IF(OR(N1183="",AA1183="",AA1183=0),"",AB1183/AA1183)</x:f>
        <x:v>-0.4583333333333333</x:v>
      </x:c>
      <x:c r="AD1183" t="str">
        <x:f>IF(AA1183="","NO STANDARD",IF(AC1183&lt;=Config_Status!$B$2,"EFFICIENT",IF(AC1183&lt;=Config_Status!$B$3,"NORMAL",IF(AC1183&lt;=Config_Status!$B$4,"WARNING","OVER CONSUMPTION"))))</x:f>
        <x:v>EFFICIENT</x:v>
      </x:c>
      <x:c r="AE1183" t="str">
        <x:f>IFERROR(VLOOKUP(G1183,Master_Unit!$A$2:$N$78,13,FALSE),"UNIT NOT FOUND")</x:f>
        <x:v>Matched</x:v>
      </x:c>
    </x:row>
    <x:row r="1184">
      <x:c r="A1184" s="12" t="str">
        <x:v>FU-20260617-01183</x:v>
      </x:c>
      <x:c r="B1184" s="12" t="n">
        <x:v>1313</x:v>
      </x:c>
      <x:c r="C1184" s="14" t="n">
        <x:v>46190</x:v>
      </x:c>
      <x:c r="D1184" s="12" t="str">
        <x:v>Rabu</x:v>
      </x:c>
      <x:c r="E1184" s="12" t="str">
        <x:v>20:17:00</x:v>
      </x:c>
      <x:c r="F1184" s="12" t="str">
        <x:v>All Shift Night</x:v>
      </x:c>
      <x:c r="G1184" s="12" t="str">
        <x:v>STRL44G156</x:v>
      </x:c>
      <x:c r="H1184" s="12" t="str">
        <x:v>Dump Truck</x:v>
      </x:c>
      <x:c r="I1184" s="12" t="str">
        <x:v>DUMP TRUCK RENAULT KRANGE440-P6X4 A/T</x:v>
      </x:c>
      <x:c r="J1184" s="16" t="n">
        <x:v>159</x:v>
      </x:c>
      <x:c r="K1184" s="16" t="n">
        <x:v>3864</x:v>
      </x:c>
      <x:c r="L1184" s="16" t="n">
        <x:v>3867</x:v>
      </x:c>
      <x:c r="M1184" s="16" t="n">
        <x:v>3</x:v>
      </x:c>
      <x:c r="N1184" s="16" t="n">
        <x:v>53</x:v>
      </x:c>
      <x:c r="O1184" s="12" t="str">
        <x:v>FTRL44G004</x:v>
      </x:c>
      <x:c r="P1184" s="12" t="str">
        <x:v>STRL44G156</x:v>
      </x:c>
      <x:c r="Q1184" s="12" t="str"/>
      <x:c r="R1184" s="12" t="str"/>
      <x:c r="S1184" s="12" t="str"/>
      <x:c r="T1184" s="12" t="str">
        <x:v>ABM</x:v>
      </x:c>
      <x:c r="U1184" s="12" t="str"/>
      <x:c r="V1184" s="12" t="str"/>
      <x:c r="W1184" s="12" t="str"/>
      <x:c r="X1184" s="12" t="str">
        <x:v>STRL44</x:v>
      </x:c>
      <x:c r="Y1184" s="12" t="str">
        <x:v>FANGKI &amp; ACUNG</x:v>
      </x:c>
      <x:c r="Z1184" s="12" t="str">
        <x:v>PIT</x:v>
      </x:c>
      <x:c r="AA1184" s="32" t="n">
        <x:f>IFERROR(VLOOKUP(G1184,Master_Unit!$A$2:$N$78,7,FALSE),"")</x:f>
        <x:v>20</x:v>
      </x:c>
      <x:c r="AB1184" s="32" t="n">
        <x:f>IF(OR(N1184="",AA1184=""),"",N1184-AA1184)</x:f>
        <x:v>33</x:v>
      </x:c>
      <x:c r="AC1184" s="20" t="n">
        <x:f>IF(OR(N1184="",AA1184="",AA1184=0),"",AB1184/AA1184)</x:f>
        <x:v>1.65</x:v>
      </x:c>
      <x:c r="AD1184" t="str">
        <x:f>IF(AA1184="","NO STANDARD",IF(AC1184&lt;=Config_Status!$B$2,"EFFICIENT",IF(AC1184&lt;=Config_Status!$B$3,"NORMAL",IF(AC1184&lt;=Config_Status!$B$4,"WARNING","OVER CONSUMPTION"))))</x:f>
        <x:v>OVER CONSUMPTION</x:v>
      </x:c>
      <x:c r="AE1184" t="str">
        <x:f>IFERROR(VLOOKUP(G1184,Master_Unit!$A$2:$N$78,13,FALSE),"UNIT NOT FOUND")</x:f>
        <x:v>Matched</x:v>
      </x:c>
    </x:row>
    <x:row r="1185">
      <x:c r="A1185" s="12" t="str">
        <x:v>FU-20260617-01184</x:v>
      </x:c>
      <x:c r="B1185" s="12" t="n">
        <x:v>1314</x:v>
      </x:c>
      <x:c r="C1185" s="14" t="n">
        <x:v>46190</x:v>
      </x:c>
      <x:c r="D1185" s="12" t="str">
        <x:v>Rabu</x:v>
      </x:c>
      <x:c r="E1185" s="12" t="str">
        <x:v>20:56:00</x:v>
      </x:c>
      <x:c r="F1185" s="12" t="str">
        <x:v>All Shift Night</x:v>
      </x:c>
      <x:c r="G1185" s="12" t="str">
        <x:v>STRL44G152</x:v>
      </x:c>
      <x:c r="H1185" s="12" t="str">
        <x:v>Dump Truck</x:v>
      </x:c>
      <x:c r="I1185" s="12" t="str">
        <x:v>DUMP TRUCK RENAULT KRANGE440-P6X4 A/T</x:v>
      </x:c>
      <x:c r="J1185" s="16" t="n">
        <x:v>104</x:v>
      </x:c>
      <x:c r="K1185" s="16" t="n">
        <x:v>3787</x:v>
      </x:c>
      <x:c r="L1185" s="16" t="n">
        <x:v>3792</x:v>
      </x:c>
      <x:c r="M1185" s="16" t="n">
        <x:v>5</x:v>
      </x:c>
      <x:c r="N1185" s="16" t="n">
        <x:v>20.8</x:v>
      </x:c>
      <x:c r="O1185" s="12" t="str">
        <x:v>FTRL44G004</x:v>
      </x:c>
      <x:c r="P1185" s="12" t="str">
        <x:v>STRL44G152</x:v>
      </x:c>
      <x:c r="Q1185" s="12" t="str"/>
      <x:c r="R1185" s="12" t="str"/>
      <x:c r="S1185" s="12" t="str"/>
      <x:c r="T1185" s="12" t="str">
        <x:v>ABM</x:v>
      </x:c>
      <x:c r="U1185" s="12" t="str"/>
      <x:c r="V1185" s="12" t="str"/>
      <x:c r="W1185" s="12" t="str"/>
      <x:c r="X1185" s="12" t="str">
        <x:v>STRL44</x:v>
      </x:c>
      <x:c r="Y1185" s="12" t="str">
        <x:v>FANGKI &amp; ACUNG</x:v>
      </x:c>
      <x:c r="Z1185" s="12" t="str">
        <x:v>PIT</x:v>
      </x:c>
      <x:c r="AA1185" s="32" t="n">
        <x:f>IFERROR(VLOOKUP(G1185,Master_Unit!$A$2:$N$78,7,FALSE),"")</x:f>
        <x:v>20</x:v>
      </x:c>
      <x:c r="AB1185" s="32" t="n">
        <x:f>IF(OR(N1185="",AA1185=""),"",N1185-AA1185)</x:f>
        <x:v>0.8000000000000007</x:v>
      </x:c>
      <x:c r="AC1185" s="20" t="n">
        <x:f>IF(OR(N1185="",AA1185="",AA1185=0),"",AB1185/AA1185)</x:f>
        <x:v>0.040000000000000036</x:v>
      </x:c>
      <x:c r="AD1185" t="str">
        <x:f>IF(AA1185="","NO STANDARD",IF(AC1185&lt;=Config_Status!$B$2,"EFFICIENT",IF(AC1185&lt;=Config_Status!$B$3,"NORMAL",IF(AC1185&lt;=Config_Status!$B$4,"WARNING","OVER CONSUMPTION"))))</x:f>
        <x:v>NORMAL</x:v>
      </x:c>
      <x:c r="AE1185" t="str">
        <x:f>IFERROR(VLOOKUP(G1185,Master_Unit!$A$2:$N$78,13,FALSE),"UNIT NOT FOUND")</x:f>
        <x:v>Matched</x:v>
      </x:c>
    </x:row>
    <x:row r="1186">
      <x:c r="A1186" s="12" t="str">
        <x:v>FU-20260617-01185</x:v>
      </x:c>
      <x:c r="B1186" s="12" t="n">
        <x:v>1315</x:v>
      </x:c>
      <x:c r="C1186" s="14" t="n">
        <x:v>46190</x:v>
      </x:c>
      <x:c r="D1186" s="12" t="str">
        <x:v>Rabu</x:v>
      </x:c>
      <x:c r="E1186" s="12" t="str">
        <x:v>20:01:00</x:v>
      </x:c>
      <x:c r="F1186" s="12" t="str">
        <x:v>All Shift Night</x:v>
      </x:c>
      <x:c r="G1186" s="12" t="str">
        <x:v>STRL44G144</x:v>
      </x:c>
      <x:c r="H1186" s="12" t="str">
        <x:v>Dump Truck</x:v>
      </x:c>
      <x:c r="I1186" s="12" t="str">
        <x:v>DUMP TRUCK RENAULT KRANGE440-P6X4 A/T</x:v>
      </x:c>
      <x:c r="J1186" s="16" t="n">
        <x:v>124</x:v>
      </x:c>
      <x:c r="K1186" s="16" t="n">
        <x:v>1616</x:v>
      </x:c>
      <x:c r="L1186" s="16" t="n">
        <x:v>1621</x:v>
      </x:c>
      <x:c r="M1186" s="16" t="n">
        <x:v>5</x:v>
      </x:c>
      <x:c r="N1186" s="16" t="n">
        <x:v>24.8</x:v>
      </x:c>
      <x:c r="O1186" s="12" t="str">
        <x:v>FTRL44G005</x:v>
      </x:c>
      <x:c r="P1186" s="12" t="str">
        <x:v>STRL44G144</x:v>
      </x:c>
      <x:c r="Q1186" s="12" t="str"/>
      <x:c r="R1186" s="12" t="str"/>
      <x:c r="S1186" s="12" t="str"/>
      <x:c r="T1186" s="12" t="str">
        <x:v>ABM</x:v>
      </x:c>
      <x:c r="U1186" s="12" t="str"/>
      <x:c r="V1186" s="12" t="str"/>
      <x:c r="W1186" s="12" t="str"/>
      <x:c r="X1186" s="12" t="str">
        <x:v>STRL44</x:v>
      </x:c>
      <x:c r="Y1186" s="12" t="str">
        <x:v>ANDI &amp; ANGGI</x:v>
      </x:c>
      <x:c r="Z1186" s="12" t="str">
        <x:v>PIT</x:v>
      </x:c>
      <x:c r="AA1186" s="32" t="n">
        <x:f>IFERROR(VLOOKUP(G1186,Master_Unit!$A$2:$N$78,7,FALSE),"")</x:f>
        <x:v>20</x:v>
      </x:c>
      <x:c r="AB1186" s="32" t="n">
        <x:f>IF(OR(N1186="",AA1186=""),"",N1186-AA1186)</x:f>
        <x:v>4.800000000000001</x:v>
      </x:c>
      <x:c r="AC1186" s="20" t="n">
        <x:f>IF(OR(N1186="",AA1186="",AA1186=0),"",AB1186/AA1186)</x:f>
        <x:v>0.24000000000000005</x:v>
      </x:c>
      <x:c r="AD1186" t="str">
        <x:f>IF(AA1186="","NO STANDARD",IF(AC1186&lt;=Config_Status!$B$2,"EFFICIENT",IF(AC1186&lt;=Config_Status!$B$3,"NORMAL",IF(AC1186&lt;=Config_Status!$B$4,"WARNING","OVER CONSUMPTION"))))</x:f>
        <x:v>OVER CONSUMPTION</x:v>
      </x:c>
      <x:c r="AE1186" t="str">
        <x:f>IFERROR(VLOOKUP(G1186,Master_Unit!$A$2:$N$78,13,FALSE),"UNIT NOT FOUND")</x:f>
        <x:v>Matched</x:v>
      </x:c>
    </x:row>
    <x:row r="1187">
      <x:c r="A1187" s="12" t="str">
        <x:v>FU-20260617-01186</x:v>
      </x:c>
      <x:c r="B1187" s="12" t="n">
        <x:v>1316</x:v>
      </x:c>
      <x:c r="C1187" s="14" t="n">
        <x:v>46190</x:v>
      </x:c>
      <x:c r="D1187" s="12" t="str">
        <x:v>Rabu</x:v>
      </x:c>
      <x:c r="E1187" s="12" t="str">
        <x:v>20:10:00</x:v>
      </x:c>
      <x:c r="F1187" s="12" t="str">
        <x:v>All Shift Night</x:v>
      </x:c>
      <x:c r="G1187" s="12" t="str">
        <x:v>STRL44G143</x:v>
      </x:c>
      <x:c r="H1187" s="12" t="str">
        <x:v>Dump Truck</x:v>
      </x:c>
      <x:c r="I1187" s="12" t="str">
        <x:v>DUMP TRUCK RENAULT KRANGE440-P6X4 A/T</x:v>
      </x:c>
      <x:c r="J1187" s="16" t="n">
        <x:v>160</x:v>
      </x:c>
      <x:c r="K1187" s="16" t="n">
        <x:v>5329</x:v>
      </x:c>
      <x:c r="L1187" s="16" t="n">
        <x:v>5333</x:v>
      </x:c>
      <x:c r="M1187" s="16" t="n">
        <x:v>4</x:v>
      </x:c>
      <x:c r="N1187" s="16" t="n">
        <x:v>40</x:v>
      </x:c>
      <x:c r="O1187" s="12" t="str">
        <x:v>FTRL44G005</x:v>
      </x:c>
      <x:c r="P1187" s="12" t="str">
        <x:v>STRL44G143</x:v>
      </x:c>
      <x:c r="Q1187" s="12" t="str"/>
      <x:c r="R1187" s="12" t="str"/>
      <x:c r="S1187" s="12" t="str"/>
      <x:c r="T1187" s="12" t="str">
        <x:v>ABM</x:v>
      </x:c>
      <x:c r="U1187" s="12" t="str"/>
      <x:c r="V1187" s="12" t="str"/>
      <x:c r="W1187" s="12" t="str"/>
      <x:c r="X1187" s="12" t="str">
        <x:v>STRL44</x:v>
      </x:c>
      <x:c r="Y1187" s="12" t="str">
        <x:v>ANDI &amp; ANGGI</x:v>
      </x:c>
      <x:c r="Z1187" s="12" t="str">
        <x:v>SUPPORT</x:v>
      </x:c>
      <x:c r="AA1187" s="32" t="n">
        <x:f>IFERROR(VLOOKUP(G1187,Master_Unit!$A$2:$N$78,7,FALSE),"")</x:f>
        <x:v>20</x:v>
      </x:c>
      <x:c r="AB1187" s="32" t="n">
        <x:f>IF(OR(N1187="",AA1187=""),"",N1187-AA1187)</x:f>
        <x:v>20</x:v>
      </x:c>
      <x:c r="AC1187" s="20" t="n">
        <x:f>IF(OR(N1187="",AA1187="",AA1187=0),"",AB1187/AA1187)</x:f>
        <x:v>1</x:v>
      </x:c>
      <x:c r="AD1187" t="str">
        <x:f>IF(AA1187="","NO STANDARD",IF(AC1187&lt;=Config_Status!$B$2,"EFFICIENT",IF(AC1187&lt;=Config_Status!$B$3,"NORMAL",IF(AC1187&lt;=Config_Status!$B$4,"WARNING","OVER CONSUMPTION"))))</x:f>
        <x:v>OVER CONSUMPTION</x:v>
      </x:c>
      <x:c r="AE1187" t="str">
        <x:f>IFERROR(VLOOKUP(G1187,Master_Unit!$A$2:$N$78,13,FALSE),"UNIT NOT FOUND")</x:f>
        <x:v>Matched</x:v>
      </x:c>
    </x:row>
    <x:row r="1188">
      <x:c r="A1188" s="12" t="str">
        <x:v>FU-20260617-01187</x:v>
      </x:c>
      <x:c r="B1188" s="12" t="n">
        <x:v>1317</x:v>
      </x:c>
      <x:c r="C1188" s="14" t="n">
        <x:v>46190</x:v>
      </x:c>
      <x:c r="D1188" s="12" t="str">
        <x:v>Rabu</x:v>
      </x:c>
      <x:c r="E1188" s="12" t="str">
        <x:v>20:20:00</x:v>
      </x:c>
      <x:c r="F1188" s="12" t="str">
        <x:v>All Shift Night</x:v>
      </x:c>
      <x:c r="G1188" s="12" t="str">
        <x:v>STRL44G149</x:v>
      </x:c>
      <x:c r="H1188" s="12" t="str">
        <x:v>Dump Truck</x:v>
      </x:c>
      <x:c r="I1188" s="12" t="str">
        <x:v>DUMP TRUCK RENAULT KRANGE440-P6X4 A/T</x:v>
      </x:c>
      <x:c r="J1188" s="16" t="n">
        <x:v>174</x:v>
      </x:c>
      <x:c r="K1188" s="16" t="n">
        <x:v>4386</x:v>
      </x:c>
      <x:c r="L1188" s="16" t="n">
        <x:v>4391</x:v>
      </x:c>
      <x:c r="M1188" s="16" t="n">
        <x:v>5</x:v>
      </x:c>
      <x:c r="N1188" s="16" t="n">
        <x:v>34.8</x:v>
      </x:c>
      <x:c r="O1188" s="12" t="str">
        <x:v>FTRL44G005</x:v>
      </x:c>
      <x:c r="P1188" s="12" t="str">
        <x:v>STRL44G149</x:v>
      </x:c>
      <x:c r="Q1188" s="12" t="str"/>
      <x:c r="R1188" s="12" t="str"/>
      <x:c r="S1188" s="12" t="str"/>
      <x:c r="T1188" s="12" t="str">
        <x:v>ABM</x:v>
      </x:c>
      <x:c r="U1188" s="12" t="str"/>
      <x:c r="V1188" s="12" t="str"/>
      <x:c r="W1188" s="12" t="str"/>
      <x:c r="X1188" s="12" t="str">
        <x:v>STRL44</x:v>
      </x:c>
      <x:c r="Y1188" s="12" t="str">
        <x:v>ANDI &amp; ANGGI</x:v>
      </x:c>
      <x:c r="Z1188" s="12" t="str">
        <x:v>PIT</x:v>
      </x:c>
      <x:c r="AA1188" s="32" t="n">
        <x:f>IFERROR(VLOOKUP(G1188,Master_Unit!$A$2:$N$78,7,FALSE),"")</x:f>
        <x:v>20</x:v>
      </x:c>
      <x:c r="AB1188" s="32" t="n">
        <x:f>IF(OR(N1188="",AA1188=""),"",N1188-AA1188)</x:f>
        <x:v>14.799999999999997</x:v>
      </x:c>
      <x:c r="AC1188" s="20" t="n">
        <x:f>IF(OR(N1188="",AA1188="",AA1188=0),"",AB1188/AA1188)</x:f>
        <x:v>0.7399999999999999</x:v>
      </x:c>
      <x:c r="AD1188" t="str">
        <x:f>IF(AA1188="","NO STANDARD",IF(AC1188&lt;=Config_Status!$B$2,"EFFICIENT",IF(AC1188&lt;=Config_Status!$B$3,"NORMAL",IF(AC1188&lt;=Config_Status!$B$4,"WARNING","OVER CONSUMPTION"))))</x:f>
        <x:v>OVER CONSUMPTION</x:v>
      </x:c>
      <x:c r="AE1188" t="str">
        <x:f>IFERROR(VLOOKUP(G1188,Master_Unit!$A$2:$N$78,13,FALSE),"UNIT NOT FOUND")</x:f>
        <x:v>Matched</x:v>
      </x:c>
    </x:row>
    <x:row r="1189">
      <x:c r="A1189" s="12" t="str">
        <x:v>FU-20260617-01188</x:v>
      </x:c>
      <x:c r="B1189" s="12" t="n">
        <x:v>1318</x:v>
      </x:c>
      <x:c r="C1189" s="14" t="n">
        <x:v>46190</x:v>
      </x:c>
      <x:c r="D1189" s="12" t="str">
        <x:v>Rabu</x:v>
      </x:c>
      <x:c r="E1189" s="12" t="str">
        <x:v>20:27:00</x:v>
      </x:c>
      <x:c r="F1189" s="12" t="str">
        <x:v>All Shift Night</x:v>
      </x:c>
      <x:c r="G1189" s="12" t="str">
        <x:v>STRL44G155</x:v>
      </x:c>
      <x:c r="H1189" s="12" t="str">
        <x:v>Dump Truck</x:v>
      </x:c>
      <x:c r="I1189" s="12" t="str">
        <x:v>DUMP TRUCK RENAULT KRANGE440-P6X4 A/T</x:v>
      </x:c>
      <x:c r="J1189" s="16" t="n">
        <x:v>125</x:v>
      </x:c>
      <x:c r="K1189" s="16" t="n">
        <x:v>4055</x:v>
      </x:c>
      <x:c r="L1189" s="16" t="n">
        <x:v>4060</x:v>
      </x:c>
      <x:c r="M1189" s="16" t="n">
        <x:v>5</x:v>
      </x:c>
      <x:c r="N1189" s="16" t="n">
        <x:v>25</x:v>
      </x:c>
      <x:c r="O1189" s="12" t="str">
        <x:v>FTRL44G005</x:v>
      </x:c>
      <x:c r="P1189" s="12" t="str">
        <x:v>STRL44G155</x:v>
      </x:c>
      <x:c r="Q1189" s="12" t="str"/>
      <x:c r="R1189" s="12" t="str"/>
      <x:c r="S1189" s="12" t="str"/>
      <x:c r="T1189" s="12" t="str">
        <x:v>ABM</x:v>
      </x:c>
      <x:c r="U1189" s="12" t="str"/>
      <x:c r="V1189" s="12" t="str"/>
      <x:c r="W1189" s="12" t="str"/>
      <x:c r="X1189" s="12" t="str">
        <x:v>STRL44</x:v>
      </x:c>
      <x:c r="Y1189" s="12" t="str">
        <x:v>ANDI &amp; ANGGI</x:v>
      </x:c>
      <x:c r="Z1189" s="12" t="str">
        <x:v>PIT</x:v>
      </x:c>
      <x:c r="AA1189" s="32" t="n">
        <x:f>IFERROR(VLOOKUP(G1189,Master_Unit!$A$2:$N$78,7,FALSE),"")</x:f>
        <x:v>20</x:v>
      </x:c>
      <x:c r="AB1189" s="32" t="n">
        <x:f>IF(OR(N1189="",AA1189=""),"",N1189-AA1189)</x:f>
        <x:v>5</x:v>
      </x:c>
      <x:c r="AC1189" s="20" t="n">
        <x:f>IF(OR(N1189="",AA1189="",AA1189=0),"",AB1189/AA1189)</x:f>
        <x:v>0.25</x:v>
      </x:c>
      <x:c r="AD1189" t="str">
        <x:f>IF(AA1189="","NO STANDARD",IF(AC1189&lt;=Config_Status!$B$2,"EFFICIENT",IF(AC1189&lt;=Config_Status!$B$3,"NORMAL",IF(AC1189&lt;=Config_Status!$B$4,"WARNING","OVER CONSUMPTION"))))</x:f>
        <x:v>OVER CONSUMPTION</x:v>
      </x:c>
      <x:c r="AE1189" t="str">
        <x:f>IFERROR(VLOOKUP(G1189,Master_Unit!$A$2:$N$78,13,FALSE),"UNIT NOT FOUND")</x:f>
        <x:v>Matched</x:v>
      </x:c>
    </x:row>
    <x:row r="1190">
      <x:c r="A1190" s="12" t="str">
        <x:v>FU-20260617-01189</x:v>
      </x:c>
      <x:c r="B1190" s="12" t="n">
        <x:v>1319</x:v>
      </x:c>
      <x:c r="C1190" s="14" t="n">
        <x:v>46190</x:v>
      </x:c>
      <x:c r="D1190" s="12" t="str">
        <x:v>Rabu</x:v>
      </x:c>
      <x:c r="E1190" s="12" t="str">
        <x:v>20:29:00</x:v>
      </x:c>
      <x:c r="F1190" s="12" t="str">
        <x:v>All Shift Night</x:v>
      </x:c>
      <x:c r="G1190" s="12" t="str">
        <x:v>STRL44G154</x:v>
      </x:c>
      <x:c r="H1190" s="12" t="str">
        <x:v>Dump Truck</x:v>
      </x:c>
      <x:c r="I1190" s="12" t="str">
        <x:v>DUMP TRUCK RENAULT KRANGE440-P6X4 A/T</x:v>
      </x:c>
      <x:c r="J1190" s="16" t="n">
        <x:v>174</x:v>
      </x:c>
      <x:c r="K1190" s="16" t="n">
        <x:v>4182</x:v>
      </x:c>
      <x:c r="L1190" s="16" t="n">
        <x:v>4187</x:v>
      </x:c>
      <x:c r="M1190" s="16" t="n">
        <x:v>5</x:v>
      </x:c>
      <x:c r="N1190" s="16" t="n">
        <x:v>34.8</x:v>
      </x:c>
      <x:c r="O1190" s="12" t="str">
        <x:v>FTRL44G005</x:v>
      </x:c>
      <x:c r="P1190" s="12" t="str">
        <x:v>STRL44G154</x:v>
      </x:c>
      <x:c r="Q1190" s="12" t="str"/>
      <x:c r="R1190" s="12" t="str"/>
      <x:c r="S1190" s="12" t="str"/>
      <x:c r="T1190" s="12" t="str">
        <x:v>ABM</x:v>
      </x:c>
      <x:c r="U1190" s="12" t="str"/>
      <x:c r="V1190" s="12" t="str"/>
      <x:c r="W1190" s="12" t="str"/>
      <x:c r="X1190" s="12" t="str">
        <x:v>STRL44</x:v>
      </x:c>
      <x:c r="Y1190" s="12" t="str">
        <x:v>ANDI &amp; ANGGI</x:v>
      </x:c>
      <x:c r="Z1190" s="12" t="str">
        <x:v>SUPPORT</x:v>
      </x:c>
      <x:c r="AA1190" s="32" t="n">
        <x:f>IFERROR(VLOOKUP(G1190,Master_Unit!$A$2:$N$78,7,FALSE),"")</x:f>
        <x:v>20</x:v>
      </x:c>
      <x:c r="AB1190" s="32" t="n">
        <x:f>IF(OR(N1190="",AA1190=""),"",N1190-AA1190)</x:f>
        <x:v>14.799999999999997</x:v>
      </x:c>
      <x:c r="AC1190" s="20" t="n">
        <x:f>IF(OR(N1190="",AA1190="",AA1190=0),"",AB1190/AA1190)</x:f>
        <x:v>0.7399999999999999</x:v>
      </x:c>
      <x:c r="AD1190" t="str">
        <x:f>IF(AA1190="","NO STANDARD",IF(AC1190&lt;=Config_Status!$B$2,"EFFICIENT",IF(AC1190&lt;=Config_Status!$B$3,"NORMAL",IF(AC1190&lt;=Config_Status!$B$4,"WARNING","OVER CONSUMPTION"))))</x:f>
        <x:v>OVER CONSUMPTION</x:v>
      </x:c>
      <x:c r="AE1190" t="str">
        <x:f>IFERROR(VLOOKUP(G1190,Master_Unit!$A$2:$N$78,13,FALSE),"UNIT NOT FOUND")</x:f>
        <x:v>Matched</x:v>
      </x:c>
    </x:row>
    <x:row r="1191">
      <x:c r="A1191" s="12" t="str">
        <x:v>FU-20260617-01190</x:v>
      </x:c>
      <x:c r="B1191" s="12" t="n">
        <x:v>1320</x:v>
      </x:c>
      <x:c r="C1191" s="14" t="n">
        <x:v>46190</x:v>
      </x:c>
      <x:c r="D1191" s="12" t="str">
        <x:v>Rabu</x:v>
      </x:c>
      <x:c r="E1191" s="12" t="str">
        <x:v>20:34:00</x:v>
      </x:c>
      <x:c r="F1191" s="12" t="str">
        <x:v>All Shift Night</x:v>
      </x:c>
      <x:c r="G1191" s="12" t="str">
        <x:v>STRL44G153</x:v>
      </x:c>
      <x:c r="H1191" s="12" t="str">
        <x:v>Dump Truck</x:v>
      </x:c>
      <x:c r="I1191" s="12" t="str">
        <x:v>DUMP TRUCK RENAULT KRANGE440-P6X4 A/T</x:v>
      </x:c>
      <x:c r="J1191" s="16" t="n">
        <x:v>152</x:v>
      </x:c>
      <x:c r="K1191" s="16" t="n">
        <x:v>4065</x:v>
      </x:c>
      <x:c r="L1191" s="16" t="n">
        <x:v>4069</x:v>
      </x:c>
      <x:c r="M1191" s="16" t="n">
        <x:v>4</x:v>
      </x:c>
      <x:c r="N1191" s="16" t="n">
        <x:v>38</x:v>
      </x:c>
      <x:c r="O1191" s="12" t="str">
        <x:v>FTRL44G005</x:v>
      </x:c>
      <x:c r="P1191" s="12" t="str">
        <x:v>STRL44G153</x:v>
      </x:c>
      <x:c r="Q1191" s="12" t="str"/>
      <x:c r="R1191" s="12" t="str"/>
      <x:c r="S1191" s="12" t="str"/>
      <x:c r="T1191" s="12" t="str">
        <x:v>ABM</x:v>
      </x:c>
      <x:c r="U1191" s="12" t="str"/>
      <x:c r="V1191" s="12" t="str"/>
      <x:c r="W1191" s="12" t="str"/>
      <x:c r="X1191" s="12" t="str">
        <x:v>STRL44</x:v>
      </x:c>
      <x:c r="Y1191" s="12" t="str">
        <x:v>ANDI &amp; ANGGI</x:v>
      </x:c>
      <x:c r="Z1191" s="12" t="str">
        <x:v>SUPPORT</x:v>
      </x:c>
      <x:c r="AA1191" s="32" t="n">
        <x:f>IFERROR(VLOOKUP(G1191,Master_Unit!$A$2:$N$78,7,FALSE),"")</x:f>
        <x:v>20</x:v>
      </x:c>
      <x:c r="AB1191" s="32" t="n">
        <x:f>IF(OR(N1191="",AA1191=""),"",N1191-AA1191)</x:f>
        <x:v>18</x:v>
      </x:c>
      <x:c r="AC1191" s="20" t="n">
        <x:f>IF(OR(N1191="",AA1191="",AA1191=0),"",AB1191/AA1191)</x:f>
        <x:v>0.9</x:v>
      </x:c>
      <x:c r="AD1191" t="str">
        <x:f>IF(AA1191="","NO STANDARD",IF(AC1191&lt;=Config_Status!$B$2,"EFFICIENT",IF(AC1191&lt;=Config_Status!$B$3,"NORMAL",IF(AC1191&lt;=Config_Status!$B$4,"WARNING","OVER CONSUMPTION"))))</x:f>
        <x:v>OVER CONSUMPTION</x:v>
      </x:c>
      <x:c r="AE1191" t="str">
        <x:f>IFERROR(VLOOKUP(G1191,Master_Unit!$A$2:$N$78,13,FALSE),"UNIT NOT FOUND")</x:f>
        <x:v>Matched</x:v>
      </x:c>
    </x:row>
    <x:row r="1192">
      <x:c r="A1192" s="12" t="str">
        <x:v>FU-20260617-01191</x:v>
      </x:c>
      <x:c r="B1192" s="12" t="n">
        <x:v>1321</x:v>
      </x:c>
      <x:c r="C1192" s="14" t="n">
        <x:v>46190</x:v>
      </x:c>
      <x:c r="D1192" s="12" t="str">
        <x:v>Rabu</x:v>
      </x:c>
      <x:c r="E1192" s="12" t="str">
        <x:v>20:38:00</x:v>
      </x:c>
      <x:c r="F1192" s="12" t="str">
        <x:v>All Shift Night</x:v>
      </x:c>
      <x:c r="G1192" s="12" t="str">
        <x:v>STRL44G147</x:v>
      </x:c>
      <x:c r="H1192" s="12" t="str">
        <x:v>Dump Truck</x:v>
      </x:c>
      <x:c r="I1192" s="12" t="str">
        <x:v>DUMP TRUCK RENAULT KRANGE440-P6X4 A/T</x:v>
      </x:c>
      <x:c r="J1192" s="16" t="n">
        <x:v>174</x:v>
      </x:c>
      <x:c r="K1192" s="16" t="n">
        <x:v>5106</x:v>
      </x:c>
      <x:c r="L1192" s="16" t="n">
        <x:v>5112</x:v>
      </x:c>
      <x:c r="M1192" s="16" t="n">
        <x:v>6</x:v>
      </x:c>
      <x:c r="N1192" s="16" t="n">
        <x:v>29</x:v>
      </x:c>
      <x:c r="O1192" s="12" t="str">
        <x:v>FTRL44G005</x:v>
      </x:c>
      <x:c r="P1192" s="12" t="str">
        <x:v>STRL44G147</x:v>
      </x:c>
      <x:c r="Q1192" s="12" t="str"/>
      <x:c r="R1192" s="12" t="str"/>
      <x:c r="S1192" s="12" t="str"/>
      <x:c r="T1192" s="12" t="str">
        <x:v>ABM</x:v>
      </x:c>
      <x:c r="U1192" s="12" t="str"/>
      <x:c r="V1192" s="12" t="str"/>
      <x:c r="W1192" s="12" t="str"/>
      <x:c r="X1192" s="12" t="str">
        <x:v>STRL44</x:v>
      </x:c>
      <x:c r="Y1192" s="12" t="str">
        <x:v>ANDI &amp; ANGGI</x:v>
      </x:c>
      <x:c r="Z1192" s="12" t="str">
        <x:v>SUPPORT</x:v>
      </x:c>
      <x:c r="AA1192" s="32" t="n">
        <x:f>IFERROR(VLOOKUP(G1192,Master_Unit!$A$2:$N$78,7,FALSE),"")</x:f>
        <x:v>20</x:v>
      </x:c>
      <x:c r="AB1192" s="32" t="n">
        <x:f>IF(OR(N1192="",AA1192=""),"",N1192-AA1192)</x:f>
        <x:v>9</x:v>
      </x:c>
      <x:c r="AC1192" s="20" t="n">
        <x:f>IF(OR(N1192="",AA1192="",AA1192=0),"",AB1192/AA1192)</x:f>
        <x:v>0.45</x:v>
      </x:c>
      <x:c r="AD1192" t="str">
        <x:f>IF(AA1192="","NO STANDARD",IF(AC1192&lt;=Config_Status!$B$2,"EFFICIENT",IF(AC1192&lt;=Config_Status!$B$3,"NORMAL",IF(AC1192&lt;=Config_Status!$B$4,"WARNING","OVER CONSUMPTION"))))</x:f>
        <x:v>OVER CONSUMPTION</x:v>
      </x:c>
      <x:c r="AE1192" t="str">
        <x:f>IFERROR(VLOOKUP(G1192,Master_Unit!$A$2:$N$78,13,FALSE),"UNIT NOT FOUND")</x:f>
        <x:v>Matched</x:v>
      </x:c>
    </x:row>
    <x:row r="1193">
      <x:c r="A1193" s="12" t="str">
        <x:v>FU-20260617-01192</x:v>
      </x:c>
      <x:c r="B1193" s="12" t="n">
        <x:v>1322</x:v>
      </x:c>
      <x:c r="C1193" s="14" t="n">
        <x:v>46190</x:v>
      </x:c>
      <x:c r="D1193" s="12" t="str">
        <x:v>Rabu</x:v>
      </x:c>
      <x:c r="E1193" s="12" t="str">
        <x:v>20:51:00</x:v>
      </x:c>
      <x:c r="F1193" s="12" t="str">
        <x:v>All Shift Night</x:v>
      </x:c>
      <x:c r="G1193" s="12" t="str">
        <x:v>STRL44G146</x:v>
      </x:c>
      <x:c r="H1193" s="12" t="str">
        <x:v>Dump Truck</x:v>
      </x:c>
      <x:c r="I1193" s="12" t="str">
        <x:v>DUMP TRUCK RENAULT KRANGE440-P6X4 A/T</x:v>
      </x:c>
      <x:c r="J1193" s="16" t="n">
        <x:v>174</x:v>
      </x:c>
      <x:c r="K1193" s="16" t="n">
        <x:v>5028</x:v>
      </x:c>
      <x:c r="L1193" s="16" t="n">
        <x:v>5034</x:v>
      </x:c>
      <x:c r="M1193" s="16" t="n">
        <x:v>6</x:v>
      </x:c>
      <x:c r="N1193" s="16" t="n">
        <x:v>29</x:v>
      </x:c>
      <x:c r="O1193" s="12" t="str">
        <x:v>FTRL44G005</x:v>
      </x:c>
      <x:c r="P1193" s="12" t="str">
        <x:v>STRL44G146</x:v>
      </x:c>
      <x:c r="Q1193" s="12" t="str"/>
      <x:c r="R1193" s="12" t="str"/>
      <x:c r="S1193" s="12" t="str"/>
      <x:c r="T1193" s="12" t="str">
        <x:v>ABM</x:v>
      </x:c>
      <x:c r="U1193" s="12" t="str"/>
      <x:c r="V1193" s="12" t="str"/>
      <x:c r="W1193" s="12" t="str"/>
      <x:c r="X1193" s="12" t="str">
        <x:v>STRL44</x:v>
      </x:c>
      <x:c r="Y1193" s="12" t="str">
        <x:v>ANDI &amp; ANGGI</x:v>
      </x:c>
      <x:c r="Z1193" s="12" t="str">
        <x:v>SUPPORT</x:v>
      </x:c>
      <x:c r="AA1193" s="32" t="n">
        <x:f>IFERROR(VLOOKUP(G1193,Master_Unit!$A$2:$N$78,7,FALSE),"")</x:f>
        <x:v>20</x:v>
      </x:c>
      <x:c r="AB1193" s="32" t="n">
        <x:f>IF(OR(N1193="",AA1193=""),"",N1193-AA1193)</x:f>
        <x:v>9</x:v>
      </x:c>
      <x:c r="AC1193" s="20" t="n">
        <x:f>IF(OR(N1193="",AA1193="",AA1193=0),"",AB1193/AA1193)</x:f>
        <x:v>0.45</x:v>
      </x:c>
      <x:c r="AD1193" t="str">
        <x:f>IF(AA1193="","NO STANDARD",IF(AC1193&lt;=Config_Status!$B$2,"EFFICIENT",IF(AC1193&lt;=Config_Status!$B$3,"NORMAL",IF(AC1193&lt;=Config_Status!$B$4,"WARNING","OVER CONSUMPTION"))))</x:f>
        <x:v>OVER CONSUMPTION</x:v>
      </x:c>
      <x:c r="AE1193" t="str">
        <x:f>IFERROR(VLOOKUP(G1193,Master_Unit!$A$2:$N$78,13,FALSE),"UNIT NOT FOUND")</x:f>
        <x:v>Matched</x:v>
      </x:c>
    </x:row>
    <x:row r="1194">
      <x:c r="A1194" s="12" t="str">
        <x:v>FU-20260617-01193</x:v>
      </x:c>
      <x:c r="B1194" s="12" t="n">
        <x:v>1323</x:v>
      </x:c>
      <x:c r="C1194" s="14" t="n">
        <x:v>46190</x:v>
      </x:c>
      <x:c r="D1194" s="12" t="str">
        <x:v>Rabu</x:v>
      </x:c>
      <x:c r="E1194" s="12" t="str">
        <x:v>21:00:00</x:v>
      </x:c>
      <x:c r="F1194" s="12" t="str">
        <x:v>All Shift Night</x:v>
      </x:c>
      <x:c r="G1194" s="12" t="str">
        <x:v>STRL44G145</x:v>
      </x:c>
      <x:c r="H1194" s="12" t="str">
        <x:v>Dump Truck</x:v>
      </x:c>
      <x:c r="I1194" s="12" t="str">
        <x:v>DUMP TRUCK RENAULT KRANGE440-P6X4 A/T</x:v>
      </x:c>
      <x:c r="J1194" s="16" t="n">
        <x:v>174</x:v>
      </x:c>
      <x:c r="K1194" s="16" t="n">
        <x:v>5039</x:v>
      </x:c>
      <x:c r="L1194" s="16" t="n">
        <x:v>5044</x:v>
      </x:c>
      <x:c r="M1194" s="16" t="n">
        <x:v>5</x:v>
      </x:c>
      <x:c r="N1194" s="16" t="n">
        <x:v>34.8</x:v>
      </x:c>
      <x:c r="O1194" s="12" t="str">
        <x:v>FTRL44G005</x:v>
      </x:c>
      <x:c r="P1194" s="12" t="str">
        <x:v>STRL44G145</x:v>
      </x:c>
      <x:c r="Q1194" s="12" t="str"/>
      <x:c r="R1194" s="12" t="str"/>
      <x:c r="S1194" s="12" t="str"/>
      <x:c r="T1194" s="12" t="str">
        <x:v>ABM</x:v>
      </x:c>
      <x:c r="U1194" s="12" t="str"/>
      <x:c r="V1194" s="12" t="str"/>
      <x:c r="W1194" s="12" t="str"/>
      <x:c r="X1194" s="12" t="str">
        <x:v>STRL44</x:v>
      </x:c>
      <x:c r="Y1194" s="12" t="str">
        <x:v>ANDI &amp; ANGGI</x:v>
      </x:c>
      <x:c r="Z1194" s="12" t="str">
        <x:v>SUPPORT</x:v>
      </x:c>
      <x:c r="AA1194" s="32" t="n">
        <x:f>IFERROR(VLOOKUP(G1194,Master_Unit!$A$2:$N$78,7,FALSE),"")</x:f>
        <x:v>20</x:v>
      </x:c>
      <x:c r="AB1194" s="32" t="n">
        <x:f>IF(OR(N1194="",AA1194=""),"",N1194-AA1194)</x:f>
        <x:v>14.799999999999997</x:v>
      </x:c>
      <x:c r="AC1194" s="20" t="n">
        <x:f>IF(OR(N1194="",AA1194="",AA1194=0),"",AB1194/AA1194)</x:f>
        <x:v>0.7399999999999999</x:v>
      </x:c>
      <x:c r="AD1194" t="str">
        <x:f>IF(AA1194="","NO STANDARD",IF(AC1194&lt;=Config_Status!$B$2,"EFFICIENT",IF(AC1194&lt;=Config_Status!$B$3,"NORMAL",IF(AC1194&lt;=Config_Status!$B$4,"WARNING","OVER CONSUMPTION"))))</x:f>
        <x:v>OVER CONSUMPTION</x:v>
      </x:c>
      <x:c r="AE1194" t="str">
        <x:f>IFERROR(VLOOKUP(G1194,Master_Unit!$A$2:$N$78,13,FALSE),"UNIT NOT FOUND")</x:f>
        <x:v>Matched</x:v>
      </x:c>
    </x:row>
    <x:row r="1195">
      <x:c r="A1195" s="12" t="str">
        <x:v>FU-20260617-01194</x:v>
      </x:c>
      <x:c r="B1195" s="12" t="n">
        <x:v>1324</x:v>
      </x:c>
      <x:c r="C1195" s="14" t="n">
        <x:v>46190</x:v>
      </x:c>
      <x:c r="D1195" s="12" t="str">
        <x:v>Rabu</x:v>
      </x:c>
      <x:c r="E1195" s="12" t="str">
        <x:v>21:03:00</x:v>
      </x:c>
      <x:c r="F1195" s="12" t="str">
        <x:v>All Shift Night</x:v>
      </x:c>
      <x:c r="G1195" s="12" t="str">
        <x:v>STRL44G157</x:v>
      </x:c>
      <x:c r="H1195" s="12" t="str">
        <x:v>Dump Truck</x:v>
      </x:c>
      <x:c r="I1195" s="12" t="str">
        <x:v>DUMP TRUCK RENAULT KRANGE440-P6X4 A/T</x:v>
      </x:c>
      <x:c r="J1195" s="16" t="n">
        <x:v>155</x:v>
      </x:c>
      <x:c r="K1195" s="16" t="n">
        <x:v>4156</x:v>
      </x:c>
      <x:c r="L1195" s="16" t="n">
        <x:v>4161</x:v>
      </x:c>
      <x:c r="M1195" s="16" t="n">
        <x:v>5</x:v>
      </x:c>
      <x:c r="N1195" s="16" t="n">
        <x:v>31</x:v>
      </x:c>
      <x:c r="O1195" s="12" t="str">
        <x:v>FTRL44G005</x:v>
      </x:c>
      <x:c r="P1195" s="12" t="str">
        <x:v>STRL44G157</x:v>
      </x:c>
      <x:c r="Q1195" s="12" t="str"/>
      <x:c r="R1195" s="12" t="str"/>
      <x:c r="S1195" s="12" t="str"/>
      <x:c r="T1195" s="12" t="str">
        <x:v>ABM</x:v>
      </x:c>
      <x:c r="U1195" s="12" t="str"/>
      <x:c r="V1195" s="12" t="str"/>
      <x:c r="W1195" s="12" t="str"/>
      <x:c r="X1195" s="12" t="str">
        <x:v>STRL44</x:v>
      </x:c>
      <x:c r="Y1195" s="12" t="str">
        <x:v>ANDI &amp; ANGGI</x:v>
      </x:c>
      <x:c r="Z1195" s="12" t="str">
        <x:v>SUPPORT</x:v>
      </x:c>
      <x:c r="AA1195" s="32" t="n">
        <x:f>IFERROR(VLOOKUP(G1195,Master_Unit!$A$2:$N$78,7,FALSE),"")</x:f>
        <x:v>20</x:v>
      </x:c>
      <x:c r="AB1195" s="32" t="n">
        <x:f>IF(OR(N1195="",AA1195=""),"",N1195-AA1195)</x:f>
        <x:v>11</x:v>
      </x:c>
      <x:c r="AC1195" s="20" t="n">
        <x:f>IF(OR(N1195="",AA1195="",AA1195=0),"",AB1195/AA1195)</x:f>
        <x:v>0.55</x:v>
      </x:c>
      <x:c r="AD1195" t="str">
        <x:f>IF(AA1195="","NO STANDARD",IF(AC1195&lt;=Config_Status!$B$2,"EFFICIENT",IF(AC1195&lt;=Config_Status!$B$3,"NORMAL",IF(AC1195&lt;=Config_Status!$B$4,"WARNING","OVER CONSUMPTION"))))</x:f>
        <x:v>OVER CONSUMPTION</x:v>
      </x:c>
      <x:c r="AE1195" t="str">
        <x:f>IFERROR(VLOOKUP(G1195,Master_Unit!$A$2:$N$78,13,FALSE),"UNIT NOT FOUND")</x:f>
        <x:v>Matched</x:v>
      </x:c>
    </x:row>
    <x:row r="1196">
      <x:c r="A1196" s="12" t="str">
        <x:v>FU-20260618-01195</x:v>
      </x:c>
      <x:c r="B1196" s="12" t="n">
        <x:v>1325</x:v>
      </x:c>
      <x:c r="C1196" s="14" t="n">
        <x:v>46191</x:v>
      </x:c>
      <x:c r="D1196" s="12" t="str">
        <x:v>Kamis</x:v>
      </x:c>
      <x:c r="E1196" s="12" t="str">
        <x:v>06:42:00</x:v>
      </x:c>
      <x:c r="F1196" s="12" t="str">
        <x:v>All Shift Day</x:v>
      </x:c>
      <x:c r="G1196" s="12" t="str">
        <x:v>GSHT40G002</x:v>
      </x:c>
      <x:c r="H1196" s="12" t="str">
        <x:v>Genset</x:v>
      </x:c>
      <x:c r="I1196" s="12" t="str">
        <x:v>GENSET HARTECH HT-400-V</x:v>
      </x:c>
      <x:c r="J1196" s="16" t="n">
        <x:v>452</x:v>
      </x:c>
      <x:c r="K1196" s="16" t="n">
        <x:v>14746.52</x:v>
      </x:c>
      <x:c r="L1196" s="16" t="n">
        <x:v>14771.12</x:v>
      </x:c>
      <x:c r="M1196" s="16" t="n">
        <x:v>24.600000000000364</x:v>
      </x:c>
      <x:c r="N1196" s="16" t="n">
        <x:v>18.373983739837126</x:v>
      </x:c>
      <x:c r="O1196" s="12" t="str">
        <x:v>FTRL44G004</x:v>
      </x:c>
      <x:c r="P1196" s="12" t="str">
        <x:v>GSHT40G002</x:v>
      </x:c>
      <x:c r="Q1196" s="12" t="str"/>
      <x:c r="R1196" s="12" t="str"/>
      <x:c r="S1196" s="12" t="str"/>
      <x:c r="T1196" s="12" t="str">
        <x:v>ABM</x:v>
      </x:c>
      <x:c r="U1196" s="12" t="str"/>
      <x:c r="V1196" s="12" t="str"/>
      <x:c r="W1196" s="12" t="str"/>
      <x:c r="X1196" s="12" t="str">
        <x:v>GSHT40</x:v>
      </x:c>
      <x:c r="Y1196" s="12" t="str">
        <x:v>BADRI &amp; KAMRAN</x:v>
      </x:c>
      <x:c r="Z1196" s="12" t="str">
        <x:v>SUPPORT</x:v>
      </x:c>
      <x:c r="AA1196" s="32" t="n">
        <x:f>IFERROR(VLOOKUP(G1196,Master_Unit!$A$2:$N$78,7,FALSE),"")</x:f>
        <x:v>25</x:v>
      </x:c>
      <x:c r="AB1196" s="32" t="n">
        <x:f>IF(OR(N1196="",AA1196=""),"",N1196-AA1196)</x:f>
        <x:v>-6.626016260162874</x:v>
      </x:c>
      <x:c r="AC1196" s="20" t="n">
        <x:f>IF(OR(N1196="",AA1196="",AA1196=0),"",AB1196/AA1196)</x:f>
        <x:v>-0.265040650406515</x:v>
      </x:c>
      <x:c r="AD1196" t="str">
        <x:f>IF(AA1196="","NO STANDARD",IF(AC1196&lt;=Config_Status!$B$2,"EFFICIENT",IF(AC1196&lt;=Config_Status!$B$3,"NORMAL",IF(AC1196&lt;=Config_Status!$B$4,"WARNING","OVER CONSUMPTION"))))</x:f>
        <x:v>EFFICIENT</x:v>
      </x:c>
      <x:c r="AE1196" t="str">
        <x:f>IFERROR(VLOOKUP(G1196,Master_Unit!$A$2:$N$78,13,FALSE),"UNIT NOT FOUND")</x:f>
        <x:v>Matched</x:v>
      </x:c>
    </x:row>
    <x:row r="1197">
      <x:c r="A1197" s="12" t="str">
        <x:v>FU-20260618-01196</x:v>
      </x:c>
      <x:c r="B1197" s="12" t="n">
        <x:v>1326</x:v>
      </x:c>
      <x:c r="C1197" s="14" t="n">
        <x:v>46191</x:v>
      </x:c>
      <x:c r="D1197" s="12" t="str">
        <x:v>Kamis</x:v>
      </x:c>
      <x:c r="E1197" s="12" t="str">
        <x:v>06:48:00</x:v>
      </x:c>
      <x:c r="F1197" s="12" t="str">
        <x:v>All Shift Day</x:v>
      </x:c>
      <x:c r="G1197" s="12" t="str">
        <x:v>FTRL44G004</x:v>
      </x:c>
      <x:c r="H1197" s="12" t="str">
        <x:v>Fuel Truck</x:v>
      </x:c>
      <x:c r="I1197" s="12" t="str">
        <x:v>FUEL TRUCK RENAULT KRANGE440-P6X4 A/T</x:v>
      </x:c>
      <x:c r="J1197" s="16" t="n">
        <x:v>79</x:v>
      </x:c>
      <x:c r="K1197" s="16" t="n">
        <x:v>3930</x:v>
      </x:c>
      <x:c r="L1197" s="16" t="n">
        <x:v>3935</x:v>
      </x:c>
      <x:c r="M1197" s="16" t="n">
        <x:v>5</x:v>
      </x:c>
      <x:c r="N1197" s="16" t="n">
        <x:v>15.8</x:v>
      </x:c>
      <x:c r="O1197" s="12" t="str">
        <x:v>FTRL44G004</x:v>
      </x:c>
      <x:c r="P1197" s="12" t="str">
        <x:v>FTRL44G004</x:v>
      </x:c>
      <x:c r="Q1197" s="12" t="str"/>
      <x:c r="R1197" s="12" t="str"/>
      <x:c r="S1197" s="12" t="str"/>
      <x:c r="T1197" s="12" t="str">
        <x:v>ABM</x:v>
      </x:c>
      <x:c r="U1197" s="12" t="str"/>
      <x:c r="V1197" s="12" t="str"/>
      <x:c r="W1197" s="12" t="str"/>
      <x:c r="X1197" s="12" t="str">
        <x:v>FTRL44</x:v>
      </x:c>
      <x:c r="Y1197" s="12" t="str">
        <x:v>BADRI &amp; KAMRAN</x:v>
      </x:c>
      <x:c r="Z1197" s="12" t="str">
        <x:v>PIT</x:v>
      </x:c>
      <x:c r="AA1197" s="32" t="n">
        <x:f>IFERROR(VLOOKUP(G1197,Master_Unit!$A$2:$N$78,7,FALSE),"")</x:f>
        <x:v>13</x:v>
      </x:c>
      <x:c r="AB1197" s="32" t="n">
        <x:f>IF(OR(N1197="",AA1197=""),"",N1197-AA1197)</x:f>
        <x:v>2.8000000000000007</x:v>
      </x:c>
      <x:c r="AC1197" s="20" t="n">
        <x:f>IF(OR(N1197="",AA1197="",AA1197=0),"",AB1197/AA1197)</x:f>
        <x:v>0.21538461538461545</x:v>
      </x:c>
      <x:c r="AD1197" t="str">
        <x:f>IF(AA1197="","NO STANDARD",IF(AC1197&lt;=Config_Status!$B$2,"EFFICIENT",IF(AC1197&lt;=Config_Status!$B$3,"NORMAL",IF(AC1197&lt;=Config_Status!$B$4,"WARNING","OVER CONSUMPTION"))))</x:f>
        <x:v>OVER CONSUMPTION</x:v>
      </x:c>
      <x:c r="AE1197" t="str">
        <x:f>IFERROR(VLOOKUP(G1197,Master_Unit!$A$2:$N$78,13,FALSE),"UNIT NOT FOUND")</x:f>
        <x:v>Matched</x:v>
      </x:c>
    </x:row>
    <x:row r="1198">
      <x:c r="A1198" s="12" t="str">
        <x:v>FU-20260618-01197</x:v>
      </x:c>
      <x:c r="B1198" s="12" t="n">
        <x:v>1327</x:v>
      </x:c>
      <x:c r="C1198" s="14" t="n">
        <x:v>46191</x:v>
      </x:c>
      <x:c r="D1198" s="12" t="str">
        <x:v>Kamis</x:v>
      </x:c>
      <x:c r="E1198" s="12" t="str">
        <x:v>06:56:00</x:v>
      </x:c>
      <x:c r="F1198" s="12" t="str">
        <x:v>All Shift Day</x:v>
      </x:c>
      <x:c r="G1198" s="12" t="str">
        <x:v>SLRL48G001</x:v>
      </x:c>
      <x:c r="H1198" s="12" t="str">
        <x:v>Self Loader</x:v>
      </x:c>
      <x:c r="I1198" s="12" t="str">
        <x:v>SELF LOADER RENAULT KRANGE480-P8X4 A/T</x:v>
      </x:c>
      <x:c r="J1198" s="16" t="n">
        <x:v>90</x:v>
      </x:c>
      <x:c r="K1198" s="16" t="n">
        <x:v>181</x:v>
      </x:c>
      <x:c r="L1198" s="16" t="n">
        <x:v>182</x:v>
      </x:c>
      <x:c r="M1198" s="16" t="n">
        <x:v>1</x:v>
      </x:c>
      <x:c r="N1198" s="16" t="n">
        <x:v>90</x:v>
      </x:c>
      <x:c r="O1198" s="12" t="str">
        <x:v>FTRL44G004</x:v>
      </x:c>
      <x:c r="P1198" s="12" t="str">
        <x:v>SLRL48G001</x:v>
      </x:c>
      <x:c r="Q1198" s="12" t="str"/>
      <x:c r="R1198" s="12" t="str"/>
      <x:c r="S1198" s="12" t="str"/>
      <x:c r="T1198" s="12" t="str">
        <x:v>ABM</x:v>
      </x:c>
      <x:c r="U1198" s="12" t="str"/>
      <x:c r="V1198" s="12" t="str"/>
      <x:c r="W1198" s="12" t="str"/>
      <x:c r="X1198" s="12" t="str">
        <x:v>SLRL48</x:v>
      </x:c>
      <x:c r="Y1198" s="12" t="str">
        <x:v>BADRI &amp; KAMRAN</x:v>
      </x:c>
      <x:c r="Z1198" s="12" t="str">
        <x:v>PIT</x:v>
      </x:c>
      <x:c r="AA1198" s="32" t="n">
        <x:f>IFERROR(VLOOKUP(G1198,Master_Unit!$A$2:$N$78,7,FALSE),"")</x:f>
        <x:v>20</x:v>
      </x:c>
      <x:c r="AB1198" s="32" t="n">
        <x:f>IF(OR(N1198="",AA1198=""),"",N1198-AA1198)</x:f>
        <x:v>70</x:v>
      </x:c>
      <x:c r="AC1198" s="20" t="n">
        <x:f>IF(OR(N1198="",AA1198="",AA1198=0),"",AB1198/AA1198)</x:f>
        <x:v>3.5</x:v>
      </x:c>
      <x:c r="AD1198" t="str">
        <x:f>IF(AA1198="","NO STANDARD",IF(AC1198&lt;=Config_Status!$B$2,"EFFICIENT",IF(AC1198&lt;=Config_Status!$B$3,"NORMAL",IF(AC1198&lt;=Config_Status!$B$4,"WARNING","OVER CONSUMPTION"))))</x:f>
        <x:v>OVER CONSUMPTION</x:v>
      </x:c>
      <x:c r="AE1198" t="str">
        <x:f>IFERROR(VLOOKUP(G1198,Master_Unit!$A$2:$N$78,13,FALSE),"UNIT NOT FOUND")</x:f>
        <x:v>Matched</x:v>
      </x:c>
    </x:row>
    <x:row r="1199">
      <x:c r="A1199" s="12" t="str">
        <x:v>FU-20260618-01198</x:v>
      </x:c>
      <x:c r="B1199" s="12" t="n">
        <x:v>1328</x:v>
      </x:c>
      <x:c r="C1199" s="14" t="n">
        <x:v>46191</x:v>
      </x:c>
      <x:c r="D1199" s="12" t="str">
        <x:v>Kamis</x:v>
      </x:c>
      <x:c r="E1199" s="12" t="str">
        <x:v>07:04:00</x:v>
      </x:c>
      <x:c r="F1199" s="12" t="str">
        <x:v>All Shift Day</x:v>
      </x:c>
      <x:c r="G1199" s="12" t="str">
        <x:v>EXVV35G007</x:v>
      </x:c>
      <x:c r="H1199" s="12" t="str">
        <x:v>Excavator</x:v>
      </x:c>
      <x:c r="I1199" s="12" t="str">
        <x:v>EXCAVATOR VOLVO EC350D</x:v>
      </x:c>
      <x:c r="J1199" s="16" t="n">
        <x:v>176</x:v>
      </x:c>
      <x:c r="K1199" s="16" t="n">
        <x:v>662.8</x:v>
      </x:c>
      <x:c r="L1199" s="16" t="n">
        <x:v>670.8</x:v>
      </x:c>
      <x:c r="M1199" s="16" t="n">
        <x:v>8</x:v>
      </x:c>
      <x:c r="N1199" s="16" t="n">
        <x:v>22</x:v>
      </x:c>
      <x:c r="O1199" s="12" t="str">
        <x:v>FTRL44G004</x:v>
      </x:c>
      <x:c r="P1199" s="12" t="str">
        <x:v>EXVV35G007</x:v>
      </x:c>
      <x:c r="Q1199" s="12" t="str"/>
      <x:c r="R1199" s="12" t="str"/>
      <x:c r="S1199" s="12" t="str"/>
      <x:c r="T1199" s="12" t="str">
        <x:v>ABM</x:v>
      </x:c>
      <x:c r="U1199" s="12" t="str"/>
      <x:c r="V1199" s="12" t="str"/>
      <x:c r="W1199" s="12" t="str"/>
      <x:c r="X1199" s="12" t="str">
        <x:v>EXVV35</x:v>
      </x:c>
      <x:c r="Y1199" s="12" t="str">
        <x:v>BADRI &amp; KAMRAN</x:v>
      </x:c>
      <x:c r="Z1199" s="12" t="str">
        <x:v>SUPPORT</x:v>
      </x:c>
      <x:c r="AA1199" s="32" t="n">
        <x:f>IFERROR(VLOOKUP(G1199,Master_Unit!$A$2:$N$78,7,FALSE),"")</x:f>
        <x:v>25</x:v>
      </x:c>
      <x:c r="AB1199" s="32" t="n">
        <x:f>IF(OR(N1199="",AA1199=""),"",N1199-AA1199)</x:f>
        <x:v>-3</x:v>
      </x:c>
      <x:c r="AC1199" s="20" t="n">
        <x:f>IF(OR(N1199="",AA1199="",AA1199=0),"",AB1199/AA1199)</x:f>
        <x:v>-0.12</x:v>
      </x:c>
      <x:c r="AD1199" t="str">
        <x:f>IF(AA1199="","NO STANDARD",IF(AC1199&lt;=Config_Status!$B$2,"EFFICIENT",IF(AC1199&lt;=Config_Status!$B$3,"NORMAL",IF(AC1199&lt;=Config_Status!$B$4,"WARNING","OVER CONSUMPTION"))))</x:f>
        <x:v>EFFICIENT</x:v>
      </x:c>
      <x:c r="AE1199" t="str">
        <x:f>IFERROR(VLOOKUP(G1199,Master_Unit!$A$2:$N$78,13,FALSE),"UNIT NOT FOUND")</x:f>
        <x:v>Matched</x:v>
      </x:c>
    </x:row>
    <x:row r="1200">
      <x:c r="A1200" s="12" t="str">
        <x:v>FU-20260618-01199</x:v>
      </x:c>
      <x:c r="B1200" s="12" t="n">
        <x:v>1329</x:v>
      </x:c>
      <x:c r="C1200" s="14" t="n">
        <x:v>46191</x:v>
      </x:c>
      <x:c r="D1200" s="12" t="str"/>
      <x:c r="E1200" s="12" t="str">
        <x:v>07:07:00</x:v>
      </x:c>
      <x:c r="F1200" s="12" t="str">
        <x:v>All Shift Day</x:v>
      </x:c>
      <x:c r="G1200" s="12" t="str">
        <x:v>EXVV21G032</x:v>
      </x:c>
      <x:c r="H1200" s="12" t="str">
        <x:v>Excavator</x:v>
      </x:c>
      <x:c r="I1200" s="12" t="str">
        <x:v>EXCAVATOR VOLVO EC210D</x:v>
      </x:c>
      <x:c r="J1200" s="16" t="n">
        <x:v>122</x:v>
      </x:c>
      <x:c r="K1200" s="16" t="n">
        <x:v>7631.3</x:v>
      </x:c>
      <x:c r="L1200" s="16" t="n">
        <x:v>7640.6</x:v>
      </x:c>
      <x:c r="M1200" s="16" t="n">
        <x:v>9.300000000000182</x:v>
      </x:c>
      <x:c r="N1200" s="16" t="n">
        <x:v>13.118279569892216</x:v>
      </x:c>
      <x:c r="O1200" s="12" t="str">
        <x:v>FTRL44G004</x:v>
      </x:c>
      <x:c r="P1200" s="12" t="str">
        <x:v>EXVV21G032</x:v>
      </x:c>
      <x:c r="Q1200" s="12" t="str"/>
      <x:c r="R1200" s="12" t="str"/>
      <x:c r="S1200" s="12" t="str"/>
      <x:c r="T1200" s="12" t="str">
        <x:v>ABM</x:v>
      </x:c>
      <x:c r="U1200" s="12" t="str"/>
      <x:c r="V1200" s="12" t="str"/>
      <x:c r="W1200" s="12" t="str"/>
      <x:c r="X1200" s="12" t="str">
        <x:v>EXVV21</x:v>
      </x:c>
      <x:c r="Y1200" s="12" t="str">
        <x:v>BADRI &amp; KAMRAN</x:v>
      </x:c>
      <x:c r="Z1200" s="12" t="str"/>
      <x:c r="AA1200" s="32" t="n">
        <x:f>IFERROR(VLOOKUP(G1200,Master_Unit!$A$2:$N$78,7,FALSE),"")</x:f>
        <x:v>20</x:v>
      </x:c>
      <x:c r="AB1200" s="32" t="n">
        <x:f>IF(OR(N1200="",AA1200=""),"",N1200-AA1200)</x:f>
        <x:v>-6.881720430107784</x:v>
      </x:c>
      <x:c r="AC1200" s="20" t="n">
        <x:f>IF(OR(N1200="",AA1200="",AA1200=0),"",AB1200/AA1200)</x:f>
        <x:v>-0.3440860215053892</x:v>
      </x:c>
      <x:c r="AD1200" t="str">
        <x:f>IF(AA1200="","NO STANDARD",IF(AC1200&lt;=Config_Status!$B$2,"EFFICIENT",IF(AC1200&lt;=Config_Status!$B$3,"NORMAL",IF(AC1200&lt;=Config_Status!$B$4,"WARNING","OVER CONSUMPTION"))))</x:f>
        <x:v>EFFICIENT</x:v>
      </x:c>
      <x:c r="AE1200" t="str">
        <x:f>IFERROR(VLOOKUP(G1200,Master_Unit!$A$2:$N$78,13,FALSE),"UNIT NOT FOUND")</x:f>
        <x:v>Matched</x:v>
      </x:c>
    </x:row>
    <x:row r="1201">
      <x:c r="A1201" s="12" t="str">
        <x:v>FU-20260618-01200</x:v>
      </x:c>
      <x:c r="B1201" s="12" t="n">
        <x:v>1330</x:v>
      </x:c>
      <x:c r="C1201" s="14" t="n">
        <x:v>46191</x:v>
      </x:c>
      <x:c r="D1201" s="12" t="str"/>
      <x:c r="E1201" s="12" t="str">
        <x:v>07:10:00</x:v>
      </x:c>
      <x:c r="F1201" s="12" t="str">
        <x:v>All Shift Day</x:v>
      </x:c>
      <x:c r="G1201" s="12" t="str">
        <x:v>EXVV21G037</x:v>
      </x:c>
      <x:c r="H1201" s="12" t="str">
        <x:v>Excavator</x:v>
      </x:c>
      <x:c r="I1201" s="12" t="str">
        <x:v>EXCAVATOR VOLVO EC210D</x:v>
      </x:c>
      <x:c r="J1201" s="16" t="n">
        <x:v>105</x:v>
      </x:c>
      <x:c r="K1201" s="16" t="n">
        <x:v>6970.2</x:v>
      </x:c>
      <x:c r="L1201" s="16" t="n">
        <x:v>6975.7</x:v>
      </x:c>
      <x:c r="M1201" s="16" t="n">
        <x:v>5.5</x:v>
      </x:c>
      <x:c r="N1201" s="16" t="n">
        <x:v>19.09090909090909</x:v>
      </x:c>
      <x:c r="O1201" s="12" t="str">
        <x:v>FTRL44G004</x:v>
      </x:c>
      <x:c r="P1201" s="12" t="str">
        <x:v>EXVV21G037</x:v>
      </x:c>
      <x:c r="Q1201" s="12" t="str"/>
      <x:c r="R1201" s="12" t="str"/>
      <x:c r="S1201" s="12" t="str"/>
      <x:c r="T1201" s="12" t="str">
        <x:v>ABM</x:v>
      </x:c>
      <x:c r="U1201" s="12" t="str"/>
      <x:c r="V1201" s="12" t="str"/>
      <x:c r="W1201" s="12" t="str"/>
      <x:c r="X1201" s="12" t="str">
        <x:v>EXVV21</x:v>
      </x:c>
      <x:c r="Y1201" s="12" t="str">
        <x:v>BADRI &amp; KAMRAN</x:v>
      </x:c>
      <x:c r="Z1201" s="12" t="str">
        <x:v>SUPPORT</x:v>
      </x:c>
      <x:c r="AA1201" s="32" t="n">
        <x:f>IFERROR(VLOOKUP(G1201,Master_Unit!$A$2:$N$78,7,FALSE),"")</x:f>
        <x:v>20</x:v>
      </x:c>
      <x:c r="AB1201" s="32" t="n">
        <x:f>IF(OR(N1201="",AA1201=""),"",N1201-AA1201)</x:f>
        <x:v>-0.9090909090909101</x:v>
      </x:c>
      <x:c r="AC1201" s="20" t="n">
        <x:f>IF(OR(N1201="",AA1201="",AA1201=0),"",AB1201/AA1201)</x:f>
        <x:v>-0.045454545454545504</x:v>
      </x:c>
      <x:c r="AD1201" t="str">
        <x:f>IF(AA1201="","NO STANDARD",IF(AC1201&lt;=Config_Status!$B$2,"EFFICIENT",IF(AC1201&lt;=Config_Status!$B$3,"NORMAL",IF(AC1201&lt;=Config_Status!$B$4,"WARNING","OVER CONSUMPTION"))))</x:f>
        <x:v>NORMAL</x:v>
      </x:c>
      <x:c r="AE1201" t="str">
        <x:f>IFERROR(VLOOKUP(G1201,Master_Unit!$A$2:$N$78,13,FALSE),"UNIT NOT FOUND")</x:f>
        <x:v>Matched</x:v>
      </x:c>
    </x:row>
    <x:row r="1202">
      <x:c r="A1202" s="12" t="str">
        <x:v>FU-20260618-01201</x:v>
      </x:c>
      <x:c r="B1202" s="12" t="n">
        <x:v>1331</x:v>
      </x:c>
      <x:c r="C1202" s="14" t="n">
        <x:v>46191</x:v>
      </x:c>
      <x:c r="D1202" s="12" t="str">
        <x:v>Kamis</x:v>
      </x:c>
      <x:c r="E1202" s="12" t="str">
        <x:v>07:17:00</x:v>
      </x:c>
      <x:c r="F1202" s="12" t="str">
        <x:v>All Shift Day</x:v>
      </x:c>
      <x:c r="G1202" s="12" t="str">
        <x:v>EXVV35G005</x:v>
      </x:c>
      <x:c r="H1202" s="12" t="str">
        <x:v>Excavator</x:v>
      </x:c>
      <x:c r="I1202" s="12" t="str">
        <x:v>EXCAVATOR VOLVO EC350D</x:v>
      </x:c>
      <x:c r="J1202" s="16" t="n">
        <x:v>150</x:v>
      </x:c>
      <x:c r="K1202" s="16" t="n">
        <x:v>5290.5</x:v>
      </x:c>
      <x:c r="L1202" s="16" t="n">
        <x:v>5298.4</x:v>
      </x:c>
      <x:c r="M1202" s="16" t="n">
        <x:v>7.899999999999636</x:v>
      </x:c>
      <x:c r="N1202" s="16" t="n">
        <x:v>18.987341772152774</x:v>
      </x:c>
      <x:c r="O1202" s="12" t="str">
        <x:v>FTRL44G004</x:v>
      </x:c>
      <x:c r="P1202" s="12" t="str">
        <x:v>EXVV35G005</x:v>
      </x:c>
      <x:c r="Q1202" s="12" t="str"/>
      <x:c r="R1202" s="12" t="str"/>
      <x:c r="S1202" s="12" t="str"/>
      <x:c r="T1202" s="12" t="str">
        <x:v>ABM</x:v>
      </x:c>
      <x:c r="U1202" s="12" t="str"/>
      <x:c r="V1202" s="12" t="str"/>
      <x:c r="W1202" s="12" t="str"/>
      <x:c r="X1202" s="12" t="str">
        <x:v>EXVV35</x:v>
      </x:c>
      <x:c r="Y1202" s="12" t="str">
        <x:v>BADRI &amp; KAMRAN</x:v>
      </x:c>
      <x:c r="Z1202" s="12" t="str">
        <x:v>PIT</x:v>
      </x:c>
      <x:c r="AA1202" s="32" t="n">
        <x:f>IFERROR(VLOOKUP(G1202,Master_Unit!$A$2:$N$78,7,FALSE),"")</x:f>
        <x:v>25</x:v>
      </x:c>
      <x:c r="AB1202" s="32" t="n">
        <x:f>IF(OR(N1202="",AA1202=""),"",N1202-AA1202)</x:f>
        <x:v>-6.012658227847226</x:v>
      </x:c>
      <x:c r="AC1202" s="20" t="n">
        <x:f>IF(OR(N1202="",AA1202="",AA1202=0),"",AB1202/AA1202)</x:f>
        <x:v>-0.24050632911388903</x:v>
      </x:c>
      <x:c r="AD1202" t="str">
        <x:f>IF(AA1202="","NO STANDARD",IF(AC1202&lt;=Config_Status!$B$2,"EFFICIENT",IF(AC1202&lt;=Config_Status!$B$3,"NORMAL",IF(AC1202&lt;=Config_Status!$B$4,"WARNING","OVER CONSUMPTION"))))</x:f>
        <x:v>EFFICIENT</x:v>
      </x:c>
      <x:c r="AE1202" t="str">
        <x:f>IFERROR(VLOOKUP(G1202,Master_Unit!$A$2:$N$78,13,FALSE),"UNIT NOT FOUND")</x:f>
        <x:v>Matched</x:v>
      </x:c>
    </x:row>
    <x:row r="1203">
      <x:c r="A1203" s="12" t="str">
        <x:v>FU-20260618-01202</x:v>
      </x:c>
      <x:c r="B1203" s="12" t="n">
        <x:v>1332</x:v>
      </x:c>
      <x:c r="C1203" s="14" t="n">
        <x:v>46191</x:v>
      </x:c>
      <x:c r="D1203" s="12" t="str">
        <x:v>Kamis</x:v>
      </x:c>
      <x:c r="E1203" s="12" t="str">
        <x:v>07:20:00</x:v>
      </x:c>
      <x:c r="F1203" s="12" t="str">
        <x:v>All Shift Day</x:v>
      </x:c>
      <x:c r="G1203" s="12" t="str">
        <x:v>EXVV21G042</x:v>
      </x:c>
      <x:c r="H1203" s="12" t="str">
        <x:v>Excavator</x:v>
      </x:c>
      <x:c r="I1203" s="12" t="str">
        <x:v>EXCAVATOR VOLVO EC210D</x:v>
      </x:c>
      <x:c r="J1203" s="16" t="n">
        <x:v>123</x:v>
      </x:c>
      <x:c r="K1203" s="16" t="n">
        <x:v>7857.7</x:v>
      </x:c>
      <x:c r="L1203" s="16" t="n">
        <x:v>7867.1</x:v>
      </x:c>
      <x:c r="M1203" s="16" t="n">
        <x:v>9.400000000000546</x:v>
      </x:c>
      <x:c r="N1203" s="16" t="n">
        <x:v>13.085106382977964</x:v>
      </x:c>
      <x:c r="O1203" s="12" t="str">
        <x:v>FTRL44G004</x:v>
      </x:c>
      <x:c r="P1203" s="12" t="str">
        <x:v>EXVV21G042</x:v>
      </x:c>
      <x:c r="Q1203" s="12" t="str"/>
      <x:c r="R1203" s="12" t="str"/>
      <x:c r="S1203" s="12" t="str"/>
      <x:c r="T1203" s="12" t="str">
        <x:v>ABM</x:v>
      </x:c>
      <x:c r="U1203" s="12" t="str"/>
      <x:c r="V1203" s="12" t="str"/>
      <x:c r="W1203" s="12" t="str"/>
      <x:c r="X1203" s="12" t="str">
        <x:v>EXVV21</x:v>
      </x:c>
      <x:c r="Y1203" s="12" t="str">
        <x:v>BADRI &amp; KAMRAN</x:v>
      </x:c>
      <x:c r="Z1203" s="12" t="str">
        <x:v>SUPPORT</x:v>
      </x:c>
      <x:c r="AA1203" s="32" t="n">
        <x:f>IFERROR(VLOOKUP(G1203,Master_Unit!$A$2:$N$78,7,FALSE),"")</x:f>
        <x:v>20</x:v>
      </x:c>
      <x:c r="AB1203" s="32" t="n">
        <x:f>IF(OR(N1203="",AA1203=""),"",N1203-AA1203)</x:f>
        <x:v>-6.914893617022036</x:v>
      </x:c>
      <x:c r="AC1203" s="20" t="n">
        <x:f>IF(OR(N1203="",AA1203="",AA1203=0),"",AB1203/AA1203)</x:f>
        <x:v>-0.3457446808511018</x:v>
      </x:c>
      <x:c r="AD1203" t="str">
        <x:f>IF(AA1203="","NO STANDARD",IF(AC1203&lt;=Config_Status!$B$2,"EFFICIENT",IF(AC1203&lt;=Config_Status!$B$3,"NORMAL",IF(AC1203&lt;=Config_Status!$B$4,"WARNING","OVER CONSUMPTION"))))</x:f>
        <x:v>EFFICIENT</x:v>
      </x:c>
      <x:c r="AE1203" t="str">
        <x:f>IFERROR(VLOOKUP(G1203,Master_Unit!$A$2:$N$78,13,FALSE),"UNIT NOT FOUND")</x:f>
        <x:v>Matched</x:v>
      </x:c>
    </x:row>
    <x:row r="1204">
      <x:c r="A1204" s="12" t="str">
        <x:v>FU-20260618-01203</x:v>
      </x:c>
      <x:c r="B1204" s="12" t="n">
        <x:v>1333</x:v>
      </x:c>
      <x:c r="C1204" s="14" t="n">
        <x:v>46191</x:v>
      </x:c>
      <x:c r="D1204" s="12" t="str">
        <x:v>Kamis</x:v>
      </x:c>
      <x:c r="E1204" s="12" t="str">
        <x:v>07:26:00</x:v>
      </x:c>
      <x:c r="F1204" s="12" t="str">
        <x:v>All Shift Day</x:v>
      </x:c>
      <x:c r="G1204" s="12" t="str">
        <x:v>EXVV21G035</x:v>
      </x:c>
      <x:c r="H1204" s="12" t="str">
        <x:v>Excavator</x:v>
      </x:c>
      <x:c r="I1204" s="12" t="str">
        <x:v>EXCAVATOR VOLVO EC210D</x:v>
      </x:c>
      <x:c r="J1204" s="16" t="n">
        <x:v>122</x:v>
      </x:c>
      <x:c r="K1204" s="16" t="n">
        <x:v>8507.4</x:v>
      </x:c>
      <x:c r="L1204" s="16" t="n">
        <x:v>8515.3</x:v>
      </x:c>
      <x:c r="M1204" s="16" t="n">
        <x:v>7.899999999999636</x:v>
      </x:c>
      <x:c r="N1204" s="16" t="n">
        <x:v>15.443037974684255</x:v>
      </x:c>
      <x:c r="O1204" s="12" t="str">
        <x:v>FTRL44G004</x:v>
      </x:c>
      <x:c r="P1204" s="12" t="str">
        <x:v>EXVV21G035</x:v>
      </x:c>
      <x:c r="Q1204" s="12" t="str"/>
      <x:c r="R1204" s="12" t="str"/>
      <x:c r="S1204" s="12" t="str"/>
      <x:c r="T1204" s="12" t="str">
        <x:v>ABM</x:v>
      </x:c>
      <x:c r="U1204" s="12" t="str"/>
      <x:c r="V1204" s="12" t="str"/>
      <x:c r="W1204" s="12" t="str"/>
      <x:c r="X1204" s="12" t="str">
        <x:v>EXVV21</x:v>
      </x:c>
      <x:c r="Y1204" s="12" t="str">
        <x:v>BADRI &amp; KAMRAN</x:v>
      </x:c>
      <x:c r="Z1204" s="12" t="str">
        <x:v>SUPPORT</x:v>
      </x:c>
      <x:c r="AA1204" s="32" t="n">
        <x:f>IFERROR(VLOOKUP(G1204,Master_Unit!$A$2:$N$78,7,FALSE),"")</x:f>
        <x:v>20</x:v>
      </x:c>
      <x:c r="AB1204" s="32" t="n">
        <x:f>IF(OR(N1204="",AA1204=""),"",N1204-AA1204)</x:f>
        <x:v>-4.556962025315745</x:v>
      </x:c>
      <x:c r="AC1204" s="20" t="n">
        <x:f>IF(OR(N1204="",AA1204="",AA1204=0),"",AB1204/AA1204)</x:f>
        <x:v>-0.22784810126578722</x:v>
      </x:c>
      <x:c r="AD1204" t="str">
        <x:f>IF(AA1204="","NO STANDARD",IF(AC1204&lt;=Config_Status!$B$2,"EFFICIENT",IF(AC1204&lt;=Config_Status!$B$3,"NORMAL",IF(AC1204&lt;=Config_Status!$B$4,"WARNING","OVER CONSUMPTION"))))</x:f>
        <x:v>EFFICIENT</x:v>
      </x:c>
      <x:c r="AE1204" t="str">
        <x:f>IFERROR(VLOOKUP(G1204,Master_Unit!$A$2:$N$78,13,FALSE),"UNIT NOT FOUND")</x:f>
        <x:v>Matched</x:v>
      </x:c>
    </x:row>
    <x:row r="1205">
      <x:c r="A1205" s="12" t="str">
        <x:v>FU-20260618-01204</x:v>
      </x:c>
      <x:c r="B1205" s="12" t="n">
        <x:v>1334</x:v>
      </x:c>
      <x:c r="C1205" s="14" t="n">
        <x:v>46191</x:v>
      </x:c>
      <x:c r="D1205" s="12" t="str">
        <x:v>Kamis</x:v>
      </x:c>
      <x:c r="E1205" s="12" t="str">
        <x:v>07:31:00</x:v>
      </x:c>
      <x:c r="F1205" s="12" t="str">
        <x:v>All Shift Day</x:v>
      </x:c>
      <x:c r="G1205" s="12" t="str">
        <x:v>EXVV21G039</x:v>
      </x:c>
      <x:c r="H1205" s="12" t="str">
        <x:v>Excavator</x:v>
      </x:c>
      <x:c r="I1205" s="12" t="str">
        <x:v>EXCAVATOR VOLVO EC210D</x:v>
      </x:c>
      <x:c r="J1205" s="16" t="n">
        <x:v>122</x:v>
      </x:c>
      <x:c r="K1205" s="16" t="n">
        <x:v>6402.1</x:v>
      </x:c>
      <x:c r="L1205" s="16" t="n">
        <x:v>6410.1</x:v>
      </x:c>
      <x:c r="M1205" s="16" t="n">
        <x:v>8</x:v>
      </x:c>
      <x:c r="N1205" s="16" t="n">
        <x:v>15.25</x:v>
      </x:c>
      <x:c r="O1205" s="12" t="str">
        <x:v>FTRL44G004</x:v>
      </x:c>
      <x:c r="P1205" s="12" t="str">
        <x:v>EXVV21G039</x:v>
      </x:c>
      <x:c r="Q1205" s="12" t="str"/>
      <x:c r="R1205" s="12" t="str"/>
      <x:c r="S1205" s="12" t="str"/>
      <x:c r="T1205" s="12" t="str">
        <x:v>ABM</x:v>
      </x:c>
      <x:c r="U1205" s="12" t="str"/>
      <x:c r="V1205" s="12" t="str"/>
      <x:c r="W1205" s="12" t="str"/>
      <x:c r="X1205" s="12" t="str">
        <x:v>EXVV21</x:v>
      </x:c>
      <x:c r="Y1205" s="12" t="str">
        <x:v>BADRI &amp; KAMRAN</x:v>
      </x:c>
      <x:c r="Z1205" s="12" t="str">
        <x:v>EFO</x:v>
      </x:c>
      <x:c r="AA1205" s="32" t="n">
        <x:f>IFERROR(VLOOKUP(G1205,Master_Unit!$A$2:$N$78,7,FALSE),"")</x:f>
        <x:v>20</x:v>
      </x:c>
      <x:c r="AB1205" s="32" t="n">
        <x:f>IF(OR(N1205="",AA1205=""),"",N1205-AA1205)</x:f>
        <x:v>-4.75</x:v>
      </x:c>
      <x:c r="AC1205" s="20" t="n">
        <x:f>IF(OR(N1205="",AA1205="",AA1205=0),"",AB1205/AA1205)</x:f>
        <x:v>-0.2375</x:v>
      </x:c>
      <x:c r="AD1205" t="str">
        <x:f>IF(AA1205="","NO STANDARD",IF(AC1205&lt;=Config_Status!$B$2,"EFFICIENT",IF(AC1205&lt;=Config_Status!$B$3,"NORMAL",IF(AC1205&lt;=Config_Status!$B$4,"WARNING","OVER CONSUMPTION"))))</x:f>
        <x:v>EFFICIENT</x:v>
      </x:c>
      <x:c r="AE1205" t="str">
        <x:f>IFERROR(VLOOKUP(G1205,Master_Unit!$A$2:$N$78,13,FALSE),"UNIT NOT FOUND")</x:f>
        <x:v>Matched</x:v>
      </x:c>
    </x:row>
    <x:row r="1206">
      <x:c r="A1206" s="12" t="str">
        <x:v>FU-20260618-01205</x:v>
      </x:c>
      <x:c r="B1206" s="12" t="n">
        <x:v>1335</x:v>
      </x:c>
      <x:c r="C1206" s="14" t="n">
        <x:v>46191</x:v>
      </x:c>
      <x:c r="D1206" s="12" t="str">
        <x:v>Kamis</x:v>
      </x:c>
      <x:c r="E1206" s="12" t="str">
        <x:v>07:38:00</x:v>
      </x:c>
      <x:c r="F1206" s="12" t="str">
        <x:v>All Shift Day</x:v>
      </x:c>
      <x:c r="G1206" s="12" t="str">
        <x:v>EXVV21G043</x:v>
      </x:c>
      <x:c r="H1206" s="12" t="str">
        <x:v>Excavator</x:v>
      </x:c>
      <x:c r="I1206" s="12" t="str">
        <x:v>EXCAVATOR VOLVO EC210D</x:v>
      </x:c>
      <x:c r="J1206" s="16" t="n">
        <x:v>105</x:v>
      </x:c>
      <x:c r="K1206" s="16" t="n">
        <x:v>5398.8</x:v>
      </x:c>
      <x:c r="L1206" s="16" t="n">
        <x:v>5408.1</x:v>
      </x:c>
      <x:c r="M1206" s="16" t="n">
        <x:v>9.300000000000182</x:v>
      </x:c>
      <x:c r="N1206" s="16" t="n">
        <x:v>11.29032258064494</x:v>
      </x:c>
      <x:c r="O1206" s="12" t="str">
        <x:v>FTRL44G004</x:v>
      </x:c>
      <x:c r="P1206" s="12" t="str">
        <x:v>EXVV21G043</x:v>
      </x:c>
      <x:c r="Q1206" s="12" t="str"/>
      <x:c r="R1206" s="12" t="str"/>
      <x:c r="S1206" s="12" t="str"/>
      <x:c r="T1206" s="12" t="str">
        <x:v>ABM</x:v>
      </x:c>
      <x:c r="U1206" s="12" t="str"/>
      <x:c r="V1206" s="12" t="str"/>
      <x:c r="W1206" s="12" t="str"/>
      <x:c r="X1206" s="12" t="str">
        <x:v>EXVV21</x:v>
      </x:c>
      <x:c r="Y1206" s="12" t="str">
        <x:v>BADRI &amp; KAMRAN</x:v>
      </x:c>
      <x:c r="Z1206" s="12" t="str">
        <x:v>SUPPORT</x:v>
      </x:c>
      <x:c r="AA1206" s="32" t="n">
        <x:f>IFERROR(VLOOKUP(G1206,Master_Unit!$A$2:$N$78,7,FALSE),"")</x:f>
        <x:v>20</x:v>
      </x:c>
      <x:c r="AB1206" s="32" t="n">
        <x:f>IF(OR(N1206="",AA1206=""),"",N1206-AA1206)</x:f>
        <x:v>-8.70967741935506</x:v>
      </x:c>
      <x:c r="AC1206" s="20" t="n">
        <x:f>IF(OR(N1206="",AA1206="",AA1206=0),"",AB1206/AA1206)</x:f>
        <x:v>-0.435483870967753</x:v>
      </x:c>
      <x:c r="AD1206" t="str">
        <x:f>IF(AA1206="","NO STANDARD",IF(AC1206&lt;=Config_Status!$B$2,"EFFICIENT",IF(AC1206&lt;=Config_Status!$B$3,"NORMAL",IF(AC1206&lt;=Config_Status!$B$4,"WARNING","OVER CONSUMPTION"))))</x:f>
        <x:v>EFFICIENT</x:v>
      </x:c>
      <x:c r="AE1206" t="str">
        <x:f>IFERROR(VLOOKUP(G1206,Master_Unit!$A$2:$N$78,13,FALSE),"UNIT NOT FOUND")</x:f>
        <x:v>Matched</x:v>
      </x:c>
    </x:row>
    <x:row r="1207">
      <x:c r="A1207" s="12" t="str">
        <x:v>FU-20260618-01206</x:v>
      </x:c>
      <x:c r="B1207" s="12" t="n">
        <x:v>1336</x:v>
      </x:c>
      <x:c r="C1207" s="14" t="n">
        <x:v>46191</x:v>
      </x:c>
      <x:c r="D1207" s="12" t="str">
        <x:v>Kamis</x:v>
      </x:c>
      <x:c r="E1207" s="12" t="str">
        <x:v>07:48:00</x:v>
      </x:c>
      <x:c r="F1207" s="12" t="str">
        <x:v>All Shift Day</x:v>
      </x:c>
      <x:c r="G1207" s="12" t="str">
        <x:v>EXVV21G040</x:v>
      </x:c>
      <x:c r="H1207" s="12" t="str">
        <x:v>Excavator</x:v>
      </x:c>
      <x:c r="I1207" s="12" t="str">
        <x:v>EXCAVATOR VOLVO EC210D</x:v>
      </x:c>
      <x:c r="J1207" s="16" t="n">
        <x:v>105</x:v>
      </x:c>
      <x:c r="K1207" s="16" t="n">
        <x:v>6689</x:v>
      </x:c>
      <x:c r="L1207" s="16" t="n">
        <x:v>6697.9</x:v>
      </x:c>
      <x:c r="M1207" s="16" t="n">
        <x:v>8.899999999999636</x:v>
      </x:c>
      <x:c r="N1207" s="16" t="n">
        <x:v>11.797752808989246</x:v>
      </x:c>
      <x:c r="O1207" s="12" t="str">
        <x:v>FTRL44G004</x:v>
      </x:c>
      <x:c r="P1207" s="12" t="str">
        <x:v>EXVV21G040</x:v>
      </x:c>
      <x:c r="Q1207" s="12" t="str"/>
      <x:c r="R1207" s="12" t="str"/>
      <x:c r="S1207" s="12" t="str"/>
      <x:c r="T1207" s="12" t="str">
        <x:v>ABM</x:v>
      </x:c>
      <x:c r="U1207" s="12" t="str"/>
      <x:c r="V1207" s="12" t="str"/>
      <x:c r="W1207" s="12" t="str"/>
      <x:c r="X1207" s="12" t="str">
        <x:v>EXVV21</x:v>
      </x:c>
      <x:c r="Y1207" s="12" t="str">
        <x:v>BADRI &amp; KAMRAN</x:v>
      </x:c>
      <x:c r="Z1207" s="12" t="str">
        <x:v>COAL HAULING</x:v>
      </x:c>
      <x:c r="AA1207" s="32" t="n">
        <x:f>IFERROR(VLOOKUP(G1207,Master_Unit!$A$2:$N$78,7,FALSE),"")</x:f>
        <x:v>20</x:v>
      </x:c>
      <x:c r="AB1207" s="32" t="n">
        <x:f>IF(OR(N1207="",AA1207=""),"",N1207-AA1207)</x:f>
        <x:v>-8.202247191010754</x:v>
      </x:c>
      <x:c r="AC1207" s="20" t="n">
        <x:f>IF(OR(N1207="",AA1207="",AA1207=0),"",AB1207/AA1207)</x:f>
        <x:v>-0.4101123595505377</x:v>
      </x:c>
      <x:c r="AD1207" t="str">
        <x:f>IF(AA1207="","NO STANDARD",IF(AC1207&lt;=Config_Status!$B$2,"EFFICIENT",IF(AC1207&lt;=Config_Status!$B$3,"NORMAL",IF(AC1207&lt;=Config_Status!$B$4,"WARNING","OVER CONSUMPTION"))))</x:f>
        <x:v>EFFICIENT</x:v>
      </x:c>
      <x:c r="AE1207" t="str">
        <x:f>IFERROR(VLOOKUP(G1207,Master_Unit!$A$2:$N$78,13,FALSE),"UNIT NOT FOUND")</x:f>
        <x:v>Matched</x:v>
      </x:c>
    </x:row>
    <x:row r="1208">
      <x:c r="A1208" s="12" t="str">
        <x:v>FU-20260618-01207</x:v>
      </x:c>
      <x:c r="B1208" s="12" t="n">
        <x:v>1337</x:v>
      </x:c>
      <x:c r="C1208" s="14" t="n">
        <x:v>46191</x:v>
      </x:c>
      <x:c r="D1208" s="12" t="str">
        <x:v>Kamis</x:v>
      </x:c>
      <x:c r="E1208" s="12" t="str">
        <x:v>07:54:00</x:v>
      </x:c>
      <x:c r="F1208" s="12" t="str">
        <x:v>All Shift Day</x:v>
      </x:c>
      <x:c r="G1208" s="12" t="str">
        <x:v>EXVV21G036</x:v>
      </x:c>
      <x:c r="H1208" s="12" t="str">
        <x:v>Excavator</x:v>
      </x:c>
      <x:c r="I1208" s="12" t="str">
        <x:v>EXCAVATOR VOLVO EC210D</x:v>
      </x:c>
      <x:c r="J1208" s="16" t="n">
        <x:v>122</x:v>
      </x:c>
      <x:c r="K1208" s="16" t="n">
        <x:v>7675.7</x:v>
      </x:c>
      <x:c r="L1208" s="16" t="n">
        <x:v>7685.7</x:v>
      </x:c>
      <x:c r="M1208" s="16" t="n">
        <x:v>10</x:v>
      </x:c>
      <x:c r="N1208" s="16" t="n">
        <x:v>12.2</x:v>
      </x:c>
      <x:c r="O1208" s="12" t="str">
        <x:v>FTRL44G004</x:v>
      </x:c>
      <x:c r="P1208" s="12" t="str">
        <x:v>EXVV21G036</x:v>
      </x:c>
      <x:c r="Q1208" s="12" t="str"/>
      <x:c r="R1208" s="12" t="str"/>
      <x:c r="S1208" s="12" t="str"/>
      <x:c r="T1208" s="12" t="str">
        <x:v>ABM</x:v>
      </x:c>
      <x:c r="U1208" s="12" t="str"/>
      <x:c r="V1208" s="12" t="str"/>
      <x:c r="W1208" s="12" t="str"/>
      <x:c r="X1208" s="12" t="str">
        <x:v>EXVV21</x:v>
      </x:c>
      <x:c r="Y1208" s="12" t="str">
        <x:v>BADRI &amp; KAMRAN</x:v>
      </x:c>
      <x:c r="Z1208" s="12" t="str">
        <x:v>COAL HAULING</x:v>
      </x:c>
      <x:c r="AA1208" s="32" t="n">
        <x:f>IFERROR(VLOOKUP(G1208,Master_Unit!$A$2:$N$78,7,FALSE),"")</x:f>
        <x:v>20</x:v>
      </x:c>
      <x:c r="AB1208" s="32" t="n">
        <x:f>IF(OR(N1208="",AA1208=""),"",N1208-AA1208)</x:f>
        <x:v>-7.800000000000001</x:v>
      </x:c>
      <x:c r="AC1208" s="20" t="n">
        <x:f>IF(OR(N1208="",AA1208="",AA1208=0),"",AB1208/AA1208)</x:f>
        <x:v>-0.39</x:v>
      </x:c>
      <x:c r="AD1208" t="str">
        <x:f>IF(AA1208="","NO STANDARD",IF(AC1208&lt;=Config_Status!$B$2,"EFFICIENT",IF(AC1208&lt;=Config_Status!$B$3,"NORMAL",IF(AC1208&lt;=Config_Status!$B$4,"WARNING","OVER CONSUMPTION"))))</x:f>
        <x:v>EFFICIENT</x:v>
      </x:c>
      <x:c r="AE1208" t="str">
        <x:f>IFERROR(VLOOKUP(G1208,Master_Unit!$A$2:$N$78,13,FALSE),"UNIT NOT FOUND")</x:f>
        <x:v>Matched</x:v>
      </x:c>
    </x:row>
    <x:row r="1209">
      <x:c r="A1209" s="12" t="str">
        <x:v>FU-20260618-01208</x:v>
      </x:c>
      <x:c r="B1209" s="12" t="n">
        <x:v>1338</x:v>
      </x:c>
      <x:c r="C1209" s="14" t="n">
        <x:v>46191</x:v>
      </x:c>
      <x:c r="D1209" s="12" t="str">
        <x:v>Kamis</x:v>
      </x:c>
      <x:c r="E1209" s="12" t="str">
        <x:v>07:56:00</x:v>
      </x:c>
      <x:c r="F1209" s="12" t="str">
        <x:v>All Shift Day</x:v>
      </x:c>
      <x:c r="G1209" s="12" t="str">
        <x:v>VRVV11G013</x:v>
      </x:c>
      <x:c r="H1209" s="12" t="str">
        <x:v>Compactor</x:v>
      </x:c>
      <x:c r="I1209" s="12" t="str">
        <x:v>VIBRO COMPACTOR VOLVO SD110NE</x:v>
      </x:c>
      <x:c r="J1209" s="16" t="n">
        <x:v>60</x:v>
      </x:c>
      <x:c r="K1209" s="16" t="n">
        <x:v>3258.8</x:v>
      </x:c>
      <x:c r="L1209" s="16" t="n">
        <x:v>3264.1</x:v>
      </x:c>
      <x:c r="M1209" s="16" t="n">
        <x:v>5.299999999999727</x:v>
      </x:c>
      <x:c r="N1209" s="16" t="n">
        <x:v>11.320754716981716</x:v>
      </x:c>
      <x:c r="O1209" s="12" t="str">
        <x:v>FTRL44G004</x:v>
      </x:c>
      <x:c r="P1209" s="12" t="str">
        <x:v>VRVV11G013</x:v>
      </x:c>
      <x:c r="Q1209" s="12" t="str"/>
      <x:c r="R1209" s="12" t="str"/>
      <x:c r="S1209" s="12" t="str"/>
      <x:c r="T1209" s="12" t="str">
        <x:v>ABM</x:v>
      </x:c>
      <x:c r="U1209" s="12" t="str"/>
      <x:c r="V1209" s="12" t="str"/>
      <x:c r="W1209" s="12" t="str"/>
      <x:c r="X1209" s="12" t="str">
        <x:v>VRVV11</x:v>
      </x:c>
      <x:c r="Y1209" s="12" t="str">
        <x:v>BADRI &amp; KAMRAN</x:v>
      </x:c>
      <x:c r="Z1209" s="12" t="str">
        <x:v>COAL HAULING</x:v>
      </x:c>
      <x:c r="AA1209" s="32" t="n">
        <x:f>IFERROR(VLOOKUP(G1209,Master_Unit!$A$2:$N$78,7,FALSE),"")</x:f>
        <x:v>15</x:v>
      </x:c>
      <x:c r="AB1209" s="32" t="n">
        <x:f>IF(OR(N1209="",AA1209=""),"",N1209-AA1209)</x:f>
        <x:v>-3.6792452830182842</x:v>
      </x:c>
      <x:c r="AC1209" s="20" t="n">
        <x:f>IF(OR(N1209="",AA1209="",AA1209=0),"",AB1209/AA1209)</x:f>
        <x:v>-0.24528301886788562</x:v>
      </x:c>
      <x:c r="AD1209" t="str">
        <x:f>IF(AA1209="","NO STANDARD",IF(AC1209&lt;=Config_Status!$B$2,"EFFICIENT",IF(AC1209&lt;=Config_Status!$B$3,"NORMAL",IF(AC1209&lt;=Config_Status!$B$4,"WARNING","OVER CONSUMPTION"))))</x:f>
        <x:v>EFFICIENT</x:v>
      </x:c>
      <x:c r="AE1209" t="str">
        <x:f>IFERROR(VLOOKUP(G1209,Master_Unit!$A$2:$N$78,13,FALSE),"UNIT NOT FOUND")</x:f>
        <x:v>Matched</x:v>
      </x:c>
    </x:row>
    <x:row r="1210">
      <x:c r="A1210" s="12" t="str">
        <x:v>FU-20260618-01209</x:v>
      </x:c>
      <x:c r="B1210" s="12" t="n">
        <x:v>1339</x:v>
      </x:c>
      <x:c r="C1210" s="14" t="n">
        <x:v>46191</x:v>
      </x:c>
      <x:c r="D1210" s="12" t="str">
        <x:v>Kamis</x:v>
      </x:c>
      <x:c r="E1210" s="12" t="str">
        <x:v>08:11:00</x:v>
      </x:c>
      <x:c r="F1210" s="12" t="str">
        <x:v>All Shift Day</x:v>
      </x:c>
      <x:c r="G1210" s="12" t="str">
        <x:v>EXVV35G006</x:v>
      </x:c>
      <x:c r="H1210" s="12" t="str">
        <x:v>Excavator</x:v>
      </x:c>
      <x:c r="I1210" s="12" t="str">
        <x:v>EXCAVATOR VOLVO EC350D</x:v>
      </x:c>
      <x:c r="J1210" s="16" t="n">
        <x:v>125</x:v>
      </x:c>
      <x:c r="K1210" s="16" t="n">
        <x:v>3256.8</x:v>
      </x:c>
      <x:c r="L1210" s="16" t="n">
        <x:v>3260.5</x:v>
      </x:c>
      <x:c r="M1210" s="16" t="n">
        <x:v>3.699999999999818</x:v>
      </x:c>
      <x:c r="N1210" s="16" t="n">
        <x:v>33.783783783785445</x:v>
      </x:c>
      <x:c r="O1210" s="12" t="str">
        <x:v>FTRL44G004</x:v>
      </x:c>
      <x:c r="P1210" s="12" t="str">
        <x:v>EXVV35G006</x:v>
      </x:c>
      <x:c r="Q1210" s="12" t="str"/>
      <x:c r="R1210" s="12" t="str"/>
      <x:c r="S1210" s="12" t="str"/>
      <x:c r="T1210" s="12" t="str">
        <x:v>ABM</x:v>
      </x:c>
      <x:c r="U1210" s="12" t="str"/>
      <x:c r="V1210" s="12" t="str"/>
      <x:c r="W1210" s="12" t="str"/>
      <x:c r="X1210" s="12" t="str">
        <x:v>EXVV35</x:v>
      </x:c>
      <x:c r="Y1210" s="12" t="str">
        <x:v>BADRI &amp; KAMRAN</x:v>
      </x:c>
      <x:c r="Z1210" s="12" t="str">
        <x:v>COAL HAULING</x:v>
      </x:c>
      <x:c r="AA1210" s="32" t="n">
        <x:f>IFERROR(VLOOKUP(G1210,Master_Unit!$A$2:$N$78,7,FALSE),"")</x:f>
        <x:v>25</x:v>
      </x:c>
      <x:c r="AB1210" s="32" t="n">
        <x:f>IF(OR(N1210="",AA1210=""),"",N1210-AA1210)</x:f>
        <x:v>8.783783783785445</x:v>
      </x:c>
      <x:c r="AC1210" s="20" t="n">
        <x:f>IF(OR(N1210="",AA1210="",AA1210=0),"",AB1210/AA1210)</x:f>
        <x:v>0.3513513513514178</x:v>
      </x:c>
      <x:c r="AD1210" t="str">
        <x:f>IF(AA1210="","NO STANDARD",IF(AC1210&lt;=Config_Status!$B$2,"EFFICIENT",IF(AC1210&lt;=Config_Status!$B$3,"NORMAL",IF(AC1210&lt;=Config_Status!$B$4,"WARNING","OVER CONSUMPTION"))))</x:f>
        <x:v>OVER CONSUMPTION</x:v>
      </x:c>
      <x:c r="AE1210" t="str">
        <x:f>IFERROR(VLOOKUP(G1210,Master_Unit!$A$2:$N$78,13,FALSE),"UNIT NOT FOUND")</x:f>
        <x:v>Matched</x:v>
      </x:c>
    </x:row>
    <x:row r="1211">
      <x:c r="A1211" s="12" t="str">
        <x:v>FU-20260618-01210</x:v>
      </x:c>
      <x:c r="B1211" s="12" t="n">
        <x:v>1340</x:v>
      </x:c>
      <x:c r="C1211" s="14" t="n">
        <x:v>46191</x:v>
      </x:c>
      <x:c r="D1211" s="12" t="str">
        <x:v>Kamis</x:v>
      </x:c>
      <x:c r="E1211" s="12" t="str">
        <x:v>08:16:00</x:v>
      </x:c>
      <x:c r="F1211" s="12" t="str">
        <x:v>All Shift Day</x:v>
      </x:c>
      <x:c r="G1211" s="12" t="str">
        <x:v>STRL44G157</x:v>
      </x:c>
      <x:c r="H1211" s="12" t="str">
        <x:v>Dump Truck</x:v>
      </x:c>
      <x:c r="I1211" s="12" t="str">
        <x:v>DUMP TRUCK RENAULT KRANGE440-P6X4 A/T</x:v>
      </x:c>
      <x:c r="J1211" s="16" t="n">
        <x:v>91</x:v>
      </x:c>
      <x:c r="K1211" s="16" t="n">
        <x:v>4161</x:v>
      </x:c>
      <x:c r="L1211" s="16" t="n">
        <x:v>4168</x:v>
      </x:c>
      <x:c r="M1211" s="16" t="n">
        <x:v>7</x:v>
      </x:c>
      <x:c r="N1211" s="16" t="n">
        <x:v>13</x:v>
      </x:c>
      <x:c r="O1211" s="12" t="str">
        <x:v>FTRL44G004</x:v>
      </x:c>
      <x:c r="P1211" s="12" t="str">
        <x:v>STRL44G157</x:v>
      </x:c>
      <x:c r="Q1211" s="12" t="str"/>
      <x:c r="R1211" s="12" t="str"/>
      <x:c r="S1211" s="12" t="str"/>
      <x:c r="T1211" s="12" t="str">
        <x:v>ABM</x:v>
      </x:c>
      <x:c r="U1211" s="12" t="str"/>
      <x:c r="V1211" s="12" t="str"/>
      <x:c r="W1211" s="12" t="str"/>
      <x:c r="X1211" s="12" t="str">
        <x:v>STRL44</x:v>
      </x:c>
      <x:c r="Y1211" s="12" t="str">
        <x:v>BADRI &amp; KAMRAN</x:v>
      </x:c>
      <x:c r="Z1211" s="12" t="str">
        <x:v>COAL HAULING</x:v>
      </x:c>
      <x:c r="AA1211" s="32" t="n">
        <x:f>IFERROR(VLOOKUP(G1211,Master_Unit!$A$2:$N$78,7,FALSE),"")</x:f>
        <x:v>20</x:v>
      </x:c>
      <x:c r="AB1211" s="32" t="n">
        <x:f>IF(OR(N1211="",AA1211=""),"",N1211-AA1211)</x:f>
        <x:v>-7</x:v>
      </x:c>
      <x:c r="AC1211" s="20" t="n">
        <x:f>IF(OR(N1211="",AA1211="",AA1211=0),"",AB1211/AA1211)</x:f>
        <x:v>-0.35</x:v>
      </x:c>
      <x:c r="AD1211" t="str">
        <x:f>IF(AA1211="","NO STANDARD",IF(AC1211&lt;=Config_Status!$B$2,"EFFICIENT",IF(AC1211&lt;=Config_Status!$B$3,"NORMAL",IF(AC1211&lt;=Config_Status!$B$4,"WARNING","OVER CONSUMPTION"))))</x:f>
        <x:v>EFFICIENT</x:v>
      </x:c>
      <x:c r="AE1211" t="str">
        <x:f>IFERROR(VLOOKUP(G1211,Master_Unit!$A$2:$N$78,13,FALSE),"UNIT NOT FOUND")</x:f>
        <x:v>Matched</x:v>
      </x:c>
    </x:row>
    <x:row r="1212">
      <x:c r="A1212" s="12" t="str">
        <x:v>FU-20260618-01211</x:v>
      </x:c>
      <x:c r="B1212" s="12" t="n">
        <x:v>1341</x:v>
      </x:c>
      <x:c r="C1212" s="14" t="n">
        <x:v>46191</x:v>
      </x:c>
      <x:c r="D1212" s="12" t="str">
        <x:v>Kamis</x:v>
      </x:c>
      <x:c r="E1212" s="12" t="str">
        <x:v>08:19:00</x:v>
      </x:c>
      <x:c r="F1212" s="12" t="str">
        <x:v>All Shift Day</x:v>
      </x:c>
      <x:c r="G1212" s="12" t="str">
        <x:v>LVTH24R036</x:v>
      </x:c>
      <x:c r="H1212" s="12" t="str">
        <x:v>Light Vehicle</x:v>
      </x:c>
      <x:c r="I1212" s="12" t="str">
        <x:v>LIGHT VEHICLE TOYOTA HILUX</x:v>
      </x:c>
      <x:c r="J1212" s="16" t="n">
        <x:v>20</x:v>
      </x:c>
      <x:c r="K1212" s="16" t="n">
        <x:v>63273</x:v>
      </x:c>
      <x:c r="L1212" s="16" t="n">
        <x:v>63448</x:v>
      </x:c>
      <x:c r="M1212" s="16" t="n">
        <x:v>175</x:v>
      </x:c>
      <x:c r="N1212" s="16" t="n">
        <x:v>0.11428571428571428</x:v>
      </x:c>
      <x:c r="O1212" s="12" t="str">
        <x:v>FTRL44G004</x:v>
      </x:c>
      <x:c r="P1212" s="12" t="str">
        <x:v>LVTH24R036</x:v>
      </x:c>
      <x:c r="Q1212" s="12" t="str"/>
      <x:c r="R1212" s="12" t="str"/>
      <x:c r="S1212" s="12" t="str"/>
      <x:c r="T1212" s="12" t="str">
        <x:v>ABM</x:v>
      </x:c>
      <x:c r="U1212" s="12" t="str"/>
      <x:c r="V1212" s="12" t="str"/>
      <x:c r="W1212" s="12" t="str"/>
      <x:c r="X1212" s="12" t="str">
        <x:v>LVTH24</x:v>
      </x:c>
      <x:c r="Y1212" s="12" t="str">
        <x:v>BADRI &amp; KAMRAN</x:v>
      </x:c>
      <x:c r="Z1212" s="12" t="str">
        <x:v>COAL HAULING</x:v>
      </x:c>
      <x:c r="AA1212" s="32" t="n">
        <x:f>IFERROR(VLOOKUP(G1212,Master_Unit!$A$2:$N$78,7,FALSE),"")</x:f>
        <x:v>0.2</x:v>
      </x:c>
      <x:c r="AB1212" s="32" t="n">
        <x:f>IF(OR(N1212="",AA1212=""),"",N1212-AA1212)</x:f>
        <x:v>-0.08571428571428573</x:v>
      </x:c>
      <x:c r="AC1212" s="20" t="n">
        <x:f>IF(OR(N1212="",AA1212="",AA1212=0),"",AB1212/AA1212)</x:f>
        <x:v>-0.4285714285714286</x:v>
      </x:c>
      <x:c r="AD1212" t="str">
        <x:f>IF(AA1212="","NO STANDARD",IF(AC1212&lt;=Config_Status!$B$2,"EFFICIENT",IF(AC1212&lt;=Config_Status!$B$3,"NORMAL",IF(AC1212&lt;=Config_Status!$B$4,"WARNING","OVER CONSUMPTION"))))</x:f>
        <x:v>EFFICIENT</x:v>
      </x:c>
      <x:c r="AE1212" t="str">
        <x:f>IFERROR(VLOOKUP(G1212,Master_Unit!$A$2:$N$78,13,FALSE),"UNIT NOT FOUND")</x:f>
        <x:v>Matched</x:v>
      </x:c>
    </x:row>
    <x:row r="1213">
      <x:c r="A1213" s="12" t="str">
        <x:v>FU-20260618-01212</x:v>
      </x:c>
      <x:c r="B1213" s="12" t="n">
        <x:v>1342</x:v>
      </x:c>
      <x:c r="C1213" s="14" t="n">
        <x:v>46191</x:v>
      </x:c>
      <x:c r="D1213" s="12" t="str">
        <x:v>Kamis</x:v>
      </x:c>
      <x:c r="E1213" s="12" t="str">
        <x:v>08:24:00</x:v>
      </x:c>
      <x:c r="F1213" s="12" t="str">
        <x:v>All Shift Day</x:v>
      </x:c>
      <x:c r="G1213" s="12" t="str">
        <x:v>LVTH24R033</x:v>
      </x:c>
      <x:c r="H1213" s="12" t="str">
        <x:v>Light Vehicle</x:v>
      </x:c>
      <x:c r="I1213" s="12" t="str">
        <x:v>LIGHT VEHICLE TOYOTA HILUX</x:v>
      </x:c>
      <x:c r="J1213" s="16" t="n">
        <x:v>20</x:v>
      </x:c>
      <x:c r="K1213" s="16" t="n">
        <x:v>140122</x:v>
      </x:c>
      <x:c r="L1213" s="16" t="n">
        <x:v>140307</x:v>
      </x:c>
      <x:c r="M1213" s="16" t="n">
        <x:v>185</x:v>
      </x:c>
      <x:c r="N1213" s="16" t="n">
        <x:v>0.10810810810810811</x:v>
      </x:c>
      <x:c r="O1213" s="12" t="str">
        <x:v>FTRL44G004</x:v>
      </x:c>
      <x:c r="P1213" s="12" t="str">
        <x:v>LVTH24R033</x:v>
      </x:c>
      <x:c r="Q1213" s="12" t="str"/>
      <x:c r="R1213" s="12" t="str"/>
      <x:c r="S1213" s="12" t="str"/>
      <x:c r="T1213" s="12" t="str">
        <x:v>ABM</x:v>
      </x:c>
      <x:c r="U1213" s="12" t="str"/>
      <x:c r="V1213" s="12" t="str"/>
      <x:c r="W1213" s="12" t="str"/>
      <x:c r="X1213" s="12" t="str">
        <x:v>LVTH24</x:v>
      </x:c>
      <x:c r="Y1213" s="12" t="str">
        <x:v>BADRI &amp; KAMRAN</x:v>
      </x:c>
      <x:c r="Z1213" s="12" t="str">
        <x:v>COAL HAULING</x:v>
      </x:c>
      <x:c r="AA1213" s="32" t="n">
        <x:f>IFERROR(VLOOKUP(G1213,Master_Unit!$A$2:$N$78,7,FALSE),"")</x:f>
        <x:v>0.2</x:v>
      </x:c>
      <x:c r="AB1213" s="32" t="n">
        <x:f>IF(OR(N1213="",AA1213=""),"",N1213-AA1213)</x:f>
        <x:v>-0.0918918918918919</x:v>
      </x:c>
      <x:c r="AC1213" s="20" t="n">
        <x:f>IF(OR(N1213="",AA1213="",AA1213=0),"",AB1213/AA1213)</x:f>
        <x:v>-0.4594594594594595</x:v>
      </x:c>
      <x:c r="AD1213" t="str">
        <x:f>IF(AA1213="","NO STANDARD",IF(AC1213&lt;=Config_Status!$B$2,"EFFICIENT",IF(AC1213&lt;=Config_Status!$B$3,"NORMAL",IF(AC1213&lt;=Config_Status!$B$4,"WARNING","OVER CONSUMPTION"))))</x:f>
        <x:v>EFFICIENT</x:v>
      </x:c>
      <x:c r="AE1213" t="str">
        <x:f>IFERROR(VLOOKUP(G1213,Master_Unit!$A$2:$N$78,13,FALSE),"UNIT NOT FOUND")</x:f>
        <x:v>Matched</x:v>
      </x:c>
    </x:row>
    <x:row r="1214">
      <x:c r="A1214" s="12" t="str">
        <x:v>FU-20260618-01213</x:v>
      </x:c>
      <x:c r="B1214" s="12" t="n">
        <x:v>1343</x:v>
      </x:c>
      <x:c r="C1214" s="14" t="n">
        <x:v>46191</x:v>
      </x:c>
      <x:c r="D1214" s="12" t="str">
        <x:v>Kamis</x:v>
      </x:c>
      <x:c r="E1214" s="12" t="str">
        <x:v>08:27:00</x:v>
      </x:c>
      <x:c r="F1214" s="12" t="str">
        <x:v>All Shift Day</x:v>
      </x:c>
      <x:c r="G1214" s="12" t="str">
        <x:v>MGSD20G006</x:v>
      </x:c>
      <x:c r="H1214" s="12" t="str">
        <x:v>Other</x:v>
      </x:c>
      <x:c r="I1214" s="12" t="str">
        <x:v>MOTOR GRADER SDLG GD9220F</x:v>
      </x:c>
      <x:c r="J1214" s="16" t="n">
        <x:v>62</x:v>
      </x:c>
      <x:c r="K1214" s="16" t="n">
        <x:v>2022.3</x:v>
      </x:c>
      <x:c r="L1214" s="16" t="n">
        <x:v>2025.8</x:v>
      </x:c>
      <x:c r="M1214" s="16" t="n">
        <x:v>3.5</x:v>
      </x:c>
      <x:c r="N1214" s="16" t="n">
        <x:v>17.714285714285715</x:v>
      </x:c>
      <x:c r="O1214" s="12" t="str">
        <x:v>FTRL44G004</x:v>
      </x:c>
      <x:c r="P1214" s="12" t="str">
        <x:v>MGSD20G006</x:v>
      </x:c>
      <x:c r="Q1214" s="12" t="str"/>
      <x:c r="R1214" s="12" t="str"/>
      <x:c r="S1214" s="12" t="str"/>
      <x:c r="T1214" s="12" t="str">
        <x:v>ABM</x:v>
      </x:c>
      <x:c r="U1214" s="12" t="str"/>
      <x:c r="V1214" s="12" t="str"/>
      <x:c r="W1214" s="12" t="str"/>
      <x:c r="X1214" s="12" t="str">
        <x:v>MGSD20</x:v>
      </x:c>
      <x:c r="Y1214" s="12" t="str">
        <x:v>BADRI &amp; KAMRAN</x:v>
      </x:c>
      <x:c r="Z1214" s="12" t="str">
        <x:v>COAL HAULING</x:v>
      </x:c>
      <x:c r="AA1214" s="32" t="n">
        <x:f>IFERROR(VLOOKUP(G1214,Master_Unit!$A$2:$N$78,7,FALSE),"")</x:f>
        <x:v>20</x:v>
      </x:c>
      <x:c r="AB1214" s="32" t="n">
        <x:f>IF(OR(N1214="",AA1214=""),"",N1214-AA1214)</x:f>
        <x:v>-2.2857142857142847</x:v>
      </x:c>
      <x:c r="AC1214" s="20" t="n">
        <x:f>IF(OR(N1214="",AA1214="",AA1214=0),"",AB1214/AA1214)</x:f>
        <x:v>-0.11428571428571424</x:v>
      </x:c>
      <x:c r="AD1214" t="str">
        <x:f>IF(AA1214="","NO STANDARD",IF(AC1214&lt;=Config_Status!$B$2,"EFFICIENT",IF(AC1214&lt;=Config_Status!$B$3,"NORMAL",IF(AC1214&lt;=Config_Status!$B$4,"WARNING","OVER CONSUMPTION"))))</x:f>
        <x:v>EFFICIENT</x:v>
      </x:c>
      <x:c r="AE1214" t="str">
        <x:f>IFERROR(VLOOKUP(G1214,Master_Unit!$A$2:$N$78,13,FALSE),"UNIT NOT FOUND")</x:f>
        <x:v>Matched</x:v>
      </x:c>
    </x:row>
    <x:row r="1215">
      <x:c r="A1215" s="12" t="str">
        <x:v>FU-20260618-01214</x:v>
      </x:c>
      <x:c r="B1215" s="12" t="n">
        <x:v>1344</x:v>
      </x:c>
      <x:c r="C1215" s="14" t="n">
        <x:v>46191</x:v>
      </x:c>
      <x:c r="D1215" s="12" t="str">
        <x:v>Kamis</x:v>
      </x:c>
      <x:c r="E1215" s="12" t="str">
        <x:v>08:30:00</x:v>
      </x:c>
      <x:c r="F1215" s="12" t="str">
        <x:v>All Shift Day</x:v>
      </x:c>
      <x:c r="G1215" s="12" t="str">
        <x:v>LVTH24R052</x:v>
      </x:c>
      <x:c r="H1215" s="12" t="str">
        <x:v>Light Vehicle</x:v>
      </x:c>
      <x:c r="I1215" s="12" t="str">
        <x:v>LIGHT VEHICLE TOYOTA HILUX</x:v>
      </x:c>
      <x:c r="J1215" s="16" t="n">
        <x:v>20</x:v>
      </x:c>
      <x:c r="K1215" s="16" t="n">
        <x:v>13690</x:v>
      </x:c>
      <x:c r="L1215" s="16" t="n">
        <x:v>13704</x:v>
      </x:c>
      <x:c r="M1215" s="16" t="n">
        <x:v>14</x:v>
      </x:c>
      <x:c r="N1215" s="16" t="n">
        <x:v>1.4285714285714286</x:v>
      </x:c>
      <x:c r="O1215" s="12" t="str">
        <x:v>FTRL44G004</x:v>
      </x:c>
      <x:c r="P1215" s="12" t="str">
        <x:v>LVTH24R052</x:v>
      </x:c>
      <x:c r="Q1215" s="12" t="str"/>
      <x:c r="R1215" s="12" t="str"/>
      <x:c r="S1215" s="12" t="str"/>
      <x:c r="T1215" s="12" t="str">
        <x:v>ABM</x:v>
      </x:c>
      <x:c r="U1215" s="12" t="str"/>
      <x:c r="V1215" s="12" t="str"/>
      <x:c r="W1215" s="12" t="str"/>
      <x:c r="X1215" s="12" t="str">
        <x:v>LVTH24</x:v>
      </x:c>
      <x:c r="Y1215" s="12" t="str">
        <x:v>BADRI &amp; KAMRAN</x:v>
      </x:c>
      <x:c r="Z1215" s="12" t="str">
        <x:v>ETO</x:v>
      </x:c>
      <x:c r="AA1215" s="32" t="n">
        <x:f>IFERROR(VLOOKUP(G1215,Master_Unit!$A$2:$N$78,7,FALSE),"")</x:f>
        <x:v>0.2</x:v>
      </x:c>
      <x:c r="AB1215" s="32" t="n">
        <x:f>IF(OR(N1215="",AA1215=""),"",N1215-AA1215)</x:f>
        <x:v>1.2285714285714286</x:v>
      </x:c>
      <x:c r="AC1215" s="20" t="n">
        <x:f>IF(OR(N1215="",AA1215="",AA1215=0),"",AB1215/AA1215)</x:f>
        <x:v>6.142857142857143</x:v>
      </x:c>
      <x:c r="AD1215" t="str">
        <x:f>IF(AA1215="","NO STANDARD",IF(AC1215&lt;=Config_Status!$B$2,"EFFICIENT",IF(AC1215&lt;=Config_Status!$B$3,"NORMAL",IF(AC1215&lt;=Config_Status!$B$4,"WARNING","OVER CONSUMPTION"))))</x:f>
        <x:v>OVER CONSUMPTION</x:v>
      </x:c>
      <x:c r="AE1215" t="str">
        <x:f>IFERROR(VLOOKUP(G1215,Master_Unit!$A$2:$N$78,13,FALSE),"UNIT NOT FOUND")</x:f>
        <x:v>Matched</x:v>
      </x:c>
    </x:row>
    <x:row r="1216">
      <x:c r="A1216" s="12" t="str">
        <x:v>FU-20260618-01215</x:v>
      </x:c>
      <x:c r="B1216" s="12" t="n">
        <x:v>1345</x:v>
      </x:c>
      <x:c r="C1216" s="14" t="n">
        <x:v>46191</x:v>
      </x:c>
      <x:c r="D1216" s="12" t="str">
        <x:v>Kamis</x:v>
      </x:c>
      <x:c r="E1216" s="12" t="str">
        <x:v>08:32:00</x:v>
      </x:c>
      <x:c r="F1216" s="12" t="str">
        <x:v>All Shift Day</x:v>
      </x:c>
      <x:c r="G1216" s="12" t="str">
        <x:v>STRL44G141</x:v>
      </x:c>
      <x:c r="H1216" s="12" t="str">
        <x:v>Dump Truck</x:v>
      </x:c>
      <x:c r="I1216" s="12" t="str">
        <x:v>DUMP TRUCK RENAULT KRANGE440-P6X4 A/T</x:v>
      </x:c>
      <x:c r="J1216" s="16" t="n">
        <x:v>90</x:v>
      </x:c>
      <x:c r="K1216" s="16" t="n">
        <x:v>3258</x:v>
      </x:c>
      <x:c r="L1216" s="16" t="n">
        <x:v>3269</x:v>
      </x:c>
      <x:c r="M1216" s="16" t="n">
        <x:v>11</x:v>
      </x:c>
      <x:c r="N1216" s="16" t="n">
        <x:v>8.181818181818182</x:v>
      </x:c>
      <x:c r="O1216" s="12" t="str">
        <x:v>FTRL44G004</x:v>
      </x:c>
      <x:c r="P1216" s="12" t="str">
        <x:v>STRL44G141</x:v>
      </x:c>
      <x:c r="Q1216" s="12" t="str"/>
      <x:c r="R1216" s="12" t="str"/>
      <x:c r="S1216" s="12" t="str"/>
      <x:c r="T1216" s="12" t="str">
        <x:v>ABM</x:v>
      </x:c>
      <x:c r="U1216" s="12" t="str"/>
      <x:c r="V1216" s="12" t="str"/>
      <x:c r="W1216" s="12" t="str"/>
      <x:c r="X1216" s="12" t="str">
        <x:v>STRL44</x:v>
      </x:c>
      <x:c r="Y1216" s="12" t="str">
        <x:v>BADRI &amp; KAMRAN</x:v>
      </x:c>
      <x:c r="Z1216" s="12" t="str">
        <x:v>PIT</x:v>
      </x:c>
      <x:c r="AA1216" s="32" t="n">
        <x:f>IFERROR(VLOOKUP(G1216,Master_Unit!$A$2:$N$78,7,FALSE),"")</x:f>
        <x:v>20</x:v>
      </x:c>
      <x:c r="AB1216" s="32" t="n">
        <x:f>IF(OR(N1216="",AA1216=""),"",N1216-AA1216)</x:f>
        <x:v>-11.818181818181818</x:v>
      </x:c>
      <x:c r="AC1216" s="20" t="n">
        <x:f>IF(OR(N1216="",AA1216="",AA1216=0),"",AB1216/AA1216)</x:f>
        <x:v>-0.5909090909090909</x:v>
      </x:c>
      <x:c r="AD1216" t="str">
        <x:f>IF(AA1216="","NO STANDARD",IF(AC1216&lt;=Config_Status!$B$2,"EFFICIENT",IF(AC1216&lt;=Config_Status!$B$3,"NORMAL",IF(AC1216&lt;=Config_Status!$B$4,"WARNING","OVER CONSUMPTION"))))</x:f>
        <x:v>EFFICIENT</x:v>
      </x:c>
      <x:c r="AE1216" t="str">
        <x:f>IFERROR(VLOOKUP(G1216,Master_Unit!$A$2:$N$78,13,FALSE),"UNIT NOT FOUND")</x:f>
        <x:v>Matched</x:v>
      </x:c>
    </x:row>
    <x:row r="1217">
      <x:c r="A1217" s="12" t="str">
        <x:v>FU-20260618-01216</x:v>
      </x:c>
      <x:c r="B1217" s="12" t="n">
        <x:v>1346</x:v>
      </x:c>
      <x:c r="C1217" s="14" t="n">
        <x:v>46191</x:v>
      </x:c>
      <x:c r="D1217" s="12" t="str">
        <x:v>Kamis</x:v>
      </x:c>
      <x:c r="E1217" s="12" t="str">
        <x:v>08:45:00</x:v>
      </x:c>
      <x:c r="F1217" s="12" t="str">
        <x:v>All Shift Day</x:v>
      </x:c>
      <x:c r="G1217" s="12" t="str">
        <x:v>LVTH24R035</x:v>
      </x:c>
      <x:c r="H1217" s="12" t="str">
        <x:v>Light Vehicle</x:v>
      </x:c>
      <x:c r="I1217" s="12" t="str">
        <x:v>LIGHT VEHICLE TOYOTA HILUX</x:v>
      </x:c>
      <x:c r="J1217" s="16" t="n">
        <x:v>20</x:v>
      </x:c>
      <x:c r="K1217" s="16" t="n">
        <x:v>70940</x:v>
      </x:c>
      <x:c r="L1217" s="16" t="n">
        <x:v>71299</x:v>
      </x:c>
      <x:c r="M1217" s="16" t="n">
        <x:v>359</x:v>
      </x:c>
      <x:c r="N1217" s="16" t="n">
        <x:v>0.055710306406685235</x:v>
      </x:c>
      <x:c r="O1217" s="12" t="str">
        <x:v>FTRL44G004</x:v>
      </x:c>
      <x:c r="P1217" s="12" t="str">
        <x:v>LVTH24R035</x:v>
      </x:c>
      <x:c r="Q1217" s="12" t="str"/>
      <x:c r="R1217" s="12" t="str"/>
      <x:c r="S1217" s="12" t="str"/>
      <x:c r="T1217" s="12" t="str">
        <x:v>ABM</x:v>
      </x:c>
      <x:c r="U1217" s="12" t="str"/>
      <x:c r="V1217" s="12" t="str"/>
      <x:c r="W1217" s="12" t="str"/>
      <x:c r="X1217" s="12" t="str">
        <x:v>LVTH24</x:v>
      </x:c>
      <x:c r="Y1217" s="12" t="str">
        <x:v>BADRI &amp; KAMRAN</x:v>
      </x:c>
      <x:c r="Z1217" s="12" t="str">
        <x:v>PIT</x:v>
      </x:c>
      <x:c r="AA1217" s="32" t="n">
        <x:f>IFERROR(VLOOKUP(G1217,Master_Unit!$A$2:$N$78,7,FALSE),"")</x:f>
        <x:v>0.2</x:v>
      </x:c>
      <x:c r="AB1217" s="32" t="n">
        <x:f>IF(OR(N1217="",AA1217=""),"",N1217-AA1217)</x:f>
        <x:v>-0.14428969359331478</x:v>
      </x:c>
      <x:c r="AC1217" s="20" t="n">
        <x:f>IF(OR(N1217="",AA1217="",AA1217=0),"",AB1217/AA1217)</x:f>
        <x:v>-0.7214484679665739</x:v>
      </x:c>
      <x:c r="AD1217" t="str">
        <x:f>IF(AA1217="","NO STANDARD",IF(AC1217&lt;=Config_Status!$B$2,"EFFICIENT",IF(AC1217&lt;=Config_Status!$B$3,"NORMAL",IF(AC1217&lt;=Config_Status!$B$4,"WARNING","OVER CONSUMPTION"))))</x:f>
        <x:v>EFFICIENT</x:v>
      </x:c>
      <x:c r="AE1217" t="str">
        <x:f>IFERROR(VLOOKUP(G1217,Master_Unit!$A$2:$N$78,13,FALSE),"UNIT NOT FOUND")</x:f>
        <x:v>Matched</x:v>
      </x:c>
    </x:row>
    <x:row r="1218">
      <x:c r="A1218" s="12" t="str">
        <x:v>FU-20260618-01217</x:v>
      </x:c>
      <x:c r="B1218" s="12" t="n">
        <x:v>1347</x:v>
      </x:c>
      <x:c r="C1218" s="14" t="n">
        <x:v>46191</x:v>
      </x:c>
      <x:c r="D1218" s="12" t="str">
        <x:v>Kamis</x:v>
      </x:c>
      <x:c r="E1218" s="12" t="str">
        <x:v>08:59:00</x:v>
      </x:c>
      <x:c r="F1218" s="12" t="str">
        <x:v>All Shift Day</x:v>
      </x:c>
      <x:c r="G1218" s="12" t="str">
        <x:v>LVTH24R026</x:v>
      </x:c>
      <x:c r="H1218" s="12" t="str">
        <x:v>Light Vehicle</x:v>
      </x:c>
      <x:c r="I1218" s="12" t="str">
        <x:v>LIGHT VEHICLE TOYOTA HILUX</x:v>
      </x:c>
      <x:c r="J1218" s="16" t="n">
        <x:v>20</x:v>
      </x:c>
      <x:c r="K1218" s="16" t="n">
        <x:v>60061</x:v>
      </x:c>
      <x:c r="L1218" s="16" t="n">
        <x:v>60135</x:v>
      </x:c>
      <x:c r="M1218" s="16" t="n">
        <x:v>74</x:v>
      </x:c>
      <x:c r="N1218" s="16" t="n">
        <x:v>0.2702702702702703</x:v>
      </x:c>
      <x:c r="O1218" s="12" t="str">
        <x:v>FTRL44G004</x:v>
      </x:c>
      <x:c r="P1218" s="12" t="str">
        <x:v>LVTH24R026</x:v>
      </x:c>
      <x:c r="Q1218" s="12" t="str"/>
      <x:c r="R1218" s="12" t="str"/>
      <x:c r="S1218" s="12" t="str"/>
      <x:c r="T1218" s="12" t="str">
        <x:v>ABM</x:v>
      </x:c>
      <x:c r="U1218" s="12" t="str"/>
      <x:c r="V1218" s="12" t="str"/>
      <x:c r="W1218" s="12" t="str"/>
      <x:c r="X1218" s="12" t="str">
        <x:v>LVTH24</x:v>
      </x:c>
      <x:c r="Y1218" s="12" t="str">
        <x:v>BADRI &amp; KAMRAN</x:v>
      </x:c>
      <x:c r="Z1218" s="12" t="str">
        <x:v>PIT</x:v>
      </x:c>
      <x:c r="AA1218" s="32" t="n">
        <x:f>IFERROR(VLOOKUP(G1218,Master_Unit!$A$2:$N$78,7,FALSE),"")</x:f>
        <x:v>0.2</x:v>
      </x:c>
      <x:c r="AB1218" s="32" t="n">
        <x:f>IF(OR(N1218="",AA1218=""),"",N1218-AA1218)</x:f>
        <x:v>0.07027027027027027</x:v>
      </x:c>
      <x:c r="AC1218" s="20" t="n">
        <x:f>IF(OR(N1218="",AA1218="",AA1218=0),"",AB1218/AA1218)</x:f>
        <x:v>0.35135135135135137</x:v>
      </x:c>
      <x:c r="AD1218" t="str">
        <x:f>IF(AA1218="","NO STANDARD",IF(AC1218&lt;=Config_Status!$B$2,"EFFICIENT",IF(AC1218&lt;=Config_Status!$B$3,"NORMAL",IF(AC1218&lt;=Config_Status!$B$4,"WARNING","OVER CONSUMPTION"))))</x:f>
        <x:v>OVER CONSUMPTION</x:v>
      </x:c>
      <x:c r="AE1218" t="str">
        <x:f>IFERROR(VLOOKUP(G1218,Master_Unit!$A$2:$N$78,13,FALSE),"UNIT NOT FOUND")</x:f>
        <x:v>Matched</x:v>
      </x:c>
    </x:row>
    <x:row r="1219">
      <x:c r="A1219" s="12" t="str">
        <x:v>FU-20260618-01218</x:v>
      </x:c>
      <x:c r="B1219" s="12" t="n">
        <x:v>1348</x:v>
      </x:c>
      <x:c r="C1219" s="14" t="n">
        <x:v>46191</x:v>
      </x:c>
      <x:c r="D1219" s="12" t="str">
        <x:v>Kamis</x:v>
      </x:c>
      <x:c r="E1219" s="12" t="str">
        <x:v>09:01:00</x:v>
      </x:c>
      <x:c r="F1219" s="12" t="str">
        <x:v>All Shift Day</x:v>
      </x:c>
      <x:c r="G1219" s="12" t="str">
        <x:v>STRL44G138</x:v>
      </x:c>
      <x:c r="H1219" s="12" t="str">
        <x:v>Dump Truck</x:v>
      </x:c>
      <x:c r="I1219" s="12" t="str">
        <x:v>DUMP TRUCK RENAULT KRANGE440-P6X4 A/T</x:v>
      </x:c>
      <x:c r="J1219" s="16" t="n">
        <x:v>78</x:v>
      </x:c>
      <x:c r="K1219" s="16" t="n">
        <x:v>5393</x:v>
      </x:c>
      <x:c r="L1219" s="16" t="n">
        <x:v>5406</x:v>
      </x:c>
      <x:c r="M1219" s="16" t="n">
        <x:v>13</x:v>
      </x:c>
      <x:c r="N1219" s="16" t="n">
        <x:v>6</x:v>
      </x:c>
      <x:c r="O1219" s="12" t="str">
        <x:v>FTRL44G004</x:v>
      </x:c>
      <x:c r="P1219" s="12" t="str">
        <x:v>STRL44G138</x:v>
      </x:c>
      <x:c r="Q1219" s="12" t="str"/>
      <x:c r="R1219" s="12" t="str"/>
      <x:c r="S1219" s="12" t="str"/>
      <x:c r="T1219" s="12" t="str">
        <x:v>ABM</x:v>
      </x:c>
      <x:c r="U1219" s="12" t="str"/>
      <x:c r="V1219" s="12" t="str"/>
      <x:c r="W1219" s="12" t="str"/>
      <x:c r="X1219" s="12" t="str">
        <x:v>STRL44</x:v>
      </x:c>
      <x:c r="Y1219" s="12" t="str">
        <x:v>BADRI &amp; KAMRAN</x:v>
      </x:c>
      <x:c r="Z1219" s="12" t="str">
        <x:v>PIT</x:v>
      </x:c>
      <x:c r="AA1219" s="32" t="n">
        <x:f>IFERROR(VLOOKUP(G1219,Master_Unit!$A$2:$N$78,7,FALSE),"")</x:f>
        <x:v>20</x:v>
      </x:c>
      <x:c r="AB1219" s="32" t="n">
        <x:f>IF(OR(N1219="",AA1219=""),"",N1219-AA1219)</x:f>
        <x:v>-14</x:v>
      </x:c>
      <x:c r="AC1219" s="20" t="n">
        <x:f>IF(OR(N1219="",AA1219="",AA1219=0),"",AB1219/AA1219)</x:f>
        <x:v>-0.7</x:v>
      </x:c>
      <x:c r="AD1219" t="str">
        <x:f>IF(AA1219="","NO STANDARD",IF(AC1219&lt;=Config_Status!$B$2,"EFFICIENT",IF(AC1219&lt;=Config_Status!$B$3,"NORMAL",IF(AC1219&lt;=Config_Status!$B$4,"WARNING","OVER CONSUMPTION"))))</x:f>
        <x:v>EFFICIENT</x:v>
      </x:c>
      <x:c r="AE1219" t="str">
        <x:f>IFERROR(VLOOKUP(G1219,Master_Unit!$A$2:$N$78,13,FALSE),"UNIT NOT FOUND")</x:f>
        <x:v>Matched</x:v>
      </x:c>
    </x:row>
    <x:row r="1220">
      <x:c r="A1220" s="12" t="str">
        <x:v>FU-20260618-01219</x:v>
      </x:c>
      <x:c r="B1220" s="12" t="n">
        <x:v>1349</x:v>
      </x:c>
      <x:c r="C1220" s="14" t="n">
        <x:v>46191</x:v>
      </x:c>
      <x:c r="D1220" s="12" t="str">
        <x:v>Kamis</x:v>
      </x:c>
      <x:c r="E1220" s="12" t="str">
        <x:v>09:05:00</x:v>
      </x:c>
      <x:c r="F1220" s="12" t="str">
        <x:v>All Shift Day</x:v>
      </x:c>
      <x:c r="G1220" s="12" t="str">
        <x:v>STRL44G139</x:v>
      </x:c>
      <x:c r="H1220" s="12" t="str">
        <x:v>Dump Truck</x:v>
      </x:c>
      <x:c r="I1220" s="12" t="str">
        <x:v>DUMP TRUCK RENAULT KRANGE440-P6X4 A/T</x:v>
      </x:c>
      <x:c r="J1220" s="16" t="n">
        <x:v>78</x:v>
      </x:c>
      <x:c r="K1220" s="16" t="n">
        <x:v>5074</x:v>
      </x:c>
      <x:c r="L1220" s="16" t="n">
        <x:v>5081</x:v>
      </x:c>
      <x:c r="M1220" s="16" t="n">
        <x:v>7</x:v>
      </x:c>
      <x:c r="N1220" s="16" t="n">
        <x:v>11.142857142857142</x:v>
      </x:c>
      <x:c r="O1220" s="12" t="str">
        <x:v>FTRL44G004</x:v>
      </x:c>
      <x:c r="P1220" s="12" t="str">
        <x:v>STRL44G139</x:v>
      </x:c>
      <x:c r="Q1220" s="12" t="str"/>
      <x:c r="R1220" s="12" t="str"/>
      <x:c r="S1220" s="12" t="str"/>
      <x:c r="T1220" s="12" t="str">
        <x:v>ABM</x:v>
      </x:c>
      <x:c r="U1220" s="12" t="str"/>
      <x:c r="V1220" s="12" t="str"/>
      <x:c r="W1220" s="12" t="str"/>
      <x:c r="X1220" s="12" t="str">
        <x:v>STRL44</x:v>
      </x:c>
      <x:c r="Y1220" s="12" t="str">
        <x:v>BADRI &amp; KAMRAN</x:v>
      </x:c>
      <x:c r="Z1220" s="12" t="str">
        <x:v>PIT</x:v>
      </x:c>
      <x:c r="AA1220" s="32" t="n">
        <x:f>IFERROR(VLOOKUP(G1220,Master_Unit!$A$2:$N$78,7,FALSE),"")</x:f>
        <x:v>20</x:v>
      </x:c>
      <x:c r="AB1220" s="32" t="n">
        <x:f>IF(OR(N1220="",AA1220=""),"",N1220-AA1220)</x:f>
        <x:v>-8.857142857142858</x:v>
      </x:c>
      <x:c r="AC1220" s="20" t="n">
        <x:f>IF(OR(N1220="",AA1220="",AA1220=0),"",AB1220/AA1220)</x:f>
        <x:v>-0.4428571428571429</x:v>
      </x:c>
      <x:c r="AD1220" t="str">
        <x:f>IF(AA1220="","NO STANDARD",IF(AC1220&lt;=Config_Status!$B$2,"EFFICIENT",IF(AC1220&lt;=Config_Status!$B$3,"NORMAL",IF(AC1220&lt;=Config_Status!$B$4,"WARNING","OVER CONSUMPTION"))))</x:f>
        <x:v>EFFICIENT</x:v>
      </x:c>
      <x:c r="AE1220" t="str">
        <x:f>IFERROR(VLOOKUP(G1220,Master_Unit!$A$2:$N$78,13,FALSE),"UNIT NOT FOUND")</x:f>
        <x:v>Matched</x:v>
      </x:c>
    </x:row>
    <x:row r="1221">
      <x:c r="A1221" s="12" t="str">
        <x:v>FU-20260618-01220</x:v>
      </x:c>
      <x:c r="B1221" s="12" t="n">
        <x:v>1350</x:v>
      </x:c>
      <x:c r="C1221" s="14" t="n">
        <x:v>46191</x:v>
      </x:c>
      <x:c r="D1221" s="12" t="str">
        <x:v>Kamis</x:v>
      </x:c>
      <x:c r="E1221" s="12" t="str">
        <x:v>09:16:00</x:v>
      </x:c>
      <x:c r="F1221" s="12" t="str">
        <x:v>All Shift Day</x:v>
      </x:c>
      <x:c r="G1221" s="12" t="str">
        <x:v>STRL44G140</x:v>
      </x:c>
      <x:c r="H1221" s="12" t="str">
        <x:v>Dump Truck</x:v>
      </x:c>
      <x:c r="I1221" s="12" t="str">
        <x:v>DUMP TRUCK RENAULT KRANGE440-P6X4 A/T</x:v>
      </x:c>
      <x:c r="J1221" s="16" t="n">
        <x:v>78</x:v>
      </x:c>
      <x:c r="K1221" s="16" t="n">
        <x:v>5200</x:v>
      </x:c>
      <x:c r="L1221" s="16" t="n">
        <x:v>5215</x:v>
      </x:c>
      <x:c r="M1221" s="16" t="n">
        <x:v>15</x:v>
      </x:c>
      <x:c r="N1221" s="16" t="n">
        <x:v>5.2</x:v>
      </x:c>
      <x:c r="O1221" s="12" t="str">
        <x:v>FTRL44G004</x:v>
      </x:c>
      <x:c r="P1221" s="12" t="str">
        <x:v>STRL44G140</x:v>
      </x:c>
      <x:c r="Q1221" s="12" t="str"/>
      <x:c r="R1221" s="12" t="str"/>
      <x:c r="S1221" s="12" t="str"/>
      <x:c r="T1221" s="12" t="str">
        <x:v>ABM</x:v>
      </x:c>
      <x:c r="U1221" s="12" t="str"/>
      <x:c r="V1221" s="12" t="str"/>
      <x:c r="W1221" s="12" t="str"/>
      <x:c r="X1221" s="12" t="str">
        <x:v>STRL44</x:v>
      </x:c>
      <x:c r="Y1221" s="12" t="str">
        <x:v>BADRI &amp; KAMRAN</x:v>
      </x:c>
      <x:c r="Z1221" s="12" t="str">
        <x:v>PIT</x:v>
      </x:c>
      <x:c r="AA1221" s="32" t="n">
        <x:f>IFERROR(VLOOKUP(G1221,Master_Unit!$A$2:$N$78,7,FALSE),"")</x:f>
        <x:v>20</x:v>
      </x:c>
      <x:c r="AB1221" s="32" t="n">
        <x:f>IF(OR(N1221="",AA1221=""),"",N1221-AA1221)</x:f>
        <x:v>-14.8</x:v>
      </x:c>
      <x:c r="AC1221" s="20" t="n">
        <x:f>IF(OR(N1221="",AA1221="",AA1221=0),"",AB1221/AA1221)</x:f>
        <x:v>-0.74</x:v>
      </x:c>
      <x:c r="AD1221" t="str">
        <x:f>IF(AA1221="","NO STANDARD",IF(AC1221&lt;=Config_Status!$B$2,"EFFICIENT",IF(AC1221&lt;=Config_Status!$B$3,"NORMAL",IF(AC1221&lt;=Config_Status!$B$4,"WARNING","OVER CONSUMPTION"))))</x:f>
        <x:v>EFFICIENT</x:v>
      </x:c>
      <x:c r="AE1221" t="str">
        <x:f>IFERROR(VLOOKUP(G1221,Master_Unit!$A$2:$N$78,13,FALSE),"UNIT NOT FOUND")</x:f>
        <x:v>Matched</x:v>
      </x:c>
    </x:row>
    <x:row r="1222">
      <x:c r="A1222" s="12" t="str">
        <x:v>FU-20260618-01221</x:v>
      </x:c>
      <x:c r="B1222" s="12" t="n">
        <x:v>1351</x:v>
      </x:c>
      <x:c r="C1222" s="14" t="n">
        <x:v>46191</x:v>
      </x:c>
      <x:c r="D1222" s="12" t="str">
        <x:v>Kamis</x:v>
      </x:c>
      <x:c r="E1222" s="12" t="str">
        <x:v>09:38:00</x:v>
      </x:c>
      <x:c r="F1222" s="12" t="str">
        <x:v>All Shift Day</x:v>
      </x:c>
      <x:c r="G1222" s="12" t="str">
        <x:v>BDKM85G039</x:v>
      </x:c>
      <x:c r="H1222" s="12" t="str">
        <x:v>Dozer</x:v>
      </x:c>
      <x:c r="I1222" s="12" t="str">
        <x:v>BULDOZER KOMATSU D85ESS-2</x:v>
      </x:c>
      <x:c r="J1222" s="16" t="n">
        <x:v>90</x:v>
      </x:c>
      <x:c r="K1222" s="16" t="n">
        <x:v>7158.3</x:v>
      </x:c>
      <x:c r="L1222" s="16" t="n">
        <x:v>7161.8</x:v>
      </x:c>
      <x:c r="M1222" s="16" t="n">
        <x:v>3.5</x:v>
      </x:c>
      <x:c r="N1222" s="16" t="n">
        <x:v>25.714285714285715</x:v>
      </x:c>
      <x:c r="O1222" s="12" t="str">
        <x:v>FTRL44G004</x:v>
      </x:c>
      <x:c r="P1222" s="12" t="str">
        <x:v>BDKM85G039</x:v>
      </x:c>
      <x:c r="Q1222" s="12" t="str"/>
      <x:c r="R1222" s="12" t="str"/>
      <x:c r="S1222" s="12" t="str"/>
      <x:c r="T1222" s="12" t="str">
        <x:v>ABM</x:v>
      </x:c>
      <x:c r="U1222" s="12" t="str"/>
      <x:c r="V1222" s="12" t="str"/>
      <x:c r="W1222" s="12" t="str"/>
      <x:c r="X1222" s="12" t="str">
        <x:v>BDKM85</x:v>
      </x:c>
      <x:c r="Y1222" s="12" t="str">
        <x:v>BADRI &amp; KAMRAN</x:v>
      </x:c>
      <x:c r="Z1222" s="12" t="str">
        <x:v>PIT</x:v>
      </x:c>
      <x:c r="AA1222" s="32" t="n">
        <x:f>IFERROR(VLOOKUP(G1222,Master_Unit!$A$2:$N$78,7,FALSE),"")</x:f>
        <x:v>30</x:v>
      </x:c>
      <x:c r="AB1222" s="32" t="n">
        <x:f>IF(OR(N1222="",AA1222=""),"",N1222-AA1222)</x:f>
        <x:v>-4.285714285714285</x:v>
      </x:c>
      <x:c r="AC1222" s="20" t="n">
        <x:f>IF(OR(N1222="",AA1222="",AA1222=0),"",AB1222/AA1222)</x:f>
        <x:v>-0.14285714285714282</x:v>
      </x:c>
      <x:c r="AD1222" t="str">
        <x:f>IF(AA1222="","NO STANDARD",IF(AC1222&lt;=Config_Status!$B$2,"EFFICIENT",IF(AC1222&lt;=Config_Status!$B$3,"NORMAL",IF(AC1222&lt;=Config_Status!$B$4,"WARNING","OVER CONSUMPTION"))))</x:f>
        <x:v>EFFICIENT</x:v>
      </x:c>
      <x:c r="AE1222" t="str">
        <x:f>IFERROR(VLOOKUP(G1222,Master_Unit!$A$2:$N$78,13,FALSE),"UNIT NOT FOUND")</x:f>
        <x:v>Matched</x:v>
      </x:c>
    </x:row>
    <x:row r="1223">
      <x:c r="A1223" s="12" t="str">
        <x:v>FU-20260618-01222</x:v>
      </x:c>
      <x:c r="B1223" s="12" t="n">
        <x:v>1352</x:v>
      </x:c>
      <x:c r="C1223" s="14" t="n">
        <x:v>46191</x:v>
      </x:c>
      <x:c r="D1223" s="12" t="str">
        <x:v>Kamis</x:v>
      </x:c>
      <x:c r="E1223" s="12" t="str">
        <x:v>09:52:00</x:v>
      </x:c>
      <x:c r="F1223" s="12" t="str">
        <x:v>All Shift Day</x:v>
      </x:c>
      <x:c r="G1223" s="12" t="str">
        <x:v>STRL44G136</x:v>
      </x:c>
      <x:c r="H1223" s="12" t="str">
        <x:v>Dump Truck</x:v>
      </x:c>
      <x:c r="I1223" s="12" t="str">
        <x:v>DUMP TRUCK RENAULT KRANGE440-P6X4 A/T</x:v>
      </x:c>
      <x:c r="J1223" s="16" t="n">
        <x:v>76</x:v>
      </x:c>
      <x:c r="K1223" s="16" t="n">
        <x:v>5931</x:v>
      </x:c>
      <x:c r="L1223" s="16" t="n">
        <x:v>5938</x:v>
      </x:c>
      <x:c r="M1223" s="16" t="n">
        <x:v>7</x:v>
      </x:c>
      <x:c r="N1223" s="16" t="n">
        <x:v>10.857142857142858</x:v>
      </x:c>
      <x:c r="O1223" s="12" t="str">
        <x:v>FTRL44G004</x:v>
      </x:c>
      <x:c r="P1223" s="12" t="str">
        <x:v>STRL44G136</x:v>
      </x:c>
      <x:c r="Q1223" s="12" t="str"/>
      <x:c r="R1223" s="12" t="str"/>
      <x:c r="S1223" s="12" t="str"/>
      <x:c r="T1223" s="12" t="str">
        <x:v>ABM</x:v>
      </x:c>
      <x:c r="U1223" s="12" t="str"/>
      <x:c r="V1223" s="12" t="str"/>
      <x:c r="W1223" s="12" t="str"/>
      <x:c r="X1223" s="12" t="str">
        <x:v>STRL44</x:v>
      </x:c>
      <x:c r="Y1223" s="12" t="str">
        <x:v>BADRI &amp; KAMRAN</x:v>
      </x:c>
      <x:c r="Z1223" s="12" t="str">
        <x:v>PIT</x:v>
      </x:c>
      <x:c r="AA1223" s="32" t="n">
        <x:f>IFERROR(VLOOKUP(G1223,Master_Unit!$A$2:$N$78,7,FALSE),"")</x:f>
        <x:v>20</x:v>
      </x:c>
      <x:c r="AB1223" s="32" t="n">
        <x:f>IF(OR(N1223="",AA1223=""),"",N1223-AA1223)</x:f>
        <x:v>-9.142857142857142</x:v>
      </x:c>
      <x:c r="AC1223" s="20" t="n">
        <x:f>IF(OR(N1223="",AA1223="",AA1223=0),"",AB1223/AA1223)</x:f>
        <x:v>-0.45714285714285713</x:v>
      </x:c>
      <x:c r="AD1223" t="str">
        <x:f>IF(AA1223="","NO STANDARD",IF(AC1223&lt;=Config_Status!$B$2,"EFFICIENT",IF(AC1223&lt;=Config_Status!$B$3,"NORMAL",IF(AC1223&lt;=Config_Status!$B$4,"WARNING","OVER CONSUMPTION"))))</x:f>
        <x:v>EFFICIENT</x:v>
      </x:c>
      <x:c r="AE1223" t="str">
        <x:f>IFERROR(VLOOKUP(G1223,Master_Unit!$A$2:$N$78,13,FALSE),"UNIT NOT FOUND")</x:f>
        <x:v>Matched</x:v>
      </x:c>
    </x:row>
    <x:row r="1224">
      <x:c r="A1224" s="12" t="str">
        <x:v>FU-20260618-01223</x:v>
      </x:c>
      <x:c r="B1224" s="12" t="n">
        <x:v>1353</x:v>
      </x:c>
      <x:c r="C1224" s="14" t="n">
        <x:v>46191</x:v>
      </x:c>
      <x:c r="D1224" s="12" t="str">
        <x:v>Kamis</x:v>
      </x:c>
      <x:c r="E1224" s="12" t="str">
        <x:v>10:07:00</x:v>
      </x:c>
      <x:c r="F1224" s="12" t="str">
        <x:v>All Shift Day</x:v>
      </x:c>
      <x:c r="G1224" s="12" t="str">
        <x:v>LVTH24R034</x:v>
      </x:c>
      <x:c r="H1224" s="12" t="str">
        <x:v>Light Vehicle</x:v>
      </x:c>
      <x:c r="I1224" s="12" t="str">
        <x:v>LIGHT VEHICLE TOYOTA HILUX</x:v>
      </x:c>
      <x:c r="J1224" s="16" t="n">
        <x:v>30</x:v>
      </x:c>
      <x:c r="K1224" s="16" t="n">
        <x:v>49652</x:v>
      </x:c>
      <x:c r="L1224" s="16" t="n">
        <x:v>49788</x:v>
      </x:c>
      <x:c r="M1224" s="16" t="n">
        <x:v>136</x:v>
      </x:c>
      <x:c r="N1224" s="16" t="n">
        <x:v>0.22058823529411764</x:v>
      </x:c>
      <x:c r="O1224" s="12" t="str">
        <x:v>FTRL44G004</x:v>
      </x:c>
      <x:c r="P1224" s="12" t="str">
        <x:v>LVTH24R034</x:v>
      </x:c>
      <x:c r="Q1224" s="12" t="str"/>
      <x:c r="R1224" s="12" t="str"/>
      <x:c r="S1224" s="12" t="str"/>
      <x:c r="T1224" s="12" t="str">
        <x:v>ABM</x:v>
      </x:c>
      <x:c r="U1224" s="12" t="str"/>
      <x:c r="V1224" s="12" t="str"/>
      <x:c r="W1224" s="12" t="str"/>
      <x:c r="X1224" s="12" t="str">
        <x:v>LVTH24</x:v>
      </x:c>
      <x:c r="Y1224" s="12" t="str">
        <x:v>BADRI &amp; KAMRAN</x:v>
      </x:c>
      <x:c r="Z1224" s="12" t="str">
        <x:v>PIT</x:v>
      </x:c>
      <x:c r="AA1224" s="32" t="n">
        <x:f>IFERROR(VLOOKUP(G1224,Master_Unit!$A$2:$N$78,7,FALSE),"")</x:f>
        <x:v>0.2</x:v>
      </x:c>
      <x:c r="AB1224" s="32" t="n">
        <x:f>IF(OR(N1224="",AA1224=""),"",N1224-AA1224)</x:f>
        <x:v>0.02058823529411763</x:v>
      </x:c>
      <x:c r="AC1224" s="20" t="n">
        <x:f>IF(OR(N1224="",AA1224="",AA1224=0),"",AB1224/AA1224)</x:f>
        <x:v>0.10294117647058815</x:v>
      </x:c>
      <x:c r="AD1224" t="str">
        <x:f>IF(AA1224="","NO STANDARD",IF(AC1224&lt;=Config_Status!$B$2,"EFFICIENT",IF(AC1224&lt;=Config_Status!$B$3,"NORMAL",IF(AC1224&lt;=Config_Status!$B$4,"WARNING","OVER CONSUMPTION"))))</x:f>
        <x:v>WARNING</x:v>
      </x:c>
      <x:c r="AE1224" t="str">
        <x:f>IFERROR(VLOOKUP(G1224,Master_Unit!$A$2:$N$78,13,FALSE),"UNIT NOT FOUND")</x:f>
        <x:v>Matched</x:v>
      </x:c>
    </x:row>
    <x:row r="1225">
      <x:c r="A1225" s="12" t="str">
        <x:v>FU-20260618-01224</x:v>
      </x:c>
      <x:c r="B1225" s="12" t="n">
        <x:v>1354</x:v>
      </x:c>
      <x:c r="C1225" s="14" t="n">
        <x:v>46191</x:v>
      </x:c>
      <x:c r="D1225" s="12" t="str">
        <x:v>Kamis</x:v>
      </x:c>
      <x:c r="E1225" s="12" t="str">
        <x:v>10:21:00</x:v>
      </x:c>
      <x:c r="F1225" s="12" t="str">
        <x:v>All Shift Day</x:v>
      </x:c>
      <x:c r="G1225" s="12" t="str">
        <x:v>STRL44G144</x:v>
      </x:c>
      <x:c r="H1225" s="12" t="str">
        <x:v>Dump Truck</x:v>
      </x:c>
      <x:c r="I1225" s="12" t="str">
        <x:v>DUMP TRUCK RENAULT KRANGE440-P6X4 A/T</x:v>
      </x:c>
      <x:c r="J1225" s="16" t="n">
        <x:v>90</x:v>
      </x:c>
      <x:c r="K1225" s="16" t="n">
        <x:v>1621</x:v>
      </x:c>
      <x:c r="L1225" s="16" t="n">
        <x:v>1629</x:v>
      </x:c>
      <x:c r="M1225" s="16" t="n">
        <x:v>8</x:v>
      </x:c>
      <x:c r="N1225" s="16" t="n">
        <x:v>11.25</x:v>
      </x:c>
      <x:c r="O1225" s="12" t="str">
        <x:v>FTRL44G004</x:v>
      </x:c>
      <x:c r="P1225" s="12" t="str">
        <x:v>STRL44G144</x:v>
      </x:c>
      <x:c r="Q1225" s="12" t="str"/>
      <x:c r="R1225" s="12" t="str"/>
      <x:c r="S1225" s="12" t="str"/>
      <x:c r="T1225" s="12" t="str">
        <x:v>ABM</x:v>
      </x:c>
      <x:c r="U1225" s="12" t="str"/>
      <x:c r="V1225" s="12" t="str"/>
      <x:c r="W1225" s="12" t="str"/>
      <x:c r="X1225" s="12" t="str">
        <x:v>STRL44</x:v>
      </x:c>
      <x:c r="Y1225" s="12" t="str">
        <x:v>BADRI &amp; KAMRAN</x:v>
      </x:c>
      <x:c r="Z1225" s="12" t="str">
        <x:v>PIT</x:v>
      </x:c>
      <x:c r="AA1225" s="32" t="n">
        <x:f>IFERROR(VLOOKUP(G1225,Master_Unit!$A$2:$N$78,7,FALSE),"")</x:f>
        <x:v>20</x:v>
      </x:c>
      <x:c r="AB1225" s="32" t="n">
        <x:f>IF(OR(N1225="",AA1225=""),"",N1225-AA1225)</x:f>
        <x:v>-8.75</x:v>
      </x:c>
      <x:c r="AC1225" s="20" t="n">
        <x:f>IF(OR(N1225="",AA1225="",AA1225=0),"",AB1225/AA1225)</x:f>
        <x:v>-0.4375</x:v>
      </x:c>
      <x:c r="AD1225" t="str">
        <x:f>IF(AA1225="","NO STANDARD",IF(AC1225&lt;=Config_Status!$B$2,"EFFICIENT",IF(AC1225&lt;=Config_Status!$B$3,"NORMAL",IF(AC1225&lt;=Config_Status!$B$4,"WARNING","OVER CONSUMPTION"))))</x:f>
        <x:v>EFFICIENT</x:v>
      </x:c>
      <x:c r="AE1225" t="str">
        <x:f>IFERROR(VLOOKUP(G1225,Master_Unit!$A$2:$N$78,13,FALSE),"UNIT NOT FOUND")</x:f>
        <x:v>Matched</x:v>
      </x:c>
    </x:row>
    <x:row r="1226">
      <x:c r="A1226" s="12" t="str">
        <x:v>FU-20260618-01225</x:v>
      </x:c>
      <x:c r="B1226" s="12" t="n">
        <x:v>1355</x:v>
      </x:c>
      <x:c r="C1226" s="14" t="n">
        <x:v>46191</x:v>
      </x:c>
      <x:c r="D1226" s="12" t="str">
        <x:v>Kamis</x:v>
      </x:c>
      <x:c r="E1226" s="12" t="str">
        <x:v>10:27:00</x:v>
      </x:c>
      <x:c r="F1226" s="12" t="str">
        <x:v>All Shift Day</x:v>
      </x:c>
      <x:c r="G1226" s="12" t="str">
        <x:v>STRL44G142</x:v>
      </x:c>
      <x:c r="H1226" s="12" t="str">
        <x:v>Dump Truck</x:v>
      </x:c>
      <x:c r="I1226" s="12" t="str">
        <x:v>DUMP TRUCK RENAULT KRANGE440-P6X4 A/T</x:v>
      </x:c>
      <x:c r="J1226" s="16" t="n">
        <x:v>78</x:v>
      </x:c>
      <x:c r="K1226" s="16" t="n">
        <x:v>3448</x:v>
      </x:c>
      <x:c r="L1226" s="16" t="n">
        <x:v>3456</x:v>
      </x:c>
      <x:c r="M1226" s="16" t="n">
        <x:v>8</x:v>
      </x:c>
      <x:c r="N1226" s="16" t="n">
        <x:v>9.75</x:v>
      </x:c>
      <x:c r="O1226" s="12" t="str">
        <x:v>FTRL44G004</x:v>
      </x:c>
      <x:c r="P1226" s="12" t="str">
        <x:v>STRL44G142</x:v>
      </x:c>
      <x:c r="Q1226" s="12" t="str"/>
      <x:c r="R1226" s="12" t="str"/>
      <x:c r="S1226" s="12" t="str"/>
      <x:c r="T1226" s="12" t="str">
        <x:v>ABM</x:v>
      </x:c>
      <x:c r="U1226" s="12" t="str"/>
      <x:c r="V1226" s="12" t="str"/>
      <x:c r="W1226" s="12" t="str"/>
      <x:c r="X1226" s="12" t="str">
        <x:v>STRL44</x:v>
      </x:c>
      <x:c r="Y1226" s="12" t="str">
        <x:v>BADRI &amp; KAMRAN</x:v>
      </x:c>
      <x:c r="Z1226" s="12" t="str">
        <x:v>PIT</x:v>
      </x:c>
      <x:c r="AA1226" s="32" t="n">
        <x:f>IFERROR(VLOOKUP(G1226,Master_Unit!$A$2:$N$78,7,FALSE),"")</x:f>
        <x:v>20</x:v>
      </x:c>
      <x:c r="AB1226" s="32" t="n">
        <x:f>IF(OR(N1226="",AA1226=""),"",N1226-AA1226)</x:f>
        <x:v>-10.25</x:v>
      </x:c>
      <x:c r="AC1226" s="20" t="n">
        <x:f>IF(OR(N1226="",AA1226="",AA1226=0),"",AB1226/AA1226)</x:f>
        <x:v>-0.5125</x:v>
      </x:c>
      <x:c r="AD1226" t="str">
        <x:f>IF(AA1226="","NO STANDARD",IF(AC1226&lt;=Config_Status!$B$2,"EFFICIENT",IF(AC1226&lt;=Config_Status!$B$3,"NORMAL",IF(AC1226&lt;=Config_Status!$B$4,"WARNING","OVER CONSUMPTION"))))</x:f>
        <x:v>EFFICIENT</x:v>
      </x:c>
      <x:c r="AE1226" t="str">
        <x:f>IFERROR(VLOOKUP(G1226,Master_Unit!$A$2:$N$78,13,FALSE),"UNIT NOT FOUND")</x:f>
        <x:v>Matched</x:v>
      </x:c>
    </x:row>
    <x:row r="1227">
      <x:c r="A1227" s="12" t="str">
        <x:v>FU-20260618-01226</x:v>
      </x:c>
      <x:c r="B1227" s="12" t="n">
        <x:v>1356</x:v>
      </x:c>
      <x:c r="C1227" s="14" t="n">
        <x:v>46191</x:v>
      </x:c>
      <x:c r="D1227" s="12" t="str">
        <x:v>Kamis</x:v>
      </x:c>
      <x:c r="E1227" s="12" t="str">
        <x:v>07:51:00</x:v>
      </x:c>
      <x:c r="F1227" s="12" t="str">
        <x:v>All Shift Day</x:v>
      </x:c>
      <x:c r="G1227" s="12" t="str">
        <x:v>WFIZ15G001</x:v>
      </x:c>
      <x:c r="H1227" s="12" t="str">
        <x:v>Other</x:v>
      </x:c>
      <x:c r="I1227" s="12" t="str">
        <x:v>WATERFILL ISUZU ELF-150</x:v>
      </x:c>
      <x:c r="J1227" s="16" t="n">
        <x:v>4</x:v>
      </x:c>
      <x:c r="K1227" s="16" t="n">
        <x:v>464.2</x:v>
      </x:c>
      <x:c r="L1227" s="16" t="n">
        <x:v>474</x:v>
      </x:c>
      <x:c r="M1227" s="16" t="n">
        <x:v>9.800000000000011</x:v>
      </x:c>
      <x:c r="N1227" s="16" t="n">
        <x:v>0.40816326530612196</x:v>
      </x:c>
      <x:c r="O1227" s="12" t="str">
        <x:v>FTRL44G005</x:v>
      </x:c>
      <x:c r="P1227" s="12" t="str">
        <x:v>WFIZ15G001</x:v>
      </x:c>
      <x:c r="Q1227" s="12" t="str"/>
      <x:c r="R1227" s="12" t="str"/>
      <x:c r="S1227" s="12" t="str"/>
      <x:c r="T1227" s="12" t="str">
        <x:v>ABM</x:v>
      </x:c>
      <x:c r="U1227" s="12" t="str"/>
      <x:c r="V1227" s="12" t="str"/>
      <x:c r="W1227" s="12" t="str"/>
      <x:c r="X1227" s="12" t="str">
        <x:v>WFIZ15</x:v>
      </x:c>
      <x:c r="Y1227" s="12" t="str">
        <x:v>RAFIF &amp; YOGI</x:v>
      </x:c>
      <x:c r="Z1227" s="12" t="str">
        <x:v>PIT</x:v>
      </x:c>
      <x:c r="AA1227" s="32" t="str">
        <x:f>IFERROR(VLOOKUP(G1227,Master_Unit!$A$2:$N$78,7,FALSE),"")</x:f>
      </x:c>
      <x:c r="AB1227" s="32" t="str">
        <x:f>IF(OR(N1227="",AA1227=""),"",N1227-AA1227)</x:f>
      </x:c>
      <x:c r="AC1227" s="20" t="str">
        <x:f>IF(OR(N1227="",AA1227="",AA1227=0),"",AB1227/AA1227)</x:f>
      </x:c>
      <x:c r="AD1227" t="str">
        <x:f>IF(AA1227="","NO STANDARD",IF(AC1227&lt;=Config_Status!$B$2,"EFFICIENT",IF(AC1227&lt;=Config_Status!$B$3,"NORMAL",IF(AC1227&lt;=Config_Status!$B$4,"WARNING","OVER CONSUMPTION"))))</x:f>
        <x:v>NO STANDARD</x:v>
      </x:c>
      <x:c r="AE1227" t="str">
        <x:f>IFERROR(VLOOKUP(G1227,Master_Unit!$A$2:$N$78,13,FALSE),"UNIT NOT FOUND")</x:f>
        <x:v>No Standard</x:v>
      </x:c>
    </x:row>
    <x:row r="1228">
      <x:c r="A1228" s="12" t="str">
        <x:v>FU-20260618-01227</x:v>
      </x:c>
      <x:c r="B1228" s="12" t="n">
        <x:v>1357</x:v>
      </x:c>
      <x:c r="C1228" s="14" t="n">
        <x:v>46191</x:v>
      </x:c>
      <x:c r="D1228" s="12" t="str">
        <x:v>Kamis</x:v>
      </x:c>
      <x:c r="E1228" s="12" t="str">
        <x:v>15:51:00</x:v>
      </x:c>
      <x:c r="F1228" s="12" t="str">
        <x:v>All Shift Day</x:v>
      </x:c>
      <x:c r="G1228" s="12" t="str">
        <x:v>EXVV35G007</x:v>
      </x:c>
      <x:c r="H1228" s="12" t="str">
        <x:v>Excavator</x:v>
      </x:c>
      <x:c r="I1228" s="12" t="str">
        <x:v>EXCAVATOR VOLVO EC350D</x:v>
      </x:c>
      <x:c r="J1228" s="16" t="n">
        <x:v>75</x:v>
      </x:c>
      <x:c r="K1228" s="16" t="n">
        <x:v>670.8</x:v>
      </x:c>
      <x:c r="L1228" s="16" t="n">
        <x:v>676.9</x:v>
      </x:c>
      <x:c r="M1228" s="16" t="n">
        <x:v>6.100000000000023</x:v>
      </x:c>
      <x:c r="N1228" s="16" t="n">
        <x:v>12.295081967213068</x:v>
      </x:c>
      <x:c r="O1228" s="12" t="str">
        <x:v>FTRL44G005</x:v>
      </x:c>
      <x:c r="P1228" s="12" t="str">
        <x:v>EXVV35G007</x:v>
      </x:c>
      <x:c r="Q1228" s="12" t="str"/>
      <x:c r="R1228" s="12" t="str"/>
      <x:c r="S1228" s="12" t="str"/>
      <x:c r="T1228" s="12" t="str">
        <x:v>ABM</x:v>
      </x:c>
      <x:c r="U1228" s="12" t="str"/>
      <x:c r="V1228" s="12" t="str"/>
      <x:c r="W1228" s="12" t="str"/>
      <x:c r="X1228" s="12" t="str">
        <x:v>EXVV35</x:v>
      </x:c>
      <x:c r="Y1228" s="12" t="str">
        <x:v>RAFIF &amp; YOGI</x:v>
      </x:c>
      <x:c r="Z1228" s="12" t="str">
        <x:v>PIT</x:v>
      </x:c>
      <x:c r="AA1228" s="32" t="n">
        <x:f>IFERROR(VLOOKUP(G1228,Master_Unit!$A$2:$N$78,7,FALSE),"")</x:f>
        <x:v>25</x:v>
      </x:c>
      <x:c r="AB1228" s="32" t="n">
        <x:f>IF(OR(N1228="",AA1228=""),"",N1228-AA1228)</x:f>
        <x:v>-12.704918032786932</x:v>
      </x:c>
      <x:c r="AC1228" s="20" t="n">
        <x:f>IF(OR(N1228="",AA1228="",AA1228=0),"",AB1228/AA1228)</x:f>
        <x:v>-0.5081967213114773</x:v>
      </x:c>
      <x:c r="AD1228" t="str">
        <x:f>IF(AA1228="","NO STANDARD",IF(AC1228&lt;=Config_Status!$B$2,"EFFICIENT",IF(AC1228&lt;=Config_Status!$B$3,"NORMAL",IF(AC1228&lt;=Config_Status!$B$4,"WARNING","OVER CONSUMPTION"))))</x:f>
        <x:v>EFFICIENT</x:v>
      </x:c>
      <x:c r="AE1228" t="str">
        <x:f>IFERROR(VLOOKUP(G1228,Master_Unit!$A$2:$N$78,13,FALSE),"UNIT NOT FOUND")</x:f>
        <x:v>Matched</x:v>
      </x:c>
    </x:row>
    <x:row r="1229">
      <x:c r="A1229" s="12" t="str">
        <x:v>FU-20260618-01228</x:v>
      </x:c>
      <x:c r="B1229" s="12" t="n">
        <x:v>1358</x:v>
      </x:c>
      <x:c r="C1229" s="14" t="n">
        <x:v>46191</x:v>
      </x:c>
      <x:c r="D1229" s="12" t="str">
        <x:v>Kamis</x:v>
      </x:c>
      <x:c r="E1229" s="12" t="str">
        <x:v>15:57:00</x:v>
      </x:c>
      <x:c r="F1229" s="12" t="str">
        <x:v>All Shift Day</x:v>
      </x:c>
      <x:c r="G1229" s="12" t="str">
        <x:v>EXVV35G005</x:v>
      </x:c>
      <x:c r="H1229" s="12" t="str">
        <x:v>Excavator</x:v>
      </x:c>
      <x:c r="I1229" s="12" t="str">
        <x:v>EXCAVATOR VOLVO EC350D</x:v>
      </x:c>
      <x:c r="J1229" s="16" t="n">
        <x:v>75</x:v>
      </x:c>
      <x:c r="K1229" s="16" t="n">
        <x:v>5298.4</x:v>
      </x:c>
      <x:c r="L1229" s="16" t="n">
        <x:v>5303.4</x:v>
      </x:c>
      <x:c r="M1229" s="16" t="n">
        <x:v>5</x:v>
      </x:c>
      <x:c r="N1229" s="16" t="n">
        <x:v>15</x:v>
      </x:c>
      <x:c r="O1229" s="12" t="str">
        <x:v>FTRL44G005</x:v>
      </x:c>
      <x:c r="P1229" s="12" t="str">
        <x:v>EXVV35G005</x:v>
      </x:c>
      <x:c r="Q1229" s="12" t="str"/>
      <x:c r="R1229" s="12" t="str"/>
      <x:c r="S1229" s="12" t="str"/>
      <x:c r="T1229" s="12" t="str">
        <x:v>ABM</x:v>
      </x:c>
      <x:c r="U1229" s="12" t="str"/>
      <x:c r="V1229" s="12" t="str"/>
      <x:c r="W1229" s="12" t="str"/>
      <x:c r="X1229" s="12" t="str">
        <x:v>EXVV35</x:v>
      </x:c>
      <x:c r="Y1229" s="12" t="str">
        <x:v>RAFIF &amp; YOGI</x:v>
      </x:c>
      <x:c r="Z1229" s="12" t="str">
        <x:v>PIT</x:v>
      </x:c>
      <x:c r="AA1229" s="32" t="n">
        <x:f>IFERROR(VLOOKUP(G1229,Master_Unit!$A$2:$N$78,7,FALSE),"")</x:f>
        <x:v>25</x:v>
      </x:c>
      <x:c r="AB1229" s="32" t="n">
        <x:f>IF(OR(N1229="",AA1229=""),"",N1229-AA1229)</x:f>
        <x:v>-10</x:v>
      </x:c>
      <x:c r="AC1229" s="20" t="n">
        <x:f>IF(OR(N1229="",AA1229="",AA1229=0),"",AB1229/AA1229)</x:f>
        <x:v>-0.4</x:v>
      </x:c>
      <x:c r="AD1229" t="str">
        <x:f>IF(AA1229="","NO STANDARD",IF(AC1229&lt;=Config_Status!$B$2,"EFFICIENT",IF(AC1229&lt;=Config_Status!$B$3,"NORMAL",IF(AC1229&lt;=Config_Status!$B$4,"WARNING","OVER CONSUMPTION"))))</x:f>
        <x:v>EFFICIENT</x:v>
      </x:c>
      <x:c r="AE1229" t="str">
        <x:f>IFERROR(VLOOKUP(G1229,Master_Unit!$A$2:$N$78,13,FALSE),"UNIT NOT FOUND")</x:f>
        <x:v>Matched</x:v>
      </x:c>
    </x:row>
    <x:row r="1230">
      <x:c r="A1230" s="12" t="str">
        <x:v>FU-20260618-01229</x:v>
      </x:c>
      <x:c r="B1230" s="12" t="n">
        <x:v>1359</x:v>
      </x:c>
      <x:c r="C1230" s="14" t="n">
        <x:v>46191</x:v>
      </x:c>
      <x:c r="D1230" s="12" t="str">
        <x:v>Kamis</x:v>
      </x:c>
      <x:c r="E1230" s="12" t="str">
        <x:v>16:03:00</x:v>
      </x:c>
      <x:c r="F1230" s="12" t="str">
        <x:v>All Shift Day</x:v>
      </x:c>
      <x:c r="G1230" s="12" t="str">
        <x:v>FTRL44G005</x:v>
      </x:c>
      <x:c r="H1230" s="12" t="str">
        <x:v>Fuel Truck</x:v>
      </x:c>
      <x:c r="I1230" s="12" t="str">
        <x:v>FUEL TRUCK RENAULT KRANGE440-P6X4 A/T</x:v>
      </x:c>
      <x:c r="J1230" s="16" t="n">
        <x:v>82</x:v>
      </x:c>
      <x:c r="K1230" s="16" t="n">
        <x:v>3709</x:v>
      </x:c>
      <x:c r="L1230" s="16" t="n">
        <x:v>3719</x:v>
      </x:c>
      <x:c r="M1230" s="16" t="n">
        <x:v>10</x:v>
      </x:c>
      <x:c r="N1230" s="16" t="n">
        <x:v>8.2</x:v>
      </x:c>
      <x:c r="O1230" s="12" t="str">
        <x:v>FTRL44G005</x:v>
      </x:c>
      <x:c r="P1230" s="12" t="str">
        <x:v>FTRL44G005</x:v>
      </x:c>
      <x:c r="Q1230" s="12" t="str"/>
      <x:c r="R1230" s="12" t="str"/>
      <x:c r="S1230" s="12" t="str"/>
      <x:c r="T1230" s="12" t="str">
        <x:v>ABM</x:v>
      </x:c>
      <x:c r="U1230" s="12" t="str"/>
      <x:c r="V1230" s="12" t="str"/>
      <x:c r="W1230" s="12" t="str"/>
      <x:c r="X1230" s="12" t="str">
        <x:v>FTRL44</x:v>
      </x:c>
      <x:c r="Y1230" s="12" t="str">
        <x:v>RAFIF &amp; YOGI</x:v>
      </x:c>
      <x:c r="Z1230" s="12" t="str">
        <x:v>PIT</x:v>
      </x:c>
      <x:c r="AA1230" s="32" t="n">
        <x:f>IFERROR(VLOOKUP(G1230,Master_Unit!$A$2:$N$78,7,FALSE),"")</x:f>
        <x:v>13</x:v>
      </x:c>
      <x:c r="AB1230" s="32" t="n">
        <x:f>IF(OR(N1230="",AA1230=""),"",N1230-AA1230)</x:f>
        <x:v>-4.800000000000001</x:v>
      </x:c>
      <x:c r="AC1230" s="20" t="n">
        <x:f>IF(OR(N1230="",AA1230="",AA1230=0),"",AB1230/AA1230)</x:f>
        <x:v>-0.3692307692307693</x:v>
      </x:c>
      <x:c r="AD1230" t="str">
        <x:f>IF(AA1230="","NO STANDARD",IF(AC1230&lt;=Config_Status!$B$2,"EFFICIENT",IF(AC1230&lt;=Config_Status!$B$3,"NORMAL",IF(AC1230&lt;=Config_Status!$B$4,"WARNING","OVER CONSUMPTION"))))</x:f>
        <x:v>EFFICIENT</x:v>
      </x:c>
      <x:c r="AE1230" t="str">
        <x:f>IFERROR(VLOOKUP(G1230,Master_Unit!$A$2:$N$78,13,FALSE),"UNIT NOT FOUND")</x:f>
        <x:v>Matched</x:v>
      </x:c>
    </x:row>
    <x:row r="1231">
      <x:c r="A1231" s="12" t="str">
        <x:v>FU-20260619-01230</x:v>
      </x:c>
      <x:c r="B1231" s="12" t="n">
        <x:v>1360</x:v>
      </x:c>
      <x:c r="C1231" s="14" t="n">
        <x:v>46192</x:v>
      </x:c>
      <x:c r="D1231" s="12" t="str"/>
      <x:c r="E1231" s="12" t="str">
        <x:v>06:28:00</x:v>
      </x:c>
      <x:c r="F1231" s="12" t="str">
        <x:v>All Shift Day</x:v>
      </x:c>
      <x:c r="G1231" s="12" t="str">
        <x:v>EXVV21G032</x:v>
      </x:c>
      <x:c r="H1231" s="12" t="str">
        <x:v>Other</x:v>
      </x:c>
      <x:c r="I1231" s="12" t="str"/>
      <x:c r="J1231" s="16" t="n">
        <x:v>155</x:v>
      </x:c>
      <x:c r="K1231" s="16" t="n">
        <x:v>7640.6</x:v>
      </x:c>
      <x:c r="L1231" s="16" t="n">
        <x:v>7649.1</x:v>
      </x:c>
      <x:c r="M1231" s="16" t="n">
        <x:v>8.5</x:v>
      </x:c>
      <x:c r="N1231" s="16" t="n">
        <x:v>18.235294117647058</x:v>
      </x:c>
      <x:c r="O1231" s="12" t="str">
        <x:v>FTRL44G005</x:v>
      </x:c>
      <x:c r="P1231" s="12" t="str">
        <x:v>EXVV21G032</x:v>
      </x:c>
      <x:c r="Q1231" s="12" t="str"/>
      <x:c r="R1231" s="12" t="str"/>
      <x:c r="S1231" s="12" t="str"/>
      <x:c r="T1231" s="12" t="str">
        <x:v>ABM</x:v>
      </x:c>
      <x:c r="U1231" s="12" t="str"/>
      <x:c r="V1231" s="12" t="str"/>
      <x:c r="W1231" s="12" t="str"/>
      <x:c r="X1231" s="12" t="str">
        <x:v>EXVV21</x:v>
      </x:c>
      <x:c r="Y1231" s="12" t="str">
        <x:v>FANGKI &amp; ACUNG</x:v>
      </x:c>
      <x:c r="Z1231" s="12" t="str">
        <x:v>COAL HAULING</x:v>
      </x:c>
      <x:c r="AA1231" s="32" t="n">
        <x:f>IFERROR(VLOOKUP(G1231,Master_Unit!$A$2:$N$78,7,FALSE),"")</x:f>
        <x:v>20</x:v>
      </x:c>
      <x:c r="AB1231" s="32" t="n">
        <x:f>IF(OR(N1231="",AA1231=""),"",N1231-AA1231)</x:f>
        <x:v>-1.764705882352942</x:v>
      </x:c>
      <x:c r="AC1231" s="20" t="n">
        <x:f>IF(OR(N1231="",AA1231="",AA1231=0),"",AB1231/AA1231)</x:f>
        <x:v>-0.0882352941176471</x:v>
      </x:c>
      <x:c r="AD1231" t="str">
        <x:f>IF(AA1231="","NO STANDARD",IF(AC1231&lt;=Config_Status!$B$2,"EFFICIENT",IF(AC1231&lt;=Config_Status!$B$3,"NORMAL",IF(AC1231&lt;=Config_Status!$B$4,"WARNING","OVER CONSUMPTION"))))</x:f>
        <x:v>NORMAL</x:v>
      </x:c>
      <x:c r="AE1231" t="str">
        <x:f>IFERROR(VLOOKUP(G1231,Master_Unit!$A$2:$N$78,13,FALSE),"UNIT NOT FOUND")</x:f>
        <x:v>Matched</x:v>
      </x:c>
    </x:row>
    <x:row r="1232">
      <x:c r="A1232" s="12" t="str">
        <x:v>FU-20260619-01231</x:v>
      </x:c>
      <x:c r="B1232" s="12" t="n">
        <x:v>1361</x:v>
      </x:c>
      <x:c r="C1232" s="14" t="n">
        <x:v>46192</x:v>
      </x:c>
      <x:c r="D1232" s="12" t="str"/>
      <x:c r="E1232" s="12" t="str">
        <x:v>06:33:00</x:v>
      </x:c>
      <x:c r="F1232" s="12" t="str">
        <x:v>All Shift Day</x:v>
      </x:c>
      <x:c r="G1232" s="12" t="str">
        <x:v>EXVV35G007</x:v>
      </x:c>
      <x:c r="H1232" s="12" t="str">
        <x:v>Other</x:v>
      </x:c>
      <x:c r="I1232" s="12" t="str"/>
      <x:c r="J1232" s="16" t="n">
        <x:v>231</x:v>
      </x:c>
      <x:c r="K1232" s="16" t="n">
        <x:v>676.9</x:v>
      </x:c>
      <x:c r="L1232" s="16" t="n">
        <x:v>677.4</x:v>
      </x:c>
      <x:c r="M1232" s="16" t="n">
        <x:v>0.5</x:v>
      </x:c>
      <x:c r="N1232" s="16" t="n">
        <x:v>462</x:v>
      </x:c>
      <x:c r="O1232" s="12" t="str">
        <x:v>FTRL44G005</x:v>
      </x:c>
      <x:c r="P1232" s="12" t="str">
        <x:v>EXVV35G007</x:v>
      </x:c>
      <x:c r="Q1232" s="12" t="str"/>
      <x:c r="R1232" s="12" t="str"/>
      <x:c r="S1232" s="12" t="str"/>
      <x:c r="T1232" s="12" t="str">
        <x:v>ABM</x:v>
      </x:c>
      <x:c r="U1232" s="12" t="str"/>
      <x:c r="V1232" s="12" t="str"/>
      <x:c r="W1232" s="12" t="str"/>
      <x:c r="X1232" s="12" t="str">
        <x:v>EXVV35</x:v>
      </x:c>
      <x:c r="Y1232" s="12" t="str">
        <x:v>FANGKI &amp; ACUNG</x:v>
      </x:c>
      <x:c r="Z1232" s="12" t="str">
        <x:v>ETO</x:v>
      </x:c>
      <x:c r="AA1232" s="32" t="n">
        <x:f>IFERROR(VLOOKUP(G1232,Master_Unit!$A$2:$N$78,7,FALSE),"")</x:f>
        <x:v>25</x:v>
      </x:c>
      <x:c r="AB1232" s="32" t="n">
        <x:f>IF(OR(N1232="",AA1232=""),"",N1232-AA1232)</x:f>
        <x:v>437</x:v>
      </x:c>
      <x:c r="AC1232" s="20" t="n">
        <x:f>IF(OR(N1232="",AA1232="",AA1232=0),"",AB1232/AA1232)</x:f>
        <x:v>17.48</x:v>
      </x:c>
      <x:c r="AD1232" t="str">
        <x:f>IF(AA1232="","NO STANDARD",IF(AC1232&lt;=Config_Status!$B$2,"EFFICIENT",IF(AC1232&lt;=Config_Status!$B$3,"NORMAL",IF(AC1232&lt;=Config_Status!$B$4,"WARNING","OVER CONSUMPTION"))))</x:f>
        <x:v>OVER CONSUMPTION</x:v>
      </x:c>
      <x:c r="AE1232" t="str">
        <x:f>IFERROR(VLOOKUP(G1232,Master_Unit!$A$2:$N$78,13,FALSE),"UNIT NOT FOUND")</x:f>
        <x:v>Matched</x:v>
      </x:c>
    </x:row>
    <x:row r="1233">
      <x:c r="A1233" s="12" t="str">
        <x:v>FU-20260619-01232</x:v>
      </x:c>
      <x:c r="B1233" s="12" t="n">
        <x:v>1362</x:v>
      </x:c>
      <x:c r="C1233" s="14" t="n">
        <x:v>46192</x:v>
      </x:c>
      <x:c r="D1233" s="12" t="str"/>
      <x:c r="E1233" s="12" t="str">
        <x:v>06:37:00</x:v>
      </x:c>
      <x:c r="F1233" s="12" t="str">
        <x:v>All Shift Day</x:v>
      </x:c>
      <x:c r="G1233" s="12" t="str">
        <x:v>LVTH24R024</x:v>
      </x:c>
      <x:c r="H1233" s="12" t="str">
        <x:v>Other</x:v>
      </x:c>
      <x:c r="I1233" s="12" t="str"/>
      <x:c r="J1233" s="16" t="n">
        <x:v>20</x:v>
      </x:c>
      <x:c r="K1233" s="16" t="n">
        <x:v>46911</x:v>
      </x:c>
      <x:c r="L1233" s="16" t="n">
        <x:v>47086</x:v>
      </x:c>
      <x:c r="M1233" s="16" t="n">
        <x:v>175</x:v>
      </x:c>
      <x:c r="N1233" s="16" t="n">
        <x:v>0.11428571428571428</x:v>
      </x:c>
      <x:c r="O1233" s="12" t="str">
        <x:v>FTRL44G005</x:v>
      </x:c>
      <x:c r="P1233" s="12" t="str">
        <x:v>LVTH24R024</x:v>
      </x:c>
      <x:c r="Q1233" s="12" t="str"/>
      <x:c r="R1233" s="12" t="str"/>
      <x:c r="S1233" s="12" t="str"/>
      <x:c r="T1233" s="12" t="str">
        <x:v>ABM</x:v>
      </x:c>
      <x:c r="U1233" s="12" t="str"/>
      <x:c r="V1233" s="12" t="str"/>
      <x:c r="W1233" s="12" t="str"/>
      <x:c r="X1233" s="12" t="str">
        <x:v>LVTH24</x:v>
      </x:c>
      <x:c r="Y1233" s="12" t="str">
        <x:v>FANGKI &amp; ACUNG</x:v>
      </x:c>
      <x:c r="Z1233" s="12" t="str">
        <x:v>COAL HAULING</x:v>
      </x:c>
      <x:c r="AA1233" s="32" t="n">
        <x:f>IFERROR(VLOOKUP(G1233,Master_Unit!$A$2:$N$78,7,FALSE),"")</x:f>
        <x:v>0.2</x:v>
      </x:c>
      <x:c r="AB1233" s="32" t="n">
        <x:f>IF(OR(N1233="",AA1233=""),"",N1233-AA1233)</x:f>
        <x:v>-0.08571428571428573</x:v>
      </x:c>
      <x:c r="AC1233" s="20" t="n">
        <x:f>IF(OR(N1233="",AA1233="",AA1233=0),"",AB1233/AA1233)</x:f>
        <x:v>-0.4285714285714286</x:v>
      </x:c>
      <x:c r="AD1233" t="str">
        <x:f>IF(AA1233="","NO STANDARD",IF(AC1233&lt;=Config_Status!$B$2,"EFFICIENT",IF(AC1233&lt;=Config_Status!$B$3,"NORMAL",IF(AC1233&lt;=Config_Status!$B$4,"WARNING","OVER CONSUMPTION"))))</x:f>
        <x:v>EFFICIENT</x:v>
      </x:c>
      <x:c r="AE1233" t="str">
        <x:f>IFERROR(VLOOKUP(G1233,Master_Unit!$A$2:$N$78,13,FALSE),"UNIT NOT FOUND")</x:f>
        <x:v>Matched</x:v>
      </x:c>
    </x:row>
    <x:row r="1234">
      <x:c r="A1234" s="12" t="str">
        <x:v>FU-20260619-01233</x:v>
      </x:c>
      <x:c r="B1234" s="12" t="n">
        <x:v>1363</x:v>
      </x:c>
      <x:c r="C1234" s="14" t="n">
        <x:v>46192</x:v>
      </x:c>
      <x:c r="D1234" s="12" t="str"/>
      <x:c r="E1234" s="12" t="str">
        <x:v>06:38:00</x:v>
      </x:c>
      <x:c r="F1234" s="12" t="str">
        <x:v>All Shift Day</x:v>
      </x:c>
      <x:c r="G1234" s="12" t="str">
        <x:v>EXVV21G043</x:v>
      </x:c>
      <x:c r="H1234" s="12" t="str">
        <x:v>Other</x:v>
      </x:c>
      <x:c r="I1234" s="12" t="str"/>
      <x:c r="J1234" s="16" t="n">
        <x:v>137</x:v>
      </x:c>
      <x:c r="K1234" s="16" t="n">
        <x:v>5408.1</x:v>
      </x:c>
      <x:c r="L1234" s="16" t="n">
        <x:v>5415.3</x:v>
      </x:c>
      <x:c r="M1234" s="16" t="n">
        <x:v>7.199999999999818</x:v>
      </x:c>
      <x:c r="N1234" s="16" t="n">
        <x:v>19.027777777778258</x:v>
      </x:c>
      <x:c r="O1234" s="12" t="str">
        <x:v>FTRL44G005</x:v>
      </x:c>
      <x:c r="P1234" s="12" t="str">
        <x:v>EXVV21G043</x:v>
      </x:c>
      <x:c r="Q1234" s="12" t="str"/>
      <x:c r="R1234" s="12" t="str"/>
      <x:c r="S1234" s="12" t="str"/>
      <x:c r="T1234" s="12" t="str">
        <x:v>ABM</x:v>
      </x:c>
      <x:c r="U1234" s="12" t="str"/>
      <x:c r="V1234" s="12" t="str"/>
      <x:c r="W1234" s="12" t="str"/>
      <x:c r="X1234" s="12" t="str">
        <x:v>EXVV21</x:v>
      </x:c>
      <x:c r="Y1234" s="12" t="str">
        <x:v>FANGKI &amp; ACUNG</x:v>
      </x:c>
      <x:c r="Z1234" s="12" t="str">
        <x:v>COAL HAULING</x:v>
      </x:c>
      <x:c r="AA1234" s="32" t="n">
        <x:f>IFERROR(VLOOKUP(G1234,Master_Unit!$A$2:$N$78,7,FALSE),"")</x:f>
        <x:v>20</x:v>
      </x:c>
      <x:c r="AB1234" s="32" t="n">
        <x:f>IF(OR(N1234="",AA1234=""),"",N1234-AA1234)</x:f>
        <x:v>-0.9722222222217418</x:v>
      </x:c>
      <x:c r="AC1234" s="20" t="n">
        <x:f>IF(OR(N1234="",AA1234="",AA1234=0),"",AB1234/AA1234)</x:f>
        <x:v>-0.04861111111108709</x:v>
      </x:c>
      <x:c r="AD1234" t="str">
        <x:f>IF(AA1234="","NO STANDARD",IF(AC1234&lt;=Config_Status!$B$2,"EFFICIENT",IF(AC1234&lt;=Config_Status!$B$3,"NORMAL",IF(AC1234&lt;=Config_Status!$B$4,"WARNING","OVER CONSUMPTION"))))</x:f>
        <x:v>NORMAL</x:v>
      </x:c>
      <x:c r="AE1234" t="str">
        <x:f>IFERROR(VLOOKUP(G1234,Master_Unit!$A$2:$N$78,13,FALSE),"UNIT NOT FOUND")</x:f>
        <x:v>Matched</x:v>
      </x:c>
    </x:row>
    <x:row r="1235">
      <x:c r="A1235" s="12" t="str">
        <x:v>FU-20260619-01234</x:v>
      </x:c>
      <x:c r="B1235" s="12" t="n">
        <x:v>1364</x:v>
      </x:c>
      <x:c r="C1235" s="14" t="n">
        <x:v>46192</x:v>
      </x:c>
      <x:c r="D1235" s="12" t="str"/>
      <x:c r="E1235" s="12" t="str">
        <x:v>06:49:00</x:v>
      </x:c>
      <x:c r="F1235" s="12" t="str">
        <x:v>All Shift Day</x:v>
      </x:c>
      <x:c r="G1235" s="12" t="str">
        <x:v>EXVV21G039</x:v>
      </x:c>
      <x:c r="H1235" s="12" t="str">
        <x:v>Other</x:v>
      </x:c>
      <x:c r="I1235" s="12" t="str"/>
      <x:c r="J1235" s="16" t="n">
        <x:v>155</x:v>
      </x:c>
      <x:c r="K1235" s="16" t="n">
        <x:v>6410.1</x:v>
      </x:c>
      <x:c r="L1235" s="16" t="n">
        <x:v>6418.3</x:v>
      </x:c>
      <x:c r="M1235" s="16" t="n">
        <x:v>8.199999999999818</x:v>
      </x:c>
      <x:c r="N1235" s="16" t="n">
        <x:v>18.902439024390663</x:v>
      </x:c>
      <x:c r="O1235" s="12" t="str">
        <x:v>FTRL44G005</x:v>
      </x:c>
      <x:c r="P1235" s="12" t="str">
        <x:v>EXVV21G039</x:v>
      </x:c>
      <x:c r="Q1235" s="12" t="str"/>
      <x:c r="R1235" s="12" t="str"/>
      <x:c r="S1235" s="12" t="str"/>
      <x:c r="T1235" s="12" t="str">
        <x:v>ABM</x:v>
      </x:c>
      <x:c r="U1235" s="12" t="str"/>
      <x:c r="V1235" s="12" t="str"/>
      <x:c r="W1235" s="12" t="str"/>
      <x:c r="X1235" s="12" t="str">
        <x:v>EXVV21</x:v>
      </x:c>
      <x:c r="Y1235" s="12" t="str">
        <x:v>FANGKI &amp; ACUNG</x:v>
      </x:c>
      <x:c r="Z1235" s="12" t="str">
        <x:v>EFO</x:v>
      </x:c>
      <x:c r="AA1235" s="32" t="n">
        <x:f>IFERROR(VLOOKUP(G1235,Master_Unit!$A$2:$N$78,7,FALSE),"")</x:f>
        <x:v>20</x:v>
      </x:c>
      <x:c r="AB1235" s="32" t="n">
        <x:f>IF(OR(N1235="",AA1235=""),"",N1235-AA1235)</x:f>
        <x:v>-1.097560975609337</x:v>
      </x:c>
      <x:c r="AC1235" s="20" t="n">
        <x:f>IF(OR(N1235="",AA1235="",AA1235=0),"",AB1235/AA1235)</x:f>
        <x:v>-0.05487804878046685</x:v>
      </x:c>
      <x:c r="AD1235" t="str">
        <x:f>IF(AA1235="","NO STANDARD",IF(AC1235&lt;=Config_Status!$B$2,"EFFICIENT",IF(AC1235&lt;=Config_Status!$B$3,"NORMAL",IF(AC1235&lt;=Config_Status!$B$4,"WARNING","OVER CONSUMPTION"))))</x:f>
        <x:v>NORMAL</x:v>
      </x:c>
      <x:c r="AE1235" t="str">
        <x:f>IFERROR(VLOOKUP(G1235,Master_Unit!$A$2:$N$78,13,FALSE),"UNIT NOT FOUND")</x:f>
        <x:v>Matched</x:v>
      </x:c>
    </x:row>
    <x:row r="1236">
      <x:c r="A1236" s="12" t="str">
        <x:v>FU-20260619-01235</x:v>
      </x:c>
      <x:c r="B1236" s="12" t="n">
        <x:v>1365</x:v>
      </x:c>
      <x:c r="C1236" s="14" t="n">
        <x:v>46192</x:v>
      </x:c>
      <x:c r="D1236" s="12" t="str"/>
      <x:c r="E1236" s="12" t="str">
        <x:v>06:51:00</x:v>
      </x:c>
      <x:c r="F1236" s="12" t="str">
        <x:v>All Shift Day</x:v>
      </x:c>
      <x:c r="G1236" s="12" t="str">
        <x:v>EXVV21G040</x:v>
      </x:c>
      <x:c r="H1236" s="12" t="str">
        <x:v>Other</x:v>
      </x:c>
      <x:c r="I1236" s="12" t="str"/>
      <x:c r="J1236" s="16" t="n">
        <x:v>150</x:v>
      </x:c>
      <x:c r="K1236" s="16" t="n">
        <x:v>6697.9</x:v>
      </x:c>
      <x:c r="L1236" s="16" t="n">
        <x:v>6705.6</x:v>
      </x:c>
      <x:c r="M1236" s="16" t="n">
        <x:v>7.700000000000728</x:v>
      </x:c>
      <x:c r="N1236" s="16" t="n">
        <x:v>19.48051948051764</x:v>
      </x:c>
      <x:c r="O1236" s="12" t="str">
        <x:v>FTRL44G005</x:v>
      </x:c>
      <x:c r="P1236" s="12" t="str">
        <x:v>EXVV21G040</x:v>
      </x:c>
      <x:c r="Q1236" s="12" t="str"/>
      <x:c r="R1236" s="12" t="str"/>
      <x:c r="S1236" s="12" t="str"/>
      <x:c r="T1236" s="12" t="str">
        <x:v>ABM</x:v>
      </x:c>
      <x:c r="U1236" s="12" t="str"/>
      <x:c r="V1236" s="12" t="str"/>
      <x:c r="W1236" s="12" t="str"/>
      <x:c r="X1236" s="12" t="str">
        <x:v>EXVV21</x:v>
      </x:c>
      <x:c r="Y1236" s="12" t="str">
        <x:v>FANGKI &amp; ACUNG</x:v>
      </x:c>
      <x:c r="Z1236" s="12" t="str">
        <x:v>COAL HAULING</x:v>
      </x:c>
      <x:c r="AA1236" s="32" t="n">
        <x:f>IFERROR(VLOOKUP(G1236,Master_Unit!$A$2:$N$78,7,FALSE),"")</x:f>
        <x:v>20</x:v>
      </x:c>
      <x:c r="AB1236" s="32" t="n">
        <x:f>IF(OR(N1236="",AA1236=""),"",N1236-AA1236)</x:f>
        <x:v>-0.5194805194823608</x:v>
      </x:c>
      <x:c r="AC1236" s="20" t="n">
        <x:f>IF(OR(N1236="",AA1236="",AA1236=0),"",AB1236/AA1236)</x:f>
        <x:v>-0.02597402597411804</x:v>
      </x:c>
      <x:c r="AD1236" t="str">
        <x:f>IF(AA1236="","NO STANDARD",IF(AC1236&lt;=Config_Status!$B$2,"EFFICIENT",IF(AC1236&lt;=Config_Status!$B$3,"NORMAL",IF(AC1236&lt;=Config_Status!$B$4,"WARNING","OVER CONSUMPTION"))))</x:f>
        <x:v>NORMAL</x:v>
      </x:c>
      <x:c r="AE1236" t="str">
        <x:f>IFERROR(VLOOKUP(G1236,Master_Unit!$A$2:$N$78,13,FALSE),"UNIT NOT FOUND")</x:f>
        <x:v>Matched</x:v>
      </x:c>
    </x:row>
    <x:row r="1237">
      <x:c r="A1237" s="12" t="str">
        <x:v>FU-20260619-01236</x:v>
      </x:c>
      <x:c r="B1237" s="12" t="n">
        <x:v>1366</x:v>
      </x:c>
      <x:c r="C1237" s="14" t="n">
        <x:v>46192</x:v>
      </x:c>
      <x:c r="D1237" s="12" t="str"/>
      <x:c r="E1237" s="12" t="str">
        <x:v>06:57:00</x:v>
      </x:c>
      <x:c r="F1237" s="12" t="str">
        <x:v>All Shift Day</x:v>
      </x:c>
      <x:c r="G1237" s="12" t="str">
        <x:v>EXVV21G036</x:v>
      </x:c>
      <x:c r="H1237" s="12" t="str">
        <x:v>Other</x:v>
      </x:c>
      <x:c r="I1237" s="12" t="str"/>
      <x:c r="J1237" s="16" t="n">
        <x:v>163</x:v>
      </x:c>
      <x:c r="K1237" s="16" t="n">
        <x:v>7685.7</x:v>
      </x:c>
      <x:c r="L1237" s="16" t="n">
        <x:v>7693.4</x:v>
      </x:c>
      <x:c r="M1237" s="16" t="n">
        <x:v>7.699999999999818</x:v>
      </x:c>
      <x:c r="N1237" s="16" t="n">
        <x:v>21.16883116883167</x:v>
      </x:c>
      <x:c r="O1237" s="12" t="str">
        <x:v>FTRL44G005</x:v>
      </x:c>
      <x:c r="P1237" s="12" t="str">
        <x:v>EXVV21G036</x:v>
      </x:c>
      <x:c r="Q1237" s="12" t="str"/>
      <x:c r="R1237" s="12" t="str"/>
      <x:c r="S1237" s="12" t="str"/>
      <x:c r="T1237" s="12" t="str">
        <x:v>ABM</x:v>
      </x:c>
      <x:c r="U1237" s="12" t="str"/>
      <x:c r="V1237" s="12" t="str"/>
      <x:c r="W1237" s="12" t="str"/>
      <x:c r="X1237" s="12" t="str">
        <x:v>EXVV21</x:v>
      </x:c>
      <x:c r="Y1237" s="12" t="str">
        <x:v>FANGKI &amp; ACUNG</x:v>
      </x:c>
      <x:c r="Z1237" s="12" t="str">
        <x:v>COAL HAULING</x:v>
      </x:c>
      <x:c r="AA1237" s="32" t="n">
        <x:f>IFERROR(VLOOKUP(G1237,Master_Unit!$A$2:$N$78,7,FALSE),"")</x:f>
        <x:v>20</x:v>
      </x:c>
      <x:c r="AB1237" s="32" t="n">
        <x:f>IF(OR(N1237="",AA1237=""),"",N1237-AA1237)</x:f>
        <x:v>1.1688311688316695</x:v>
      </x:c>
      <x:c r="AC1237" s="20" t="n">
        <x:f>IF(OR(N1237="",AA1237="",AA1237=0),"",AB1237/AA1237)</x:f>
        <x:v>0.058441558441583476</x:v>
      </x:c>
      <x:c r="AD1237" t="str">
        <x:f>IF(AA1237="","NO STANDARD",IF(AC1237&lt;=Config_Status!$B$2,"EFFICIENT",IF(AC1237&lt;=Config_Status!$B$3,"NORMAL",IF(AC1237&lt;=Config_Status!$B$4,"WARNING","OVER CONSUMPTION"))))</x:f>
        <x:v>NORMAL</x:v>
      </x:c>
      <x:c r="AE1237" t="str">
        <x:f>IFERROR(VLOOKUP(G1237,Master_Unit!$A$2:$N$78,13,FALSE),"UNIT NOT FOUND")</x:f>
        <x:v>Matched</x:v>
      </x:c>
    </x:row>
    <x:row r="1238">
      <x:c r="A1238" s="12" t="str">
        <x:v>FU-20260619-01237</x:v>
      </x:c>
      <x:c r="B1238" s="12" t="n">
        <x:v>1367</x:v>
      </x:c>
      <x:c r="C1238" s="14" t="n">
        <x:v>46192</x:v>
      </x:c>
      <x:c r="D1238" s="12" t="str"/>
      <x:c r="E1238" s="12" t="str">
        <x:v>07:00:00</x:v>
      </x:c>
      <x:c r="F1238" s="12" t="str">
        <x:v>All Shift Day</x:v>
      </x:c>
      <x:c r="G1238" s="12" t="str">
        <x:v>LVMP25R005</x:v>
      </x:c>
      <x:c r="H1238" s="12" t="str">
        <x:v>Other</x:v>
      </x:c>
      <x:c r="I1238" s="12" t="str"/>
      <x:c r="J1238" s="16" t="n">
        <x:v>41</x:v>
      </x:c>
      <x:c r="K1238" s="16" t="n">
        <x:v>60513</x:v>
      </x:c>
      <x:c r="L1238" s="16" t="n">
        <x:v>60910</x:v>
      </x:c>
      <x:c r="M1238" s="16" t="n">
        <x:v>397</x:v>
      </x:c>
      <x:c r="N1238" s="16" t="n">
        <x:v>0.10327455919395466</x:v>
      </x:c>
      <x:c r="O1238" s="12" t="str">
        <x:v>FTRL44G005</x:v>
      </x:c>
      <x:c r="P1238" s="12" t="str">
        <x:v>LVMP25R005</x:v>
      </x:c>
      <x:c r="Q1238" s="12" t="str"/>
      <x:c r="R1238" s="12" t="str"/>
      <x:c r="S1238" s="12" t="str"/>
      <x:c r="T1238" s="12" t="str">
        <x:v>ABM</x:v>
      </x:c>
      <x:c r="U1238" s="12" t="str"/>
      <x:c r="V1238" s="12" t="str"/>
      <x:c r="W1238" s="12" t="str"/>
      <x:c r="X1238" s="12" t="str">
        <x:v>LVMP25</x:v>
      </x:c>
      <x:c r="Y1238" s="12" t="str">
        <x:v>FANGKI &amp; ACUNG</x:v>
      </x:c>
      <x:c r="Z1238" s="12" t="str">
        <x:v>COAL HAULING</x:v>
      </x:c>
      <x:c r="AA1238" s="32" t="str">
        <x:f>IFERROR(VLOOKUP(G1238,Master_Unit!$A$2:$N$78,7,FALSE),"")</x:f>
      </x:c>
      <x:c r="AB1238" s="32" t="str">
        <x:f>IF(OR(N1238="",AA1238=""),"",N1238-AA1238)</x:f>
      </x:c>
      <x:c r="AC1238" s="20" t="str">
        <x:f>IF(OR(N1238="",AA1238="",AA1238=0),"",AB1238/AA1238)</x:f>
      </x:c>
      <x:c r="AD1238" t="str">
        <x:f>IF(AA1238="","NO STANDARD",IF(AC1238&lt;=Config_Status!$B$2,"EFFICIENT",IF(AC1238&lt;=Config_Status!$B$3,"NORMAL",IF(AC1238&lt;=Config_Status!$B$4,"WARNING","OVER CONSUMPTION"))))</x:f>
        <x:v>NO STANDARD</x:v>
      </x:c>
      <x:c r="AE1238" t="str">
        <x:f>IFERROR(VLOOKUP(G1238,Master_Unit!$A$2:$N$78,13,FALSE),"UNIT NOT FOUND")</x:f>
        <x:v>No Standard</x:v>
      </x:c>
    </x:row>
    <x:row r="1239">
      <x:c r="A1239" s="12" t="str">
        <x:v>FU-20260619-01238</x:v>
      </x:c>
      <x:c r="B1239" s="12" t="n">
        <x:v>1368</x:v>
      </x:c>
      <x:c r="C1239" s="14" t="n">
        <x:v>46192</x:v>
      </x:c>
      <x:c r="D1239" s="12" t="str"/>
      <x:c r="E1239" s="12" t="str">
        <x:v>07:05:00</x:v>
      </x:c>
      <x:c r="F1239" s="12" t="str">
        <x:v>All Shift Day</x:v>
      </x:c>
      <x:c r="G1239" s="12" t="str">
        <x:v>TLYM50G020</x:v>
      </x:c>
      <x:c r="H1239" s="12" t="str">
        <x:v>Other</x:v>
      </x:c>
      <x:c r="I1239" s="12" t="str"/>
      <x:c r="J1239" s="16" t="n">
        <x:v>20</x:v>
      </x:c>
      <x:c r="K1239" s="16" t="n">
        <x:v>4579.99</x:v>
      </x:c>
      <x:c r="L1239" s="16" t="n">
        <x:v>4600.77</x:v>
      </x:c>
      <x:c r="M1239" s="16" t="n">
        <x:v>20.780000000000655</x:v>
      </x:c>
      <x:c r="N1239" s="16" t="n">
        <x:v>0.9624639076034346</x:v>
      </x:c>
      <x:c r="O1239" s="12" t="str">
        <x:v>FTRL44G005</x:v>
      </x:c>
      <x:c r="P1239" s="12" t="str">
        <x:v>TLYM50G020</x:v>
      </x:c>
      <x:c r="Q1239" s="12" t="str"/>
      <x:c r="R1239" s="12" t="str"/>
      <x:c r="S1239" s="12" t="str"/>
      <x:c r="T1239" s="12" t="str">
        <x:v>ABM</x:v>
      </x:c>
      <x:c r="U1239" s="12" t="str"/>
      <x:c r="V1239" s="12" t="str"/>
      <x:c r="W1239" s="12" t="str"/>
      <x:c r="X1239" s="12" t="str">
        <x:v>TLYM50</x:v>
      </x:c>
      <x:c r="Y1239" s="12" t="str">
        <x:v>FANGKI &amp; ACUNG</x:v>
      </x:c>
      <x:c r="Z1239" s="12" t="str">
        <x:v>SUPPORT</x:v>
      </x:c>
      <x:c r="AA1239" s="32" t="n">
        <x:f>IFERROR(VLOOKUP(G1239,Master_Unit!$A$2:$N$78,7,FALSE),"")</x:f>
        <x:v>2</x:v>
      </x:c>
      <x:c r="AB1239" s="32" t="n">
        <x:f>IF(OR(N1239="",AA1239=""),"",N1239-AA1239)</x:f>
        <x:v>-1.0375360923965653</x:v>
      </x:c>
      <x:c r="AC1239" s="20" t="n">
        <x:f>IF(OR(N1239="",AA1239="",AA1239=0),"",AB1239/AA1239)</x:f>
        <x:v>-0.5187680461982827</x:v>
      </x:c>
      <x:c r="AD1239" t="str">
        <x:f>IF(AA1239="","NO STANDARD",IF(AC1239&lt;=Config_Status!$B$2,"EFFICIENT",IF(AC1239&lt;=Config_Status!$B$3,"NORMAL",IF(AC1239&lt;=Config_Status!$B$4,"WARNING","OVER CONSUMPTION"))))</x:f>
        <x:v>EFFICIENT</x:v>
      </x:c>
      <x:c r="AE1239" t="str">
        <x:f>IFERROR(VLOOKUP(G1239,Master_Unit!$A$2:$N$78,13,FALSE),"UNIT NOT FOUND")</x:f>
        <x:v>Matched</x:v>
      </x:c>
    </x:row>
    <x:row r="1240">
      <x:c r="A1240" s="12" t="str">
        <x:v>FU-20260619-01239</x:v>
      </x:c>
      <x:c r="B1240" s="12" t="n">
        <x:v>1369</x:v>
      </x:c>
      <x:c r="C1240" s="14" t="n">
        <x:v>46192</x:v>
      </x:c>
      <x:c r="D1240" s="12" t="str"/>
      <x:c r="E1240" s="12" t="str">
        <x:v>07:06:00</x:v>
      </x:c>
      <x:c r="F1240" s="12" t="str">
        <x:v>All Shift Day</x:v>
      </x:c>
      <x:c r="G1240" s="12" t="str">
        <x:v>VRVV11G013</x:v>
      </x:c>
      <x:c r="H1240" s="12" t="str">
        <x:v>Other</x:v>
      </x:c>
      <x:c r="I1240" s="12" t="str"/>
      <x:c r="J1240" s="16" t="n">
        <x:v>76</x:v>
      </x:c>
      <x:c r="K1240" s="16" t="n">
        <x:v>3264.1</x:v>
      </x:c>
      <x:c r="L1240" s="16" t="n">
        <x:v>3267.5</x:v>
      </x:c>
      <x:c r="M1240" s="16" t="n">
        <x:v>3.400000000000091</x:v>
      </x:c>
      <x:c r="N1240" s="16" t="n">
        <x:v>22.35294117646999</x:v>
      </x:c>
      <x:c r="O1240" s="12" t="str">
        <x:v>FTRL44G005</x:v>
      </x:c>
      <x:c r="P1240" s="12" t="str">
        <x:v>VRVV11G013</x:v>
      </x:c>
      <x:c r="Q1240" s="12" t="str"/>
      <x:c r="R1240" s="12" t="str"/>
      <x:c r="S1240" s="12" t="str"/>
      <x:c r="T1240" s="12" t="str">
        <x:v>ABM</x:v>
      </x:c>
      <x:c r="U1240" s="12" t="str"/>
      <x:c r="V1240" s="12" t="str"/>
      <x:c r="W1240" s="12" t="str"/>
      <x:c r="X1240" s="12" t="str">
        <x:v>VRVV11</x:v>
      </x:c>
      <x:c r="Y1240" s="12" t="str">
        <x:v>FANGKI &amp; ACUNG</x:v>
      </x:c>
      <x:c r="Z1240" s="12" t="str">
        <x:v>COAL HAULING</x:v>
      </x:c>
      <x:c r="AA1240" s="32" t="n">
        <x:f>IFERROR(VLOOKUP(G1240,Master_Unit!$A$2:$N$78,7,FALSE),"")</x:f>
        <x:v>15</x:v>
      </x:c>
      <x:c r="AB1240" s="32" t="n">
        <x:f>IF(OR(N1240="",AA1240=""),"",N1240-AA1240)</x:f>
        <x:v>7.35294117646999</x:v>
      </x:c>
      <x:c r="AC1240" s="20" t="n">
        <x:f>IF(OR(N1240="",AA1240="",AA1240=0),"",AB1240/AA1240)</x:f>
        <x:v>0.49019607843133267</x:v>
      </x:c>
      <x:c r="AD1240" t="str">
        <x:f>IF(AA1240="","NO STANDARD",IF(AC1240&lt;=Config_Status!$B$2,"EFFICIENT",IF(AC1240&lt;=Config_Status!$B$3,"NORMAL",IF(AC1240&lt;=Config_Status!$B$4,"WARNING","OVER CONSUMPTION"))))</x:f>
        <x:v>OVER CONSUMPTION</x:v>
      </x:c>
      <x:c r="AE1240" t="str">
        <x:f>IFERROR(VLOOKUP(G1240,Master_Unit!$A$2:$N$78,13,FALSE),"UNIT NOT FOUND")</x:f>
        <x:v>Matched</x:v>
      </x:c>
    </x:row>
    <x:row r="1241">
      <x:c r="A1241" s="12" t="str">
        <x:v>FU-20260619-01240</x:v>
      </x:c>
      <x:c r="B1241" s="12" t="n">
        <x:v>1370</x:v>
      </x:c>
      <x:c r="C1241" s="14" t="n">
        <x:v>46192</x:v>
      </x:c>
      <x:c r="D1241" s="12" t="str"/>
      <x:c r="E1241" s="12" t="str">
        <x:v>07:11:00</x:v>
      </x:c>
      <x:c r="F1241" s="12" t="str">
        <x:v>All Shift Day</x:v>
      </x:c>
      <x:c r="G1241" s="12" t="str">
        <x:v>TLYM50G023</x:v>
      </x:c>
      <x:c r="H1241" s="12" t="str">
        <x:v>Other</x:v>
      </x:c>
      <x:c r="I1241" s="12" t="str"/>
      <x:c r="J1241" s="16" t="n">
        <x:v>8</x:v>
      </x:c>
      <x:c r="K1241" s="16" t="n">
        <x:v>4509.29</x:v>
      </x:c>
      <x:c r="L1241" s="16" t="n">
        <x:v>4519.07</x:v>
      </x:c>
      <x:c r="M1241" s="16" t="n">
        <x:v>9.779999999999745</x:v>
      </x:c>
      <x:c r="N1241" s="16" t="n">
        <x:v>0.8179959100204712</x:v>
      </x:c>
      <x:c r="O1241" s="12" t="str">
        <x:v>FTRL44G005</x:v>
      </x:c>
      <x:c r="P1241" s="12" t="str">
        <x:v>TLYM50G023</x:v>
      </x:c>
      <x:c r="Q1241" s="12" t="str"/>
      <x:c r="R1241" s="12" t="str"/>
      <x:c r="S1241" s="12" t="str"/>
      <x:c r="T1241" s="12" t="str">
        <x:v>ABM</x:v>
      </x:c>
      <x:c r="U1241" s="12" t="str"/>
      <x:c r="V1241" s="12" t="str"/>
      <x:c r="W1241" s="12" t="str"/>
      <x:c r="X1241" s="12" t="str">
        <x:v>TLYM50</x:v>
      </x:c>
      <x:c r="Y1241" s="12" t="str">
        <x:v>FANGKI &amp; ACUNG</x:v>
      </x:c>
      <x:c r="Z1241" s="12" t="str">
        <x:v>COAL HAULING</x:v>
      </x:c>
      <x:c r="AA1241" s="32" t="n">
        <x:f>IFERROR(VLOOKUP(G1241,Master_Unit!$A$2:$N$78,7,FALSE),"")</x:f>
        <x:v>2</x:v>
      </x:c>
      <x:c r="AB1241" s="32" t="n">
        <x:f>IF(OR(N1241="",AA1241=""),"",N1241-AA1241)</x:f>
        <x:v>-1.1820040899795288</x:v>
      </x:c>
      <x:c r="AC1241" s="20" t="n">
        <x:f>IF(OR(N1241="",AA1241="",AA1241=0),"",AB1241/AA1241)</x:f>
        <x:v>-0.5910020449897644</x:v>
      </x:c>
      <x:c r="AD1241" t="str">
        <x:f>IF(AA1241="","NO STANDARD",IF(AC1241&lt;=Config_Status!$B$2,"EFFICIENT",IF(AC1241&lt;=Config_Status!$B$3,"NORMAL",IF(AC1241&lt;=Config_Status!$B$4,"WARNING","OVER CONSUMPTION"))))</x:f>
        <x:v>EFFICIENT</x:v>
      </x:c>
      <x:c r="AE1241" t="str">
        <x:f>IFERROR(VLOOKUP(G1241,Master_Unit!$A$2:$N$78,13,FALSE),"UNIT NOT FOUND")</x:f>
        <x:v>Matched</x:v>
      </x:c>
    </x:row>
    <x:row r="1242">
      <x:c r="A1242" s="12" t="str">
        <x:v>FU-20260619-01241</x:v>
      </x:c>
      <x:c r="B1242" s="12" t="n">
        <x:v>1371</x:v>
      </x:c>
      <x:c r="C1242" s="14" t="n">
        <x:v>46192</x:v>
      </x:c>
      <x:c r="D1242" s="12" t="str"/>
      <x:c r="E1242" s="12" t="str">
        <x:v>07:17:00</x:v>
      </x:c>
      <x:c r="F1242" s="12" t="str">
        <x:v>All Shift Day</x:v>
      </x:c>
      <x:c r="G1242" s="12" t="str">
        <x:v>EXVV35G005</x:v>
      </x:c>
      <x:c r="H1242" s="12" t="str">
        <x:v>Other</x:v>
      </x:c>
      <x:c r="I1242" s="12" t="str"/>
      <x:c r="J1242" s="16" t="n">
        <x:v>211</x:v>
      </x:c>
      <x:c r="K1242" s="16" t="n">
        <x:v>5303.4</x:v>
      </x:c>
      <x:c r="L1242" s="16" t="n">
        <x:v>5305</x:v>
      </x:c>
      <x:c r="M1242" s="16" t="n">
        <x:v>1.6000000000003638</x:v>
      </x:c>
      <x:c r="N1242" s="16" t="n">
        <x:v>131.87499999997002</x:v>
      </x:c>
      <x:c r="O1242" s="12" t="str">
        <x:v>FTRL44G005</x:v>
      </x:c>
      <x:c r="P1242" s="12" t="str">
        <x:v>EXVV35G005</x:v>
      </x:c>
      <x:c r="Q1242" s="12" t="str"/>
      <x:c r="R1242" s="12" t="str"/>
      <x:c r="S1242" s="12" t="str"/>
      <x:c r="T1242" s="12" t="str">
        <x:v>ABM</x:v>
      </x:c>
      <x:c r="U1242" s="12" t="str"/>
      <x:c r="V1242" s="12" t="str"/>
      <x:c r="W1242" s="12" t="str"/>
      <x:c r="X1242" s="12" t="str">
        <x:v>EXVV35</x:v>
      </x:c>
      <x:c r="Y1242" s="12" t="str">
        <x:v>FANGKI &amp; ACUNG</x:v>
      </x:c>
      <x:c r="Z1242" s="12" t="str">
        <x:v>COAL HAULING</x:v>
      </x:c>
      <x:c r="AA1242" s="32" t="n">
        <x:f>IFERROR(VLOOKUP(G1242,Master_Unit!$A$2:$N$78,7,FALSE),"")</x:f>
        <x:v>25</x:v>
      </x:c>
      <x:c r="AB1242" s="32" t="n">
        <x:f>IF(OR(N1242="",AA1242=""),"",N1242-AA1242)</x:f>
        <x:v>106.87499999997002</x:v>
      </x:c>
      <x:c r="AC1242" s="20" t="n">
        <x:f>IF(OR(N1242="",AA1242="",AA1242=0),"",AB1242/AA1242)</x:f>
        <x:v>4.2749999999988</x:v>
      </x:c>
      <x:c r="AD1242" t="str">
        <x:f>IF(AA1242="","NO STANDARD",IF(AC1242&lt;=Config_Status!$B$2,"EFFICIENT",IF(AC1242&lt;=Config_Status!$B$3,"NORMAL",IF(AC1242&lt;=Config_Status!$B$4,"WARNING","OVER CONSUMPTION"))))</x:f>
        <x:v>OVER CONSUMPTION</x:v>
      </x:c>
      <x:c r="AE1242" t="str">
        <x:f>IFERROR(VLOOKUP(G1242,Master_Unit!$A$2:$N$78,13,FALSE),"UNIT NOT FOUND")</x:f>
        <x:v>Matched</x:v>
      </x:c>
    </x:row>
    <x:row r="1243">
      <x:c r="A1243" s="12" t="str">
        <x:v>FU-20260619-01242</x:v>
      </x:c>
      <x:c r="B1243" s="12" t="n">
        <x:v>1372</x:v>
      </x:c>
      <x:c r="C1243" s="14" t="n">
        <x:v>46192</x:v>
      </x:c>
      <x:c r="D1243" s="12" t="str"/>
      <x:c r="E1243" s="12" t="str">
        <x:v>07:20:00</x:v>
      </x:c>
      <x:c r="F1243" s="12" t="str">
        <x:v>All Shift Day</x:v>
      </x:c>
      <x:c r="G1243" s="12" t="str">
        <x:v>GSHT10G001</x:v>
      </x:c>
      <x:c r="H1243" s="12" t="str">
        <x:v>Other</x:v>
      </x:c>
      <x:c r="I1243" s="12" t="str"/>
      <x:c r="J1243" s="16" t="n">
        <x:v>14</x:v>
      </x:c>
      <x:c r="K1243" s="16" t="n">
        <x:v>6013.9</x:v>
      </x:c>
      <x:c r="L1243" s="16" t="n">
        <x:v>6023.49</x:v>
      </x:c>
      <x:c r="M1243" s="16" t="n">
        <x:v>9.590000000000146</x:v>
      </x:c>
      <x:c r="N1243" s="16" t="n">
        <x:v>1.459854014598518</x:v>
      </x:c>
      <x:c r="O1243" s="12" t="str">
        <x:v>FTRL44G005</x:v>
      </x:c>
      <x:c r="P1243" s="12" t="str">
        <x:v>GSHT10G001</x:v>
      </x:c>
      <x:c r="Q1243" s="12" t="str"/>
      <x:c r="R1243" s="12" t="str"/>
      <x:c r="S1243" s="12" t="str"/>
      <x:c r="T1243" s="12" t="str">
        <x:v>ABM</x:v>
      </x:c>
      <x:c r="U1243" s="12" t="str"/>
      <x:c r="V1243" s="12" t="str"/>
      <x:c r="W1243" s="12" t="str"/>
      <x:c r="X1243" s="12" t="str">
        <x:v>GSHT10</x:v>
      </x:c>
      <x:c r="Y1243" s="12" t="str">
        <x:v>FANGKI &amp; ACUNG</x:v>
      </x:c>
      <x:c r="Z1243" s="12" t="str">
        <x:v>COAL HAULING</x:v>
      </x:c>
      <x:c r="AA1243" s="32" t="n">
        <x:f>IFERROR(VLOOKUP(G1243,Master_Unit!$A$2:$N$78,7,FALSE),"")</x:f>
        <x:v>3</x:v>
      </x:c>
      <x:c r="AB1243" s="32" t="n">
        <x:f>IF(OR(N1243="",AA1243=""),"",N1243-AA1243)</x:f>
        <x:v>-1.540145985401482</x:v>
      </x:c>
      <x:c r="AC1243" s="20" t="n">
        <x:f>IF(OR(N1243="",AA1243="",AA1243=0),"",AB1243/AA1243)</x:f>
        <x:v>-0.5133819951338273</x:v>
      </x:c>
      <x:c r="AD1243" t="str">
        <x:f>IF(AA1243="","NO STANDARD",IF(AC1243&lt;=Config_Status!$B$2,"EFFICIENT",IF(AC1243&lt;=Config_Status!$B$3,"NORMAL",IF(AC1243&lt;=Config_Status!$B$4,"WARNING","OVER CONSUMPTION"))))</x:f>
        <x:v>EFFICIENT</x:v>
      </x:c>
      <x:c r="AE1243" t="str">
        <x:f>IFERROR(VLOOKUP(G1243,Master_Unit!$A$2:$N$78,13,FALSE),"UNIT NOT FOUND")</x:f>
        <x:v>Matched</x:v>
      </x:c>
    </x:row>
    <x:row r="1244">
      <x:c r="A1244" s="12" t="str">
        <x:v>FU-20260619-01243</x:v>
      </x:c>
      <x:c r="B1244" s="12" t="n">
        <x:v>1373</x:v>
      </x:c>
      <x:c r="C1244" s="14" t="n">
        <x:v>46192</x:v>
      </x:c>
      <x:c r="D1244" s="12" t="str"/>
      <x:c r="E1244" s="12" t="str">
        <x:v>07:29:00</x:v>
      </x:c>
      <x:c r="F1244" s="12" t="str">
        <x:v>All Shift Day</x:v>
      </x:c>
      <x:c r="G1244" s="12" t="str">
        <x:v>EXVV21G037</x:v>
      </x:c>
      <x:c r="H1244" s="12" t="str">
        <x:v>Other</x:v>
      </x:c>
      <x:c r="I1244" s="12" t="str"/>
      <x:c r="J1244" s="16" t="n">
        <x:v>138</x:v>
      </x:c>
      <x:c r="K1244" s="16" t="n">
        <x:v>6975.7</x:v>
      </x:c>
      <x:c r="L1244" s="16" t="n">
        <x:v>6983.4</x:v>
      </x:c>
      <x:c r="M1244" s="16" t="n">
        <x:v>7.699999999999818</x:v>
      </x:c>
      <x:c r="N1244" s="16" t="n">
        <x:v>17.922077922078344</x:v>
      </x:c>
      <x:c r="O1244" s="12" t="str">
        <x:v>FTRL44G005</x:v>
      </x:c>
      <x:c r="P1244" s="12" t="str">
        <x:v>EXVV21G037</x:v>
      </x:c>
      <x:c r="Q1244" s="12" t="str"/>
      <x:c r="R1244" s="12" t="str"/>
      <x:c r="S1244" s="12" t="str"/>
      <x:c r="T1244" s="12" t="str">
        <x:v>ABM</x:v>
      </x:c>
      <x:c r="U1244" s="12" t="str"/>
      <x:c r="V1244" s="12" t="str"/>
      <x:c r="W1244" s="12" t="str"/>
      <x:c r="X1244" s="12" t="str">
        <x:v>EXVV21</x:v>
      </x:c>
      <x:c r="Y1244" s="12" t="str">
        <x:v>FANGKI &amp; ACUNG</x:v>
      </x:c>
      <x:c r="Z1244" s="12" t="str">
        <x:v>COAL HAULING</x:v>
      </x:c>
      <x:c r="AA1244" s="32" t="n">
        <x:f>IFERROR(VLOOKUP(G1244,Master_Unit!$A$2:$N$78,7,FALSE),"")</x:f>
        <x:v>20</x:v>
      </x:c>
      <x:c r="AB1244" s="32" t="n">
        <x:f>IF(OR(N1244="",AA1244=""),"",N1244-AA1244)</x:f>
        <x:v>-2.077922077921656</x:v>
      </x:c>
      <x:c r="AC1244" s="20" t="n">
        <x:f>IF(OR(N1244="",AA1244="",AA1244=0),"",AB1244/AA1244)</x:f>
        <x:v>-0.1038961038960828</x:v>
      </x:c>
      <x:c r="AD1244" t="str">
        <x:f>IF(AA1244="","NO STANDARD",IF(AC1244&lt;=Config_Status!$B$2,"EFFICIENT",IF(AC1244&lt;=Config_Status!$B$3,"NORMAL",IF(AC1244&lt;=Config_Status!$B$4,"WARNING","OVER CONSUMPTION"))))</x:f>
        <x:v>EFFICIENT</x:v>
      </x:c>
      <x:c r="AE1244" t="str">
        <x:f>IFERROR(VLOOKUP(G1244,Master_Unit!$A$2:$N$78,13,FALSE),"UNIT NOT FOUND")</x:f>
        <x:v>Matched</x:v>
      </x:c>
    </x:row>
    <x:row r="1245">
      <x:c r="A1245" s="12" t="str">
        <x:v>FU-20260619-01244</x:v>
      </x:c>
      <x:c r="B1245" s="12" t="n">
        <x:v>1374</x:v>
      </x:c>
      <x:c r="C1245" s="14" t="n">
        <x:v>46192</x:v>
      </x:c>
      <x:c r="D1245" s="12" t="str"/>
      <x:c r="E1245" s="12" t="str">
        <x:v>07:34:00</x:v>
      </x:c>
      <x:c r="F1245" s="12" t="str">
        <x:v>All Shift Day</x:v>
      </x:c>
      <x:c r="G1245" s="12" t="str">
        <x:v>WTRL44G006</x:v>
      </x:c>
      <x:c r="H1245" s="12" t="str">
        <x:v>Other</x:v>
      </x:c>
      <x:c r="I1245" s="12" t="str"/>
      <x:c r="J1245" s="16" t="n">
        <x:v>111</x:v>
      </x:c>
      <x:c r="K1245" s="16" t="n">
        <x:v>2057</x:v>
      </x:c>
      <x:c r="L1245" s="16" t="n">
        <x:v>2073</x:v>
      </x:c>
      <x:c r="M1245" s="16" t="n">
        <x:v>16</x:v>
      </x:c>
      <x:c r="N1245" s="16" t="n">
        <x:v>6.9375</x:v>
      </x:c>
      <x:c r="O1245" s="12" t="str">
        <x:v>FTRL44G005</x:v>
      </x:c>
      <x:c r="P1245" s="12" t="str">
        <x:v>WTRL44G006</x:v>
      </x:c>
      <x:c r="Q1245" s="12" t="str"/>
      <x:c r="R1245" s="12" t="str"/>
      <x:c r="S1245" s="12" t="str"/>
      <x:c r="T1245" s="12" t="str">
        <x:v>ABM</x:v>
      </x:c>
      <x:c r="U1245" s="12" t="str"/>
      <x:c r="V1245" s="12" t="str"/>
      <x:c r="W1245" s="12" t="str"/>
      <x:c r="X1245" s="12" t="str">
        <x:v>WTRL44</x:v>
      </x:c>
      <x:c r="Y1245" s="12" t="str">
        <x:v>FANGKI &amp; ACUNG</x:v>
      </x:c>
      <x:c r="Z1245" s="12" t="str">
        <x:v>COAL HAULING</x:v>
      </x:c>
      <x:c r="AA1245" s="32" t="n">
        <x:f>IFERROR(VLOOKUP(G1245,Master_Unit!$A$2:$N$78,7,FALSE),"")</x:f>
        <x:v>20</x:v>
      </x:c>
      <x:c r="AB1245" s="32" t="n">
        <x:f>IF(OR(N1245="",AA1245=""),"",N1245-AA1245)</x:f>
        <x:v>-13.0625</x:v>
      </x:c>
      <x:c r="AC1245" s="20" t="n">
        <x:f>IF(OR(N1245="",AA1245="",AA1245=0),"",AB1245/AA1245)</x:f>
        <x:v>-0.653125</x:v>
      </x:c>
      <x:c r="AD1245" t="str">
        <x:f>IF(AA1245="","NO STANDARD",IF(AC1245&lt;=Config_Status!$B$2,"EFFICIENT",IF(AC1245&lt;=Config_Status!$B$3,"NORMAL",IF(AC1245&lt;=Config_Status!$B$4,"WARNING","OVER CONSUMPTION"))))</x:f>
        <x:v>EFFICIENT</x:v>
      </x:c>
      <x:c r="AE1245" t="str">
        <x:f>IFERROR(VLOOKUP(G1245,Master_Unit!$A$2:$N$78,13,FALSE),"UNIT NOT FOUND")</x:f>
        <x:v>Matched</x:v>
      </x:c>
    </x:row>
    <x:row r="1246">
      <x:c r="A1246" s="12" t="str">
        <x:v>FU-20260619-01245</x:v>
      </x:c>
      <x:c r="B1246" s="12" t="n">
        <x:v>1375</x:v>
      </x:c>
      <x:c r="C1246" s="14" t="n">
        <x:v>46192</x:v>
      </x:c>
      <x:c r="D1246" s="12" t="str"/>
      <x:c r="E1246" s="12" t="str">
        <x:v>07:38:00</x:v>
      </x:c>
      <x:c r="F1246" s="12" t="str">
        <x:v>All Shift Day</x:v>
      </x:c>
      <x:c r="G1246" s="12" t="str">
        <x:v>BDKM85G039</x:v>
      </x:c>
      <x:c r="H1246" s="12" t="str">
        <x:v>Other</x:v>
      </x:c>
      <x:c r="I1246" s="12" t="str"/>
      <x:c r="J1246" s="16" t="n">
        <x:v>109</x:v>
      </x:c>
      <x:c r="K1246" s="16" t="n">
        <x:v>7161.8</x:v>
      </x:c>
      <x:c r="L1246" s="16" t="n">
        <x:v>7167.9</x:v>
      </x:c>
      <x:c r="M1246" s="16" t="n">
        <x:v>6.099999999999454</x:v>
      </x:c>
      <x:c r="N1246" s="16" t="n">
        <x:v>17.86885245901799</x:v>
      </x:c>
      <x:c r="O1246" s="12" t="str">
        <x:v>FTRL44G005</x:v>
      </x:c>
      <x:c r="P1246" s="12" t="str">
        <x:v>BDKM85G039</x:v>
      </x:c>
      <x:c r="Q1246" s="12" t="str"/>
      <x:c r="R1246" s="12" t="str"/>
      <x:c r="S1246" s="12" t="str"/>
      <x:c r="T1246" s="12" t="str">
        <x:v>ABM</x:v>
      </x:c>
      <x:c r="U1246" s="12" t="str"/>
      <x:c r="V1246" s="12" t="str"/>
      <x:c r="W1246" s="12" t="str"/>
      <x:c r="X1246" s="12" t="str">
        <x:v>BDKM85</x:v>
      </x:c>
      <x:c r="Y1246" s="12" t="str">
        <x:v>FANGKI &amp; ACUNG</x:v>
      </x:c>
      <x:c r="Z1246" s="12" t="str">
        <x:v>PIT</x:v>
      </x:c>
      <x:c r="AA1246" s="32" t="n">
        <x:f>IFERROR(VLOOKUP(G1246,Master_Unit!$A$2:$N$78,7,FALSE),"")</x:f>
        <x:v>30</x:v>
      </x:c>
      <x:c r="AB1246" s="32" t="n">
        <x:f>IF(OR(N1246="",AA1246=""),"",N1246-AA1246)</x:f>
        <x:v>-12.13114754098201</x:v>
      </x:c>
      <x:c r="AC1246" s="20" t="n">
        <x:f>IF(OR(N1246="",AA1246="",AA1246=0),"",AB1246/AA1246)</x:f>
        <x:v>-0.4043715846994003</x:v>
      </x:c>
      <x:c r="AD1246" t="str">
        <x:f>IF(AA1246="","NO STANDARD",IF(AC1246&lt;=Config_Status!$B$2,"EFFICIENT",IF(AC1246&lt;=Config_Status!$B$3,"NORMAL",IF(AC1246&lt;=Config_Status!$B$4,"WARNING","OVER CONSUMPTION"))))</x:f>
        <x:v>EFFICIENT</x:v>
      </x:c>
      <x:c r="AE1246" t="str">
        <x:f>IFERROR(VLOOKUP(G1246,Master_Unit!$A$2:$N$78,13,FALSE),"UNIT NOT FOUND")</x:f>
        <x:v>Matched</x:v>
      </x:c>
    </x:row>
    <x:row r="1247">
      <x:c r="A1247" s="12" t="str">
        <x:v>FU-20260619-01246</x:v>
      </x:c>
      <x:c r="B1247" s="12" t="n">
        <x:v>1376</x:v>
      </x:c>
      <x:c r="C1247" s="14" t="n">
        <x:v>46192</x:v>
      </x:c>
      <x:c r="D1247" s="12" t="str"/>
      <x:c r="E1247" s="12" t="str">
        <x:v>07:40:00</x:v>
      </x:c>
      <x:c r="F1247" s="12" t="str">
        <x:v>All Shift Day</x:v>
      </x:c>
      <x:c r="G1247" s="12" t="str">
        <x:v>LVTH24R026</x:v>
      </x:c>
      <x:c r="H1247" s="12" t="str">
        <x:v>Other</x:v>
      </x:c>
      <x:c r="I1247" s="12" t="str"/>
      <x:c r="J1247" s="16" t="n">
        <x:v>21</x:v>
      </x:c>
      <x:c r="K1247" s="16" t="n">
        <x:v>60135</x:v>
      </x:c>
      <x:c r="L1247" s="16" t="n">
        <x:v>60257</x:v>
      </x:c>
      <x:c r="M1247" s="16" t="n">
        <x:v>122</x:v>
      </x:c>
      <x:c r="N1247" s="16" t="n">
        <x:v>0.1721311475409836</x:v>
      </x:c>
      <x:c r="O1247" s="12" t="str">
        <x:v>FTRL44G005</x:v>
      </x:c>
      <x:c r="P1247" s="12" t="str">
        <x:v>LVTH24R026</x:v>
      </x:c>
      <x:c r="Q1247" s="12" t="str"/>
      <x:c r="R1247" s="12" t="str"/>
      <x:c r="S1247" s="12" t="str"/>
      <x:c r="T1247" s="12" t="str">
        <x:v>ABM</x:v>
      </x:c>
      <x:c r="U1247" s="12" t="str"/>
      <x:c r="V1247" s="12" t="str"/>
      <x:c r="W1247" s="12" t="str"/>
      <x:c r="X1247" s="12" t="str">
        <x:v>LVTH24</x:v>
      </x:c>
      <x:c r="Y1247" s="12" t="str">
        <x:v>FANGKI &amp; ACUNG</x:v>
      </x:c>
      <x:c r="Z1247" s="12" t="str">
        <x:v>SUPPORT</x:v>
      </x:c>
      <x:c r="AA1247" s="32" t="n">
        <x:f>IFERROR(VLOOKUP(G1247,Master_Unit!$A$2:$N$78,7,FALSE),"")</x:f>
        <x:v>0.2</x:v>
      </x:c>
      <x:c r="AB1247" s="32" t="n">
        <x:f>IF(OR(N1247="",AA1247=""),"",N1247-AA1247)</x:f>
        <x:v>-0.027868852459016408</x:v>
      </x:c>
      <x:c r="AC1247" s="20" t="n">
        <x:f>IF(OR(N1247="",AA1247="",AA1247=0),"",AB1247/AA1247)</x:f>
        <x:v>-0.13934426229508204</x:v>
      </x:c>
      <x:c r="AD1247" t="str">
        <x:f>IF(AA1247="","NO STANDARD",IF(AC1247&lt;=Config_Status!$B$2,"EFFICIENT",IF(AC1247&lt;=Config_Status!$B$3,"NORMAL",IF(AC1247&lt;=Config_Status!$B$4,"WARNING","OVER CONSUMPTION"))))</x:f>
        <x:v>EFFICIENT</x:v>
      </x:c>
      <x:c r="AE1247" t="str">
        <x:f>IFERROR(VLOOKUP(G1247,Master_Unit!$A$2:$N$78,13,FALSE),"UNIT NOT FOUND")</x:f>
        <x:v>Matched</x:v>
      </x:c>
    </x:row>
    <x:row r="1248">
      <x:c r="A1248" s="12" t="str">
        <x:v>FU-20260619-01247</x:v>
      </x:c>
      <x:c r="B1248" s="12" t="n">
        <x:v>1377</x:v>
      </x:c>
      <x:c r="C1248" s="14" t="n">
        <x:v>46192</x:v>
      </x:c>
      <x:c r="D1248" s="12" t="str"/>
      <x:c r="E1248" s="12" t="str">
        <x:v>07:44:00</x:v>
      </x:c>
      <x:c r="F1248" s="12" t="str">
        <x:v>All Shift Day</x:v>
      </x:c>
      <x:c r="G1248" s="12" t="str">
        <x:v>MGSD20G006</x:v>
      </x:c>
      <x:c r="H1248" s="12" t="str">
        <x:v>Other</x:v>
      </x:c>
      <x:c r="I1248" s="12" t="str"/>
      <x:c r="J1248" s="16" t="n">
        <x:v>55</x:v>
      </x:c>
      <x:c r="K1248" s="16" t="n">
        <x:v>2025.8</x:v>
      </x:c>
      <x:c r="L1248" s="16" t="n">
        <x:v>2029.6</x:v>
      </x:c>
      <x:c r="M1248" s="16" t="n">
        <x:v>3.7999999999999545</x:v>
      </x:c>
      <x:c r="N1248" s="16" t="n">
        <x:v>14.47368421052649</x:v>
      </x:c>
      <x:c r="O1248" s="12" t="str">
        <x:v>FTRL44G005</x:v>
      </x:c>
      <x:c r="P1248" s="12" t="str">
        <x:v>MGSD20G006</x:v>
      </x:c>
      <x:c r="Q1248" s="12" t="str"/>
      <x:c r="R1248" s="12" t="str"/>
      <x:c r="S1248" s="12" t="str"/>
      <x:c r="T1248" s="12" t="str">
        <x:v>ABM</x:v>
      </x:c>
      <x:c r="U1248" s="12" t="str"/>
      <x:c r="V1248" s="12" t="str"/>
      <x:c r="W1248" s="12" t="str"/>
      <x:c r="X1248" s="12" t="str">
        <x:v>MGSD20</x:v>
      </x:c>
      <x:c r="Y1248" s="12" t="str">
        <x:v>FANGKI &amp; ACUNG</x:v>
      </x:c>
      <x:c r="Z1248" s="12" t="str">
        <x:v>PIT</x:v>
      </x:c>
      <x:c r="AA1248" s="32" t="n">
        <x:f>IFERROR(VLOOKUP(G1248,Master_Unit!$A$2:$N$78,7,FALSE),"")</x:f>
        <x:v>20</x:v>
      </x:c>
      <x:c r="AB1248" s="32" t="n">
        <x:f>IF(OR(N1248="",AA1248=""),"",N1248-AA1248)</x:f>
        <x:v>-5.526315789473511</x:v>
      </x:c>
      <x:c r="AC1248" s="20" t="n">
        <x:f>IF(OR(N1248="",AA1248="",AA1248=0),"",AB1248/AA1248)</x:f>
        <x:v>-0.2763157894736755</x:v>
      </x:c>
      <x:c r="AD1248" t="str">
        <x:f>IF(AA1248="","NO STANDARD",IF(AC1248&lt;=Config_Status!$B$2,"EFFICIENT",IF(AC1248&lt;=Config_Status!$B$3,"NORMAL",IF(AC1248&lt;=Config_Status!$B$4,"WARNING","OVER CONSUMPTION"))))</x:f>
        <x:v>EFFICIENT</x:v>
      </x:c>
      <x:c r="AE1248" t="str">
        <x:f>IFERROR(VLOOKUP(G1248,Master_Unit!$A$2:$N$78,13,FALSE),"UNIT NOT FOUND")</x:f>
        <x:v>Matched</x:v>
      </x:c>
    </x:row>
    <x:row r="1249">
      <x:c r="A1249" s="12" t="str">
        <x:v>FU-20260619-01248</x:v>
      </x:c>
      <x:c r="B1249" s="12" t="n">
        <x:v>1378</x:v>
      </x:c>
      <x:c r="C1249" s="14" t="n">
        <x:v>46192</x:v>
      </x:c>
      <x:c r="D1249" s="12" t="str"/>
      <x:c r="E1249" s="12" t="str">
        <x:v>08:12:00</x:v>
      </x:c>
      <x:c r="F1249" s="12" t="str">
        <x:v>All Shift Day</x:v>
      </x:c>
      <x:c r="G1249" s="12" t="str">
        <x:v>STRL44G135</x:v>
      </x:c>
      <x:c r="H1249" s="12" t="str">
        <x:v>Other</x:v>
      </x:c>
      <x:c r="I1249" s="12" t="str"/>
      <x:c r="J1249" s="16" t="n">
        <x:v>112</x:v>
      </x:c>
      <x:c r="K1249" s="16" t="n">
        <x:v>5945</x:v>
      </x:c>
      <x:c r="L1249" s="16" t="n">
        <x:v>5960</x:v>
      </x:c>
      <x:c r="M1249" s="16" t="n">
        <x:v>15</x:v>
      </x:c>
      <x:c r="N1249" s="16" t="n">
        <x:v>7.466666666666667</x:v>
      </x:c>
      <x:c r="O1249" s="12" t="str">
        <x:v>FTRL44G005</x:v>
      </x:c>
      <x:c r="P1249" s="12" t="str">
        <x:v>STRL44G135</x:v>
      </x:c>
      <x:c r="Q1249" s="12" t="str"/>
      <x:c r="R1249" s="12" t="str"/>
      <x:c r="S1249" s="12" t="str"/>
      <x:c r="T1249" s="12" t="str">
        <x:v>ABM</x:v>
      </x:c>
      <x:c r="U1249" s="12" t="str"/>
      <x:c r="V1249" s="12" t="str"/>
      <x:c r="W1249" s="12" t="str"/>
      <x:c r="X1249" s="12" t="str">
        <x:v>STRL44</x:v>
      </x:c>
      <x:c r="Y1249" s="12" t="str">
        <x:v>FANGKI &amp; ACUNG</x:v>
      </x:c>
      <x:c r="Z1249" s="12" t="str">
        <x:v>PIT</x:v>
      </x:c>
      <x:c r="AA1249" s="32" t="n">
        <x:f>IFERROR(VLOOKUP(G1249,Master_Unit!$A$2:$N$78,7,FALSE),"")</x:f>
        <x:v>20</x:v>
      </x:c>
      <x:c r="AB1249" s="32" t="n">
        <x:f>IF(OR(N1249="",AA1249=""),"",N1249-AA1249)</x:f>
        <x:v>-12.533333333333333</x:v>
      </x:c>
      <x:c r="AC1249" s="20" t="n">
        <x:f>IF(OR(N1249="",AA1249="",AA1249=0),"",AB1249/AA1249)</x:f>
        <x:v>-0.6266666666666667</x:v>
      </x:c>
      <x:c r="AD1249" t="str">
        <x:f>IF(AA1249="","NO STANDARD",IF(AC1249&lt;=Config_Status!$B$2,"EFFICIENT",IF(AC1249&lt;=Config_Status!$B$3,"NORMAL",IF(AC1249&lt;=Config_Status!$B$4,"WARNING","OVER CONSUMPTION"))))</x:f>
        <x:v>EFFICIENT</x:v>
      </x:c>
      <x:c r="AE1249" t="str">
        <x:f>IFERROR(VLOOKUP(G1249,Master_Unit!$A$2:$N$78,13,FALSE),"UNIT NOT FOUND")</x:f>
        <x:v>Matched</x:v>
      </x:c>
    </x:row>
    <x:row r="1250">
      <x:c r="A1250" s="12" t="str">
        <x:v>FU-20260619-01249</x:v>
      </x:c>
      <x:c r="B1250" s="12" t="n">
        <x:v>1379</x:v>
      </x:c>
      <x:c r="C1250" s="14" t="n">
        <x:v>46192</x:v>
      </x:c>
      <x:c r="D1250" s="12" t="str"/>
      <x:c r="E1250" s="12" t="str">
        <x:v>08:21:00</x:v>
      </x:c>
      <x:c r="F1250" s="12" t="str">
        <x:v>All Shift Day</x:v>
      </x:c>
      <x:c r="G1250" s="12" t="str">
        <x:v>LVTH24R033</x:v>
      </x:c>
      <x:c r="H1250" s="12" t="str">
        <x:v>Other</x:v>
      </x:c>
      <x:c r="I1250" s="12" t="str"/>
      <x:c r="J1250" s="16" t="n">
        <x:v>40</x:v>
      </x:c>
      <x:c r="K1250" s="16" t="n">
        <x:v>140307</x:v>
      </x:c>
      <x:c r="L1250" s="16" t="n">
        <x:v>140502</x:v>
      </x:c>
      <x:c r="M1250" s="16" t="n">
        <x:v>195</x:v>
      </x:c>
      <x:c r="N1250" s="16" t="n">
        <x:v>0.20512820512820512</x:v>
      </x:c>
      <x:c r="O1250" s="12" t="str">
        <x:v>FTRL44G005</x:v>
      </x:c>
      <x:c r="P1250" s="12" t="str">
        <x:v>LVTH24R033</x:v>
      </x:c>
      <x:c r="Q1250" s="12" t="str"/>
      <x:c r="R1250" s="12" t="str"/>
      <x:c r="S1250" s="12" t="str"/>
      <x:c r="T1250" s="12" t="str">
        <x:v>ABM</x:v>
      </x:c>
      <x:c r="U1250" s="12" t="str"/>
      <x:c r="V1250" s="12" t="str"/>
      <x:c r="W1250" s="12" t="str"/>
      <x:c r="X1250" s="12" t="str">
        <x:v>LVTH24</x:v>
      </x:c>
      <x:c r="Y1250" s="12" t="str">
        <x:v>FANGKI &amp; ACUNG</x:v>
      </x:c>
      <x:c r="Z1250" s="12" t="str">
        <x:v>SUPPORT</x:v>
      </x:c>
      <x:c r="AA1250" s="32" t="n">
        <x:f>IFERROR(VLOOKUP(G1250,Master_Unit!$A$2:$N$78,7,FALSE),"")</x:f>
        <x:v>0.2</x:v>
      </x:c>
      <x:c r="AB1250" s="32" t="n">
        <x:f>IF(OR(N1250="",AA1250=""),"",N1250-AA1250)</x:f>
        <x:v>0.00512820512820511</x:v>
      </x:c>
      <x:c r="AC1250" s="20" t="n">
        <x:f>IF(OR(N1250="",AA1250="",AA1250=0),"",AB1250/AA1250)</x:f>
        <x:v>0.02564102564102555</x:v>
      </x:c>
      <x:c r="AD1250" t="str">
        <x:f>IF(AA1250="","NO STANDARD",IF(AC1250&lt;=Config_Status!$B$2,"EFFICIENT",IF(AC1250&lt;=Config_Status!$B$3,"NORMAL",IF(AC1250&lt;=Config_Status!$B$4,"WARNING","OVER CONSUMPTION"))))</x:f>
        <x:v>NORMAL</x:v>
      </x:c>
      <x:c r="AE1250" t="str">
        <x:f>IFERROR(VLOOKUP(G1250,Master_Unit!$A$2:$N$78,13,FALSE),"UNIT NOT FOUND")</x:f>
        <x:v>Matched</x:v>
      </x:c>
    </x:row>
    <x:row r="1251">
      <x:c r="A1251" s="12" t="str">
        <x:v>FU-20260619-01250</x:v>
      </x:c>
      <x:c r="B1251" s="12" t="n">
        <x:v>1380</x:v>
      </x:c>
      <x:c r="C1251" s="14" t="n">
        <x:v>46192</x:v>
      </x:c>
      <x:c r="D1251" s="12" t="str"/>
      <x:c r="E1251" s="12" t="str">
        <x:v>08:26:00</x:v>
      </x:c>
      <x:c r="F1251" s="12" t="str">
        <x:v>All Shift Day</x:v>
      </x:c>
      <x:c r="G1251" s="12" t="str">
        <x:v>LTRL44G002</x:v>
      </x:c>
      <x:c r="H1251" s="12" t="str">
        <x:v>Other</x:v>
      </x:c>
      <x:c r="I1251" s="12" t="str"/>
      <x:c r="J1251" s="16" t="n">
        <x:v>78</x:v>
      </x:c>
      <x:c r="K1251" s="16" t="n">
        <x:v>2102</x:v>
      </x:c>
      <x:c r="L1251" s="16" t="n">
        <x:v>2112</x:v>
      </x:c>
      <x:c r="M1251" s="16" t="n">
        <x:v>10</x:v>
      </x:c>
      <x:c r="N1251" s="16" t="n">
        <x:v>7.8</x:v>
      </x:c>
      <x:c r="O1251" s="12" t="str">
        <x:v>FTRL44G005</x:v>
      </x:c>
      <x:c r="P1251" s="12" t="str">
        <x:v>LTRL44G002</x:v>
      </x:c>
      <x:c r="Q1251" s="12" t="str"/>
      <x:c r="R1251" s="12" t="str"/>
      <x:c r="S1251" s="12" t="str"/>
      <x:c r="T1251" s="12" t="str">
        <x:v>ABM</x:v>
      </x:c>
      <x:c r="U1251" s="12" t="str"/>
      <x:c r="V1251" s="12" t="str"/>
      <x:c r="W1251" s="12" t="str"/>
      <x:c r="X1251" s="12" t="str">
        <x:v>LTRL44</x:v>
      </x:c>
      <x:c r="Y1251" s="12" t="str">
        <x:v>FANGKI &amp; ACUNG</x:v>
      </x:c>
      <x:c r="Z1251" s="12" t="str">
        <x:v>PIT</x:v>
      </x:c>
      <x:c r="AA1251" s="32" t="n">
        <x:f>IFERROR(VLOOKUP(G1251,Master_Unit!$A$2:$N$78,7,FALSE),"")</x:f>
        <x:v>20</x:v>
      </x:c>
      <x:c r="AB1251" s="32" t="n">
        <x:f>IF(OR(N1251="",AA1251=""),"",N1251-AA1251)</x:f>
        <x:v>-12.2</x:v>
      </x:c>
      <x:c r="AC1251" s="20" t="n">
        <x:f>IF(OR(N1251="",AA1251="",AA1251=0),"",AB1251/AA1251)</x:f>
        <x:v>-0.61</x:v>
      </x:c>
      <x:c r="AD1251" t="str">
        <x:f>IF(AA1251="","NO STANDARD",IF(AC1251&lt;=Config_Status!$B$2,"EFFICIENT",IF(AC1251&lt;=Config_Status!$B$3,"NORMAL",IF(AC1251&lt;=Config_Status!$B$4,"WARNING","OVER CONSUMPTION"))))</x:f>
        <x:v>EFFICIENT</x:v>
      </x:c>
      <x:c r="AE1251" t="str">
        <x:f>IFERROR(VLOOKUP(G1251,Master_Unit!$A$2:$N$78,13,FALSE),"UNIT NOT FOUND")</x:f>
        <x:v>Matched</x:v>
      </x:c>
    </x:row>
    <x:row r="1252">
      <x:c r="A1252" s="12" t="str">
        <x:v>FU-20260619-01251</x:v>
      </x:c>
      <x:c r="B1252" s="12" t="n">
        <x:v>1381</x:v>
      </x:c>
      <x:c r="C1252" s="14" t="n">
        <x:v>46192</x:v>
      </x:c>
      <x:c r="D1252" s="12" t="str"/>
      <x:c r="E1252" s="12" t="str">
        <x:v>08:32:00</x:v>
      </x:c>
      <x:c r="F1252" s="12" t="str">
        <x:v>All Shift Day</x:v>
      </x:c>
      <x:c r="G1252" s="12" t="str">
        <x:v>WTRL44G007</x:v>
      </x:c>
      <x:c r="H1252" s="12" t="str">
        <x:v>Other</x:v>
      </x:c>
      <x:c r="I1252" s="12" t="str"/>
      <x:c r="J1252" s="16" t="n">
        <x:v>105</x:v>
      </x:c>
      <x:c r="K1252" s="16" t="n">
        <x:v>1636</x:v>
      </x:c>
      <x:c r="L1252" s="16" t="n">
        <x:v>1644</x:v>
      </x:c>
      <x:c r="M1252" s="16" t="n">
        <x:v>8</x:v>
      </x:c>
      <x:c r="N1252" s="16" t="n">
        <x:v>13.125</x:v>
      </x:c>
      <x:c r="O1252" s="12" t="str">
        <x:v>FTRL44G005</x:v>
      </x:c>
      <x:c r="P1252" s="12" t="str">
        <x:v>WTRL44G007</x:v>
      </x:c>
      <x:c r="Q1252" s="12" t="str"/>
      <x:c r="R1252" s="12" t="str"/>
      <x:c r="S1252" s="12" t="str"/>
      <x:c r="T1252" s="12" t="str">
        <x:v>ABM</x:v>
      </x:c>
      <x:c r="U1252" s="12" t="str"/>
      <x:c r="V1252" s="12" t="str"/>
      <x:c r="W1252" s="12" t="str"/>
      <x:c r="X1252" s="12" t="str">
        <x:v>WTRL44</x:v>
      </x:c>
      <x:c r="Y1252" s="12" t="str">
        <x:v>FANGKI &amp; ACUNG</x:v>
      </x:c>
      <x:c r="Z1252" s="12" t="str">
        <x:v>SUPPORT</x:v>
      </x:c>
      <x:c r="AA1252" s="32" t="n">
        <x:f>IFERROR(VLOOKUP(G1252,Master_Unit!$A$2:$N$78,7,FALSE),"")</x:f>
        <x:v>20</x:v>
      </x:c>
      <x:c r="AB1252" s="32" t="n">
        <x:f>IF(OR(N1252="",AA1252=""),"",N1252-AA1252)</x:f>
        <x:v>-6.875</x:v>
      </x:c>
      <x:c r="AC1252" s="20" t="n">
        <x:f>IF(OR(N1252="",AA1252="",AA1252=0),"",AB1252/AA1252)</x:f>
        <x:v>-0.34375</x:v>
      </x:c>
      <x:c r="AD1252" t="str">
        <x:f>IF(AA1252="","NO STANDARD",IF(AC1252&lt;=Config_Status!$B$2,"EFFICIENT",IF(AC1252&lt;=Config_Status!$B$3,"NORMAL",IF(AC1252&lt;=Config_Status!$B$4,"WARNING","OVER CONSUMPTION"))))</x:f>
        <x:v>EFFICIENT</x:v>
      </x:c>
      <x:c r="AE1252" t="str">
        <x:f>IFERROR(VLOOKUP(G1252,Master_Unit!$A$2:$N$78,13,FALSE),"UNIT NOT FOUND")</x:f>
        <x:v>Matched</x:v>
      </x:c>
    </x:row>
    <x:row r="1253">
      <x:c r="A1253" s="12" t="str">
        <x:v>FU-20260619-01252</x:v>
      </x:c>
      <x:c r="B1253" s="12" t="n">
        <x:v>1382</x:v>
      </x:c>
      <x:c r="C1253" s="14" t="n">
        <x:v>46192</x:v>
      </x:c>
      <x:c r="D1253" s="12" t="str"/>
      <x:c r="E1253" s="12" t="str">
        <x:v>08:42:00</x:v>
      </x:c>
      <x:c r="F1253" s="12" t="str">
        <x:v>All Shift Day</x:v>
      </x:c>
      <x:c r="G1253" s="12" t="str">
        <x:v>GSHT10G002</x:v>
      </x:c>
      <x:c r="H1253" s="12" t="str">
        <x:v>Other</x:v>
      </x:c>
      <x:c r="I1253" s="12" t="str"/>
      <x:c r="J1253" s="16" t="n">
        <x:v>32</x:v>
      </x:c>
      <x:c r="K1253" s="16" t="n">
        <x:v>8604.35</x:v>
      </x:c>
      <x:c r="L1253" s="16" t="n">
        <x:v>8635.48</x:v>
      </x:c>
      <x:c r="M1253" s="16" t="n">
        <x:v>31.1299999999992</x:v>
      </x:c>
      <x:c r="N1253" s="16" t="n">
        <x:v>1.0279473176999943</x:v>
      </x:c>
      <x:c r="O1253" s="12" t="str">
        <x:v>FTRL44G005</x:v>
      </x:c>
      <x:c r="P1253" s="12" t="str">
        <x:v>GSHT10G002</x:v>
      </x:c>
      <x:c r="Q1253" s="12" t="str"/>
      <x:c r="R1253" s="12" t="str"/>
      <x:c r="S1253" s="12" t="str"/>
      <x:c r="T1253" s="12" t="str">
        <x:v>ABM</x:v>
      </x:c>
      <x:c r="U1253" s="12" t="str"/>
      <x:c r="V1253" s="12" t="str"/>
      <x:c r="W1253" s="12" t="str"/>
      <x:c r="X1253" s="12" t="str">
        <x:v>GSHT10</x:v>
      </x:c>
      <x:c r="Y1253" s="12" t="str">
        <x:v>FANGKI &amp; ACUNG</x:v>
      </x:c>
      <x:c r="Z1253" s="12" t="str">
        <x:v>PIT</x:v>
      </x:c>
      <x:c r="AA1253" s="32" t="n">
        <x:f>IFERROR(VLOOKUP(G1253,Master_Unit!$A$2:$N$78,7,FALSE),"")</x:f>
        <x:v>3</x:v>
      </x:c>
      <x:c r="AB1253" s="32" t="n">
        <x:f>IF(OR(N1253="",AA1253=""),"",N1253-AA1253)</x:f>
        <x:v>-1.9720526823000057</x:v>
      </x:c>
      <x:c r="AC1253" s="20" t="n">
        <x:f>IF(OR(N1253="",AA1253="",AA1253=0),"",AB1253/AA1253)</x:f>
        <x:v>-0.6573508941000019</x:v>
      </x:c>
      <x:c r="AD1253" t="str">
        <x:f>IF(AA1253="","NO STANDARD",IF(AC1253&lt;=Config_Status!$B$2,"EFFICIENT",IF(AC1253&lt;=Config_Status!$B$3,"NORMAL",IF(AC1253&lt;=Config_Status!$B$4,"WARNING","OVER CONSUMPTION"))))</x:f>
        <x:v>EFFICIENT</x:v>
      </x:c>
      <x:c r="AE1253" t="str">
        <x:f>IFERROR(VLOOKUP(G1253,Master_Unit!$A$2:$N$78,13,FALSE),"UNIT NOT FOUND")</x:f>
        <x:v>Matched</x:v>
      </x:c>
    </x:row>
    <x:row r="1254">
      <x:c r="A1254" s="12" t="str">
        <x:v>FU-20260619-01253</x:v>
      </x:c>
      <x:c r="B1254" s="12" t="n">
        <x:v>1383</x:v>
      </x:c>
      <x:c r="C1254" s="14" t="n">
        <x:v>46192</x:v>
      </x:c>
      <x:c r="D1254" s="12" t="str"/>
      <x:c r="E1254" s="12" t="str">
        <x:v>08:45:00</x:v>
      </x:c>
      <x:c r="F1254" s="12" t="str">
        <x:v>All Shift Day</x:v>
      </x:c>
      <x:c r="G1254" s="12" t="str">
        <x:v>LVTH24R034</x:v>
      </x:c>
      <x:c r="H1254" s="12" t="str">
        <x:v>Other</x:v>
      </x:c>
      <x:c r="I1254" s="12" t="str"/>
      <x:c r="J1254" s="16" t="n">
        <x:v>22</x:v>
      </x:c>
      <x:c r="K1254" s="16" t="n">
        <x:v>49788</x:v>
      </x:c>
      <x:c r="L1254" s="16" t="n">
        <x:v>49962</x:v>
      </x:c>
      <x:c r="M1254" s="16" t="n">
        <x:v>174</x:v>
      </x:c>
      <x:c r="N1254" s="16" t="n">
        <x:v>0.12643678160919541</x:v>
      </x:c>
      <x:c r="O1254" s="12" t="str">
        <x:v>FTRL44G005</x:v>
      </x:c>
      <x:c r="P1254" s="12" t="str">
        <x:v>LVTH24R034</x:v>
      </x:c>
      <x:c r="Q1254" s="12" t="str"/>
      <x:c r="R1254" s="12" t="str"/>
      <x:c r="S1254" s="12" t="str"/>
      <x:c r="T1254" s="12" t="str">
        <x:v>ABM</x:v>
      </x:c>
      <x:c r="U1254" s="12" t="str"/>
      <x:c r="V1254" s="12" t="str"/>
      <x:c r="W1254" s="12" t="str"/>
      <x:c r="X1254" s="12" t="str">
        <x:v>LVTH24</x:v>
      </x:c>
      <x:c r="Y1254" s="12" t="str">
        <x:v>FANGKI &amp; ACUNG</x:v>
      </x:c>
      <x:c r="Z1254" s="12" t="str">
        <x:v>PIT</x:v>
      </x:c>
      <x:c r="AA1254" s="32" t="n">
        <x:f>IFERROR(VLOOKUP(G1254,Master_Unit!$A$2:$N$78,7,FALSE),"")</x:f>
        <x:v>0.2</x:v>
      </x:c>
      <x:c r="AB1254" s="32" t="n">
        <x:f>IF(OR(N1254="",AA1254=""),"",N1254-AA1254)</x:f>
        <x:v>-0.0735632183908046</x:v>
      </x:c>
      <x:c r="AC1254" s="20" t="n">
        <x:f>IF(OR(N1254="",AA1254="",AA1254=0),"",AB1254/AA1254)</x:f>
        <x:v>-0.367816091954023</x:v>
      </x:c>
      <x:c r="AD1254" t="str">
        <x:f>IF(AA1254="","NO STANDARD",IF(AC1254&lt;=Config_Status!$B$2,"EFFICIENT",IF(AC1254&lt;=Config_Status!$B$3,"NORMAL",IF(AC1254&lt;=Config_Status!$B$4,"WARNING","OVER CONSUMPTION"))))</x:f>
        <x:v>EFFICIENT</x:v>
      </x:c>
      <x:c r="AE1254" t="str">
        <x:f>IFERROR(VLOOKUP(G1254,Master_Unit!$A$2:$N$78,13,FALSE),"UNIT NOT FOUND")</x:f>
        <x:v>Matched</x:v>
      </x:c>
    </x:row>
    <x:row r="1255">
      <x:c r="A1255" s="12" t="str">
        <x:v>FU-20260619-01254</x:v>
      </x:c>
      <x:c r="B1255" s="12" t="n">
        <x:v>1384</x:v>
      </x:c>
      <x:c r="C1255" s="14" t="n">
        <x:v>46192</x:v>
      </x:c>
      <x:c r="D1255" s="12" t="str"/>
      <x:c r="E1255" s="12" t="str">
        <x:v>08:52:00</x:v>
      </x:c>
      <x:c r="F1255" s="12" t="str">
        <x:v>All Shift Day</x:v>
      </x:c>
      <x:c r="G1255" s="12" t="str">
        <x:v>LVTH24R036</x:v>
      </x:c>
      <x:c r="H1255" s="12" t="str">
        <x:v>Other</x:v>
      </x:c>
      <x:c r="I1255" s="12" t="str"/>
      <x:c r="J1255" s="16" t="n">
        <x:v>20</x:v>
      </x:c>
      <x:c r="K1255" s="16" t="n">
        <x:v>63448</x:v>
      </x:c>
      <x:c r="L1255" s="16" t="n">
        <x:v>63543</x:v>
      </x:c>
      <x:c r="M1255" s="16" t="n">
        <x:v>95</x:v>
      </x:c>
      <x:c r="N1255" s="16" t="n">
        <x:v>0.21052631578947367</x:v>
      </x:c>
      <x:c r="O1255" s="12" t="str">
        <x:v>FTRL44G005</x:v>
      </x:c>
      <x:c r="P1255" s="12" t="str">
        <x:v>LVTH24R036</x:v>
      </x:c>
      <x:c r="Q1255" s="12" t="str"/>
      <x:c r="R1255" s="12" t="str"/>
      <x:c r="S1255" s="12" t="str"/>
      <x:c r="T1255" s="12" t="str">
        <x:v>ABM</x:v>
      </x:c>
      <x:c r="U1255" s="12" t="str"/>
      <x:c r="V1255" s="12" t="str"/>
      <x:c r="W1255" s="12" t="str"/>
      <x:c r="X1255" s="12" t="str">
        <x:v>LVTH24</x:v>
      </x:c>
      <x:c r="Y1255" s="12" t="str">
        <x:v>FANGKI &amp; ACUNG</x:v>
      </x:c>
      <x:c r="Z1255" s="12" t="str">
        <x:v>PIT</x:v>
      </x:c>
      <x:c r="AA1255" s="32" t="n">
        <x:f>IFERROR(VLOOKUP(G1255,Master_Unit!$A$2:$N$78,7,FALSE),"")</x:f>
        <x:v>0.2</x:v>
      </x:c>
      <x:c r="AB1255" s="32" t="n">
        <x:f>IF(OR(N1255="",AA1255=""),"",N1255-AA1255)</x:f>
        <x:v>0.010526315789473661</x:v>
      </x:c>
      <x:c r="AC1255" s="20" t="n">
        <x:f>IF(OR(N1255="",AA1255="",AA1255=0),"",AB1255/AA1255)</x:f>
        <x:v>0.05263157894736831</x:v>
      </x:c>
      <x:c r="AD1255" t="str">
        <x:f>IF(AA1255="","NO STANDARD",IF(AC1255&lt;=Config_Status!$B$2,"EFFICIENT",IF(AC1255&lt;=Config_Status!$B$3,"NORMAL",IF(AC1255&lt;=Config_Status!$B$4,"WARNING","OVER CONSUMPTION"))))</x:f>
        <x:v>NORMAL</x:v>
      </x:c>
      <x:c r="AE1255" t="str">
        <x:f>IFERROR(VLOOKUP(G1255,Master_Unit!$A$2:$N$78,13,FALSE),"UNIT NOT FOUND")</x:f>
        <x:v>Matched</x:v>
      </x:c>
    </x:row>
    <x:row r="1256">
      <x:c r="A1256" s="12" t="str">
        <x:v>FU-20260619-01255</x:v>
      </x:c>
      <x:c r="B1256" s="12" t="n">
        <x:v>1385</x:v>
      </x:c>
      <x:c r="C1256" s="14" t="n">
        <x:v>46192</x:v>
      </x:c>
      <x:c r="D1256" s="12" t="str"/>
      <x:c r="E1256" s="12" t="str">
        <x:v>08:57:00</x:v>
      </x:c>
      <x:c r="F1256" s="12" t="str">
        <x:v>All Shift Day</x:v>
      </x:c>
      <x:c r="G1256" s="12" t="str">
        <x:v>TLPT14G001</x:v>
      </x:c>
      <x:c r="H1256" s="12" t="str">
        <x:v>Other</x:v>
      </x:c>
      <x:c r="I1256" s="12" t="str"/>
      <x:c r="J1256" s="16" t="n">
        <x:v>11</x:v>
      </x:c>
      <x:c r="K1256" s="16" t="n">
        <x:v>17819.3</x:v>
      </x:c>
      <x:c r="L1256" s="16" t="n">
        <x:v>17852.1</x:v>
      </x:c>
      <x:c r="M1256" s="16" t="n">
        <x:v>32.79999999999927</x:v>
      </x:c>
      <x:c r="N1256" s="16" t="n">
        <x:v>0.33536585365854404</x:v>
      </x:c>
      <x:c r="O1256" s="12" t="str">
        <x:v>FTRL44G005</x:v>
      </x:c>
      <x:c r="P1256" s="12" t="str">
        <x:v>TLPT14G001</x:v>
      </x:c>
      <x:c r="Q1256" s="12" t="str"/>
      <x:c r="R1256" s="12" t="str"/>
      <x:c r="S1256" s="12" t="str"/>
      <x:c r="T1256" s="12" t="str">
        <x:v>ABM</x:v>
      </x:c>
      <x:c r="U1256" s="12" t="str"/>
      <x:c r="V1256" s="12" t="str"/>
      <x:c r="W1256" s="12" t="str"/>
      <x:c r="X1256" s="12" t="str">
        <x:v>TLPT14</x:v>
      </x:c>
      <x:c r="Y1256" s="12" t="str">
        <x:v>FANGKI &amp; ACUNG</x:v>
      </x:c>
      <x:c r="Z1256" s="12" t="str">
        <x:v>SUPPORT</x:v>
      </x:c>
      <x:c r="AA1256" s="32" t="str">
        <x:f>IFERROR(VLOOKUP(G1256,Master_Unit!$A$2:$N$78,7,FALSE),"")</x:f>
      </x:c>
      <x:c r="AB1256" s="32" t="str">
        <x:f>IF(OR(N1256="",AA1256=""),"",N1256-AA1256)</x:f>
      </x:c>
      <x:c r="AC1256" s="20" t="str">
        <x:f>IF(OR(N1256="",AA1256="",AA1256=0),"",AB1256/AA1256)</x:f>
      </x:c>
      <x:c r="AD1256" t="str">
        <x:f>IF(AA1256="","NO STANDARD",IF(AC1256&lt;=Config_Status!$B$2,"EFFICIENT",IF(AC1256&lt;=Config_Status!$B$3,"NORMAL",IF(AC1256&lt;=Config_Status!$B$4,"WARNING","OVER CONSUMPTION"))))</x:f>
        <x:v>NO STANDARD</x:v>
      </x:c>
      <x:c r="AE1256" t="str">
        <x:f>IFERROR(VLOOKUP(G1256,Master_Unit!$A$2:$N$78,13,FALSE),"UNIT NOT FOUND")</x:f>
        <x:v>No Standard</x:v>
      </x:c>
    </x:row>
    <x:row r="1257">
      <x:c r="A1257" s="12" t="str">
        <x:v>FU-20260619-01256</x:v>
      </x:c>
      <x:c r="B1257" s="12" t="n">
        <x:v>1386</x:v>
      </x:c>
      <x:c r="C1257" s="14" t="n">
        <x:v>46192</x:v>
      </x:c>
      <x:c r="D1257" s="12" t="str"/>
      <x:c r="E1257" s="12" t="str">
        <x:v>09:01:00</x:v>
      </x:c>
      <x:c r="F1257" s="12" t="str">
        <x:v>All Shift Day</x:v>
      </x:c>
      <x:c r="G1257" s="12" t="str">
        <x:v>LVTH24R035</x:v>
      </x:c>
      <x:c r="H1257" s="12" t="str">
        <x:v>Other</x:v>
      </x:c>
      <x:c r="I1257" s="12" t="str"/>
      <x:c r="J1257" s="16" t="n">
        <x:v>20</x:v>
      </x:c>
      <x:c r="K1257" s="16" t="n">
        <x:v>71299</x:v>
      </x:c>
      <x:c r="L1257" s="16" t="n">
        <x:v>71439</x:v>
      </x:c>
      <x:c r="M1257" s="16" t="n">
        <x:v>140</x:v>
      </x:c>
      <x:c r="N1257" s="16" t="n">
        <x:v>0.14285714285714285</x:v>
      </x:c>
      <x:c r="O1257" s="12" t="str">
        <x:v>FTRL44G005</x:v>
      </x:c>
      <x:c r="P1257" s="12" t="str">
        <x:v>LVTH24R035</x:v>
      </x:c>
      <x:c r="Q1257" s="12" t="str"/>
      <x:c r="R1257" s="12" t="str"/>
      <x:c r="S1257" s="12" t="str"/>
      <x:c r="T1257" s="12" t="str">
        <x:v>ABM</x:v>
      </x:c>
      <x:c r="U1257" s="12" t="str"/>
      <x:c r="V1257" s="12" t="str"/>
      <x:c r="W1257" s="12" t="str"/>
      <x:c r="X1257" s="12" t="str">
        <x:v>LVTH24</x:v>
      </x:c>
      <x:c r="Y1257" s="12" t="str">
        <x:v>FANGKI &amp; ACUNG</x:v>
      </x:c>
      <x:c r="Z1257" s="12" t="str">
        <x:v>SUPPORT</x:v>
      </x:c>
      <x:c r="AA1257" s="32" t="n">
        <x:f>IFERROR(VLOOKUP(G1257,Master_Unit!$A$2:$N$78,7,FALSE),"")</x:f>
        <x:v>0.2</x:v>
      </x:c>
      <x:c r="AB1257" s="32" t="n">
        <x:f>IF(OR(N1257="",AA1257=""),"",N1257-AA1257)</x:f>
        <x:v>-0.05714285714285716</x:v>
      </x:c>
      <x:c r="AC1257" s="20" t="n">
        <x:f>IF(OR(N1257="",AA1257="",AA1257=0),"",AB1257/AA1257)</x:f>
        <x:v>-0.2857142857142858</x:v>
      </x:c>
      <x:c r="AD1257" t="str">
        <x:f>IF(AA1257="","NO STANDARD",IF(AC1257&lt;=Config_Status!$B$2,"EFFICIENT",IF(AC1257&lt;=Config_Status!$B$3,"NORMAL",IF(AC1257&lt;=Config_Status!$B$4,"WARNING","OVER CONSUMPTION"))))</x:f>
        <x:v>EFFICIENT</x:v>
      </x:c>
      <x:c r="AE1257" t="str">
        <x:f>IFERROR(VLOOKUP(G1257,Master_Unit!$A$2:$N$78,13,FALSE),"UNIT NOT FOUND")</x:f>
        <x:v>Matched</x:v>
      </x:c>
    </x:row>
    <x:row r="1258">
      <x:c r="A1258" s="12" t="str">
        <x:v>FU-20260619-01257</x:v>
      </x:c>
      <x:c r="B1258" s="12" t="n">
        <x:v>1387</x:v>
      </x:c>
      <x:c r="C1258" s="14" t="n">
        <x:v>46192</x:v>
      </x:c>
      <x:c r="D1258" s="12" t="str"/>
      <x:c r="E1258" s="12" t="str">
        <x:v>09:06:00</x:v>
      </x:c>
      <x:c r="F1258" s="12" t="str">
        <x:v>All Shift Day</x:v>
      </x:c>
      <x:c r="G1258" s="12" t="str">
        <x:v>MHHN13G005</x:v>
      </x:c>
      <x:c r="H1258" s="12" t="str">
        <x:v>Other</x:v>
      </x:c>
      <x:c r="I1258" s="12" t="str"/>
      <x:c r="J1258" s="16" t="n">
        <x:v>36</x:v>
      </x:c>
      <x:c r="K1258" s="16" t="n">
        <x:v>14066</x:v>
      </x:c>
      <x:c r="L1258" s="16" t="n">
        <x:v>14086.2</x:v>
      </x:c>
      <x:c r="M1258" s="16" t="n">
        <x:v>20.200000000000728</x:v>
      </x:c>
      <x:c r="N1258" s="16" t="n">
        <x:v>1.782178217821718</x:v>
      </x:c>
      <x:c r="O1258" s="12" t="str">
        <x:v>FTRL44G005</x:v>
      </x:c>
      <x:c r="P1258" s="12" t="str">
        <x:v>MHHN13G005</x:v>
      </x:c>
      <x:c r="Q1258" s="12" t="str"/>
      <x:c r="R1258" s="12" t="str"/>
      <x:c r="S1258" s="12" t="str"/>
      <x:c r="T1258" s="12" t="str">
        <x:v>ABM</x:v>
      </x:c>
      <x:c r="U1258" s="12" t="str"/>
      <x:c r="V1258" s="12" t="str"/>
      <x:c r="W1258" s="12" t="str"/>
      <x:c r="X1258" s="12" t="str">
        <x:v>MHHN13</x:v>
      </x:c>
      <x:c r="Y1258" s="12" t="str">
        <x:v>FANGKI &amp; ACUNG</x:v>
      </x:c>
      <x:c r="Z1258" s="12" t="str">
        <x:v>SUPPORT</x:v>
      </x:c>
      <x:c r="AA1258" s="32" t="n">
        <x:f>IFERROR(VLOOKUP(G1258,Master_Unit!$A$2:$N$78,7,FALSE),"")</x:f>
        <x:v>0.5</x:v>
      </x:c>
      <x:c r="AB1258" s="32" t="n">
        <x:f>IF(OR(N1258="",AA1258=""),"",N1258-AA1258)</x:f>
        <x:v>1.282178217821718</x:v>
      </x:c>
      <x:c r="AC1258" s="20" t="n">
        <x:f>IF(OR(N1258="",AA1258="",AA1258=0),"",AB1258/AA1258)</x:f>
        <x:v>2.564356435643436</x:v>
      </x:c>
      <x:c r="AD1258" t="str">
        <x:f>IF(AA1258="","NO STANDARD",IF(AC1258&lt;=Config_Status!$B$2,"EFFICIENT",IF(AC1258&lt;=Config_Status!$B$3,"NORMAL",IF(AC1258&lt;=Config_Status!$B$4,"WARNING","OVER CONSUMPTION"))))</x:f>
        <x:v>OVER CONSUMPTION</x:v>
      </x:c>
      <x:c r="AE1258" t="str">
        <x:f>IFERROR(VLOOKUP(G1258,Master_Unit!$A$2:$N$78,13,FALSE),"UNIT NOT FOUND")</x:f>
        <x:v>Matched</x:v>
      </x:c>
    </x:row>
    <x:row r="1259">
      <x:c r="A1259" s="12" t="str">
        <x:v>FU-20260619-01258</x:v>
      </x:c>
      <x:c r="B1259" s="12" t="n">
        <x:v>1388</x:v>
      </x:c>
      <x:c r="C1259" s="14" t="n">
        <x:v>46192</x:v>
      </x:c>
      <x:c r="D1259" s="12" t="str">
        <x:v>Jum'at</x:v>
      </x:c>
      <x:c r="E1259" s="12" t="str">
        <x:v>11:33:00</x:v>
      </x:c>
      <x:c r="F1259" s="12" t="str">
        <x:v>All Shift Day</x:v>
      </x:c>
      <x:c r="G1259" s="12" t="str">
        <x:v>EXVV21G042</x:v>
      </x:c>
      <x:c r="H1259" s="12" t="str">
        <x:v>Excavator</x:v>
      </x:c>
      <x:c r="I1259" s="12" t="str">
        <x:v>EXCAVATOR VOLVO EC210D</x:v>
      </x:c>
      <x:c r="J1259" s="16" t="n">
        <x:v>156</x:v>
      </x:c>
      <x:c r="K1259" s="16" t="n">
        <x:v>7867.1</x:v>
      </x:c>
      <x:c r="L1259" s="16" t="n">
        <x:v>7880.7</x:v>
      </x:c>
      <x:c r="M1259" s="16" t="n">
        <x:v>13.599999999999454</x:v>
      </x:c>
      <x:c r="N1259" s="16" t="n">
        <x:v>11.470588235294578</x:v>
      </x:c>
      <x:c r="O1259" s="12" t="str">
        <x:v>FTRL44G005</x:v>
      </x:c>
      <x:c r="P1259" s="12" t="str">
        <x:v>EXVV21G042</x:v>
      </x:c>
      <x:c r="Q1259" s="12" t="str"/>
      <x:c r="R1259" s="12" t="str"/>
      <x:c r="S1259" s="12" t="str"/>
      <x:c r="T1259" s="12" t="str">
        <x:v>ABM</x:v>
      </x:c>
      <x:c r="U1259" s="12" t="str"/>
      <x:c r="V1259" s="12" t="str"/>
      <x:c r="W1259" s="12" t="str"/>
      <x:c r="X1259" s="12" t="str">
        <x:v>EXVV21</x:v>
      </x:c>
      <x:c r="Y1259" s="12" t="str">
        <x:v>FANGKI &amp; ACUNG</x:v>
      </x:c>
      <x:c r="Z1259" s="12" t="str">
        <x:v>EFO</x:v>
      </x:c>
      <x:c r="AA1259" s="32" t="n">
        <x:f>IFERROR(VLOOKUP(G1259,Master_Unit!$A$2:$N$78,7,FALSE),"")</x:f>
        <x:v>20</x:v>
      </x:c>
      <x:c r="AB1259" s="32" t="n">
        <x:f>IF(OR(N1259="",AA1259=""),"",N1259-AA1259)</x:f>
        <x:v>-8.529411764705422</x:v>
      </x:c>
      <x:c r="AC1259" s="20" t="n">
        <x:f>IF(OR(N1259="",AA1259="",AA1259=0),"",AB1259/AA1259)</x:f>
        <x:v>-0.4264705882352711</x:v>
      </x:c>
      <x:c r="AD1259" t="str">
        <x:f>IF(AA1259="","NO STANDARD",IF(AC1259&lt;=Config_Status!$B$2,"EFFICIENT",IF(AC1259&lt;=Config_Status!$B$3,"NORMAL",IF(AC1259&lt;=Config_Status!$B$4,"WARNING","OVER CONSUMPTION"))))</x:f>
        <x:v>EFFICIENT</x:v>
      </x:c>
      <x:c r="AE1259" t="str">
        <x:f>IFERROR(VLOOKUP(G1259,Master_Unit!$A$2:$N$78,13,FALSE),"UNIT NOT FOUND")</x:f>
        <x:v>Matched</x:v>
      </x:c>
    </x:row>
    <x:row r="1260">
      <x:c r="A1260" s="12" t="str">
        <x:v>FU-20260619-01259</x:v>
      </x:c>
      <x:c r="B1260" s="12" t="n">
        <x:v>1389</x:v>
      </x:c>
      <x:c r="C1260" s="14" t="n">
        <x:v>46192</x:v>
      </x:c>
      <x:c r="D1260" s="12" t="str">
        <x:v>Jum'at</x:v>
      </x:c>
      <x:c r="E1260" s="12" t="str">
        <x:v>14:09:00</x:v>
      </x:c>
      <x:c r="F1260" s="12" t="str">
        <x:v>All Shift Day</x:v>
      </x:c>
      <x:c r="G1260" s="12" t="str">
        <x:v>EXVV21G035</x:v>
      </x:c>
      <x:c r="H1260" s="12" t="str">
        <x:v>Excavator</x:v>
      </x:c>
      <x:c r="I1260" s="12" t="str">
        <x:v>EXCAVATOR VOLVO EC210D</x:v>
      </x:c>
      <x:c r="J1260" s="16" t="n">
        <x:v>155</x:v>
      </x:c>
      <x:c r="K1260" s="16" t="n">
        <x:v>8515.3</x:v>
      </x:c>
      <x:c r="L1260" s="16" t="n">
        <x:v>8528</x:v>
      </x:c>
      <x:c r="M1260" s="16" t="n">
        <x:v>12.700000000000728</x:v>
      </x:c>
      <x:c r="N1260" s="16" t="n">
        <x:v>12.20472440944812</x:v>
      </x:c>
      <x:c r="O1260" s="12" t="str">
        <x:v>FTRL44G005</x:v>
      </x:c>
      <x:c r="P1260" s="12" t="str">
        <x:v>EXVV21G035</x:v>
      </x:c>
      <x:c r="Q1260" s="12" t="str"/>
      <x:c r="R1260" s="12" t="str"/>
      <x:c r="S1260" s="12" t="str"/>
      <x:c r="T1260" s="12" t="str">
        <x:v>ABM</x:v>
      </x:c>
      <x:c r="U1260" s="12" t="str"/>
      <x:c r="V1260" s="12" t="str"/>
      <x:c r="W1260" s="12" t="str"/>
      <x:c r="X1260" s="12" t="str">
        <x:v>EXVV21</x:v>
      </x:c>
      <x:c r="Y1260" s="12" t="str">
        <x:v>FANGKI &amp; ACUNG</x:v>
      </x:c>
      <x:c r="Z1260" s="12" t="str">
        <x:v>EFO</x:v>
      </x:c>
      <x:c r="AA1260" s="32" t="n">
        <x:f>IFERROR(VLOOKUP(G1260,Master_Unit!$A$2:$N$78,7,FALSE),"")</x:f>
        <x:v>20</x:v>
      </x:c>
      <x:c r="AB1260" s="32" t="n">
        <x:f>IF(OR(N1260="",AA1260=""),"",N1260-AA1260)</x:f>
        <x:v>-7.79527559055188</x:v>
      </x:c>
      <x:c r="AC1260" s="20" t="n">
        <x:f>IF(OR(N1260="",AA1260="",AA1260=0),"",AB1260/AA1260)</x:f>
        <x:v>-0.389763779527594</x:v>
      </x:c>
      <x:c r="AD1260" t="str">
        <x:f>IF(AA1260="","NO STANDARD",IF(AC1260&lt;=Config_Status!$B$2,"EFFICIENT",IF(AC1260&lt;=Config_Status!$B$3,"NORMAL",IF(AC1260&lt;=Config_Status!$B$4,"WARNING","OVER CONSUMPTION"))))</x:f>
        <x:v>EFFICIENT</x:v>
      </x:c>
      <x:c r="AE1260" t="str">
        <x:f>IFERROR(VLOOKUP(G1260,Master_Unit!$A$2:$N$78,13,FALSE),"UNIT NOT FOUND")</x:f>
        <x:v>Matched</x:v>
      </x:c>
    </x:row>
    <x:row r="1261">
      <x:c r="A1261" s="12" t="str">
        <x:v>FU-20260619-01260</x:v>
      </x:c>
      <x:c r="B1261" s="12" t="n">
        <x:v>1390</x:v>
      </x:c>
      <x:c r="C1261" s="14" t="n">
        <x:v>46192</x:v>
      </x:c>
      <x:c r="D1261" s="12" t="str">
        <x:v>Jum'at</x:v>
      </x:c>
      <x:c r="E1261" s="12" t="str">
        <x:v>14:17:00</x:v>
      </x:c>
      <x:c r="F1261" s="12" t="str">
        <x:v>All Shift Day</x:v>
      </x:c>
      <x:c r="G1261" s="12" t="str">
        <x:v>GSHT25G001</x:v>
      </x:c>
      <x:c r="H1261" s="12" t="str">
        <x:v>Genset</x:v>
      </x:c>
      <x:c r="I1261" s="12" t="str">
        <x:v>GENSET HARTECH HT-250-V</x:v>
      </x:c>
      <x:c r="J1261" s="16" t="n">
        <x:v>425</x:v>
      </x:c>
      <x:c r="K1261" s="16" t="n">
        <x:v>1898.56</x:v>
      </x:c>
      <x:c r="L1261" s="16" t="n">
        <x:v>1921.49</x:v>
      </x:c>
      <x:c r="M1261" s="16" t="n">
        <x:v>22.930000000000064</x:v>
      </x:c>
      <x:c r="N1261" s="16" t="n">
        <x:v>18.534670737025678</x:v>
      </x:c>
      <x:c r="O1261" s="12" t="str">
        <x:v>FTRL44G005</x:v>
      </x:c>
      <x:c r="P1261" s="12" t="str">
        <x:v>GSHT25G001</x:v>
      </x:c>
      <x:c r="Q1261" s="12" t="str"/>
      <x:c r="R1261" s="12" t="str"/>
      <x:c r="S1261" s="12" t="str"/>
      <x:c r="T1261" s="12" t="str">
        <x:v>ABM</x:v>
      </x:c>
      <x:c r="U1261" s="12" t="str"/>
      <x:c r="V1261" s="12" t="str"/>
      <x:c r="W1261" s="12" t="str"/>
      <x:c r="X1261" s="12" t="str">
        <x:v>GSHT25</x:v>
      </x:c>
      <x:c r="Y1261" s="12" t="str">
        <x:v>FANGKI &amp; ACUNG</x:v>
      </x:c>
      <x:c r="Z1261" s="12" t="str">
        <x:v>EFO</x:v>
      </x:c>
      <x:c r="AA1261" s="32" t="n">
        <x:f>IFERROR(VLOOKUP(G1261,Master_Unit!$A$2:$N$78,7,FALSE),"")</x:f>
        <x:v>15</x:v>
      </x:c>
      <x:c r="AB1261" s="32" t="n">
        <x:f>IF(OR(N1261="",AA1261=""),"",N1261-AA1261)</x:f>
        <x:v>3.534670737025678</x:v>
      </x:c>
      <x:c r="AC1261" s="20" t="n">
        <x:f>IF(OR(N1261="",AA1261="",AA1261=0),"",AB1261/AA1261)</x:f>
        <x:v>0.23564471580171187</x:v>
      </x:c>
      <x:c r="AD1261" t="str">
        <x:f>IF(AA1261="","NO STANDARD",IF(AC1261&lt;=Config_Status!$B$2,"EFFICIENT",IF(AC1261&lt;=Config_Status!$B$3,"NORMAL",IF(AC1261&lt;=Config_Status!$B$4,"WARNING","OVER CONSUMPTION"))))</x:f>
        <x:v>OVER CONSUMPTION</x:v>
      </x:c>
      <x:c r="AE1261" t="str">
        <x:f>IFERROR(VLOOKUP(G1261,Master_Unit!$A$2:$N$78,13,FALSE),"UNIT NOT FOUND")</x:f>
        <x:v>Matched</x:v>
      </x:c>
    </x:row>
    <x:row r="1262">
      <x:c r="A1262" s="12" t="str">
        <x:v>FU-20260619-01261</x:v>
      </x:c>
      <x:c r="B1262" s="12" t="n">
        <x:v>1391</x:v>
      </x:c>
      <x:c r="C1262" s="14" t="n">
        <x:v>46192</x:v>
      </x:c>
      <x:c r="D1262" s="12" t="str">
        <x:v>Jum'at</x:v>
      </x:c>
      <x:c r="E1262" s="12" t="str">
        <x:v>18:09:00</x:v>
      </x:c>
      <x:c r="F1262" s="12" t="str">
        <x:v>All Shift Night</x:v>
      </x:c>
      <x:c r="G1262" s="12" t="str">
        <x:v>EXVV35G007</x:v>
      </x:c>
      <x:c r="H1262" s="12" t="str">
        <x:v>Excavator</x:v>
      </x:c>
      <x:c r="I1262" s="12" t="str">
        <x:v>EXCAVATOR VOLVO EC350D</x:v>
      </x:c>
      <x:c r="J1262" s="16" t="n">
        <x:v>229</x:v>
      </x:c>
      <x:c r="K1262" s="16" t="n">
        <x:v>677.4</x:v>
      </x:c>
      <x:c r="L1262" s="16" t="n">
        <x:v>684.6</x:v>
      </x:c>
      <x:c r="M1262" s="16" t="n">
        <x:v>7.2000000000000455</x:v>
      </x:c>
      <x:c r="N1262" s="16" t="n">
        <x:v>31.805555555555355</x:v>
      </x:c>
      <x:c r="O1262" s="12" t="str">
        <x:v>FTRL44G005</x:v>
      </x:c>
      <x:c r="P1262" s="12" t="str">
        <x:v>EXVV35G007</x:v>
      </x:c>
      <x:c r="Q1262" s="12" t="str"/>
      <x:c r="R1262" s="12" t="str"/>
      <x:c r="S1262" s="12" t="str"/>
      <x:c r="T1262" s="12" t="str">
        <x:v>ABM</x:v>
      </x:c>
      <x:c r="U1262" s="12" t="str"/>
      <x:c r="V1262" s="12" t="str"/>
      <x:c r="W1262" s="12" t="str"/>
      <x:c r="X1262" s="12" t="str">
        <x:v>EXVV35</x:v>
      </x:c>
      <x:c r="Y1262" s="12" t="str">
        <x:v>RAFIF &amp; YOGI</x:v>
      </x:c>
      <x:c r="Z1262" s="12" t="str">
        <x:v>COAL HAULING</x:v>
      </x:c>
      <x:c r="AA1262" s="32" t="n">
        <x:f>IFERROR(VLOOKUP(G1262,Master_Unit!$A$2:$N$78,7,FALSE),"")</x:f>
        <x:v>25</x:v>
      </x:c>
      <x:c r="AB1262" s="32" t="n">
        <x:f>IF(OR(N1262="",AA1262=""),"",N1262-AA1262)</x:f>
        <x:v>6.805555555555355</x:v>
      </x:c>
      <x:c r="AC1262" s="20" t="n">
        <x:f>IF(OR(N1262="",AA1262="",AA1262=0),"",AB1262/AA1262)</x:f>
        <x:v>0.2722222222222142</x:v>
      </x:c>
      <x:c r="AD1262" t="str">
        <x:f>IF(AA1262="","NO STANDARD",IF(AC1262&lt;=Config_Status!$B$2,"EFFICIENT",IF(AC1262&lt;=Config_Status!$B$3,"NORMAL",IF(AC1262&lt;=Config_Status!$B$4,"WARNING","OVER CONSUMPTION"))))</x:f>
        <x:v>OVER CONSUMPTION</x:v>
      </x:c>
      <x:c r="AE1262" t="str">
        <x:f>IFERROR(VLOOKUP(G1262,Master_Unit!$A$2:$N$78,13,FALSE),"UNIT NOT FOUND")</x:f>
        <x:v>Matched</x:v>
      </x:c>
    </x:row>
    <x:row r="1263">
      <x:c r="A1263" s="12" t="str">
        <x:v>FU-20260619-01262</x:v>
      </x:c>
      <x:c r="B1263" s="12" t="n">
        <x:v>1392</x:v>
      </x:c>
      <x:c r="C1263" s="14" t="n">
        <x:v>46192</x:v>
      </x:c>
      <x:c r="D1263" s="12" t="str">
        <x:v>Jum'at</x:v>
      </x:c>
      <x:c r="E1263" s="12" t="str">
        <x:v>18:12:00</x:v>
      </x:c>
      <x:c r="F1263" s="12" t="str">
        <x:v>All Shift Night</x:v>
      </x:c>
      <x:c r="G1263" s="12" t="str">
        <x:v>BDKM85G039</x:v>
      </x:c>
      <x:c r="H1263" s="12" t="str">
        <x:v>Dozer</x:v>
      </x:c>
      <x:c r="I1263" s="12" t="str">
        <x:v>BULDOZER KOMATSU D85ESS-2</x:v>
      </x:c>
      <x:c r="J1263" s="16" t="n">
        <x:v>114</x:v>
      </x:c>
      <x:c r="K1263" s="16" t="n">
        <x:v>7167.9</x:v>
      </x:c>
      <x:c r="L1263" s="16" t="n">
        <x:v>7174.5</x:v>
      </x:c>
      <x:c r="M1263" s="16" t="n">
        <x:v>6.600000000000364</x:v>
      </x:c>
      <x:c r="N1263" s="16" t="n">
        <x:v>17.27272727272632</x:v>
      </x:c>
      <x:c r="O1263" s="12" t="str">
        <x:v>FTRL44G005</x:v>
      </x:c>
      <x:c r="P1263" s="12" t="str">
        <x:v>BDKM85G039</x:v>
      </x:c>
      <x:c r="Q1263" s="12" t="str"/>
      <x:c r="R1263" s="12" t="str"/>
      <x:c r="S1263" s="12" t="str"/>
      <x:c r="T1263" s="12" t="str">
        <x:v>ABM</x:v>
      </x:c>
      <x:c r="U1263" s="12" t="str"/>
      <x:c r="V1263" s="12" t="str"/>
      <x:c r="W1263" s="12" t="str"/>
      <x:c r="X1263" s="12" t="str">
        <x:v>BDKM85</x:v>
      </x:c>
      <x:c r="Y1263" s="12" t="str">
        <x:v>RAFIF &amp; YOGI</x:v>
      </x:c>
      <x:c r="Z1263" s="12" t="str">
        <x:v>COAL HAULING</x:v>
      </x:c>
      <x:c r="AA1263" s="32" t="n">
        <x:f>IFERROR(VLOOKUP(G1263,Master_Unit!$A$2:$N$78,7,FALSE),"")</x:f>
        <x:v>30</x:v>
      </x:c>
      <x:c r="AB1263" s="32" t="n">
        <x:f>IF(OR(N1263="",AA1263=""),"",N1263-AA1263)</x:f>
        <x:v>-12.727272727273679</x:v>
      </x:c>
      <x:c r="AC1263" s="20" t="n">
        <x:f>IF(OR(N1263="",AA1263="",AA1263=0),"",AB1263/AA1263)</x:f>
        <x:v>-0.42424242424245595</x:v>
      </x:c>
      <x:c r="AD1263" t="str">
        <x:f>IF(AA1263="","NO STANDARD",IF(AC1263&lt;=Config_Status!$B$2,"EFFICIENT",IF(AC1263&lt;=Config_Status!$B$3,"NORMAL",IF(AC1263&lt;=Config_Status!$B$4,"WARNING","OVER CONSUMPTION"))))</x:f>
        <x:v>EFFICIENT</x:v>
      </x:c>
      <x:c r="AE1263" t="str">
        <x:f>IFERROR(VLOOKUP(G1263,Master_Unit!$A$2:$N$78,13,FALSE),"UNIT NOT FOUND")</x:f>
        <x:v>Matched</x:v>
      </x:c>
    </x:row>
    <x:row r="1264">
      <x:c r="A1264" s="12" t="str">
        <x:v>FU-20260619-01263</x:v>
      </x:c>
      <x:c r="B1264" s="12" t="n">
        <x:v>1393</x:v>
      </x:c>
      <x:c r="C1264" s="14" t="n">
        <x:v>46192</x:v>
      </x:c>
      <x:c r="D1264" s="12" t="str">
        <x:v>Jum'at</x:v>
      </x:c>
      <x:c r="E1264" s="12" t="str">
        <x:v>18:14:00</x:v>
      </x:c>
      <x:c r="F1264" s="12" t="str">
        <x:v>All Shift Night</x:v>
      </x:c>
      <x:c r="G1264" s="12" t="str">
        <x:v>EXVV21G043</x:v>
      </x:c>
      <x:c r="H1264" s="12" t="str">
        <x:v>Excavator</x:v>
      </x:c>
      <x:c r="I1264" s="12" t="str">
        <x:v>EXCAVATOR VOLVO EC210D</x:v>
      </x:c>
      <x:c r="J1264" s="16" t="n">
        <x:v>137</x:v>
      </x:c>
      <x:c r="K1264" s="16" t="n">
        <x:v>5415.3</x:v>
      </x:c>
      <x:c r="L1264" s="16" t="n">
        <x:v>5424.4</x:v>
      </x:c>
      <x:c r="M1264" s="16" t="n">
        <x:v>9.099999999999454</x:v>
      </x:c>
      <x:c r="N1264" s="16" t="n">
        <x:v>15.054945054945957</x:v>
      </x:c>
      <x:c r="O1264" s="12" t="str">
        <x:v>FTRL44G005</x:v>
      </x:c>
      <x:c r="P1264" s="12" t="str">
        <x:v>EXVV21G043</x:v>
      </x:c>
      <x:c r="Q1264" s="12" t="str"/>
      <x:c r="R1264" s="12" t="str"/>
      <x:c r="S1264" s="12" t="str"/>
      <x:c r="T1264" s="12" t="str">
        <x:v>ABM</x:v>
      </x:c>
      <x:c r="U1264" s="12" t="str"/>
      <x:c r="V1264" s="12" t="str"/>
      <x:c r="W1264" s="12" t="str"/>
      <x:c r="X1264" s="12" t="str">
        <x:v>EXVV21</x:v>
      </x:c>
      <x:c r="Y1264" s="12" t="str">
        <x:v>RAFIF &amp; YOGI</x:v>
      </x:c>
      <x:c r="Z1264" s="12" t="str">
        <x:v>SUPPORT</x:v>
      </x:c>
      <x:c r="AA1264" s="32" t="n">
        <x:f>IFERROR(VLOOKUP(G1264,Master_Unit!$A$2:$N$78,7,FALSE),"")</x:f>
        <x:v>20</x:v>
      </x:c>
      <x:c r="AB1264" s="32" t="n">
        <x:f>IF(OR(N1264="",AA1264=""),"",N1264-AA1264)</x:f>
        <x:v>-4.945054945054043</x:v>
      </x:c>
      <x:c r="AC1264" s="20" t="n">
        <x:f>IF(OR(N1264="",AA1264="",AA1264=0),"",AB1264/AA1264)</x:f>
        <x:v>-0.24725274725270213</x:v>
      </x:c>
      <x:c r="AD1264" t="str">
        <x:f>IF(AA1264="","NO STANDARD",IF(AC1264&lt;=Config_Status!$B$2,"EFFICIENT",IF(AC1264&lt;=Config_Status!$B$3,"NORMAL",IF(AC1264&lt;=Config_Status!$B$4,"WARNING","OVER CONSUMPTION"))))</x:f>
        <x:v>EFFICIENT</x:v>
      </x:c>
      <x:c r="AE1264" t="str">
        <x:f>IFERROR(VLOOKUP(G1264,Master_Unit!$A$2:$N$78,13,FALSE),"UNIT NOT FOUND")</x:f>
        <x:v>Matched</x:v>
      </x:c>
    </x:row>
    <x:row r="1265">
      <x:c r="A1265" s="12" t="str">
        <x:v>FU-20260619-01264</x:v>
      </x:c>
      <x:c r="B1265" s="12" t="n">
        <x:v>1394</x:v>
      </x:c>
      <x:c r="C1265" s="14" t="n">
        <x:v>46192</x:v>
      </x:c>
      <x:c r="D1265" s="12" t="str">
        <x:v>Jum'at</x:v>
      </x:c>
      <x:c r="E1265" s="12" t="str">
        <x:v>18:21:00</x:v>
      </x:c>
      <x:c r="F1265" s="12" t="str">
        <x:v>All Shift Night</x:v>
      </x:c>
      <x:c r="G1265" s="12" t="str">
        <x:v>EXVV35G005</x:v>
      </x:c>
      <x:c r="H1265" s="12" t="str">
        <x:v>Excavator</x:v>
      </x:c>
      <x:c r="I1265" s="12" t="str">
        <x:v>EXCAVATOR VOLVO EC350D</x:v>
      </x:c>
      <x:c r="J1265" s="16" t="n">
        <x:v>212</x:v>
      </x:c>
      <x:c r="K1265" s="16" t="n">
        <x:v>5305</x:v>
      </x:c>
      <x:c r="L1265" s="16" t="n">
        <x:v>5312</x:v>
      </x:c>
      <x:c r="M1265" s="16" t="n">
        <x:v>7</x:v>
      </x:c>
      <x:c r="N1265" s="16" t="n">
        <x:v>30.285714285714285</x:v>
      </x:c>
      <x:c r="O1265" s="12" t="str">
        <x:v>FTRL44G005</x:v>
      </x:c>
      <x:c r="P1265" s="12" t="str">
        <x:v>EXVV35G005</x:v>
      </x:c>
      <x:c r="Q1265" s="12" t="str"/>
      <x:c r="R1265" s="12" t="str"/>
      <x:c r="S1265" s="12" t="str"/>
      <x:c r="T1265" s="12" t="str">
        <x:v>ABM</x:v>
      </x:c>
      <x:c r="U1265" s="12" t="str"/>
      <x:c r="V1265" s="12" t="str"/>
      <x:c r="W1265" s="12" t="str"/>
      <x:c r="X1265" s="12" t="str">
        <x:v>EXVV35</x:v>
      </x:c>
      <x:c r="Y1265" s="12" t="str">
        <x:v>RAFIF &amp; YOGI</x:v>
      </x:c>
      <x:c r="Z1265" s="12" t="str">
        <x:v>COAL HAULING</x:v>
      </x:c>
      <x:c r="AA1265" s="32" t="n">
        <x:f>IFERROR(VLOOKUP(G1265,Master_Unit!$A$2:$N$78,7,FALSE),"")</x:f>
        <x:v>25</x:v>
      </x:c>
      <x:c r="AB1265" s="32" t="n">
        <x:f>IF(OR(N1265="",AA1265=""),"",N1265-AA1265)</x:f>
        <x:v>5.285714285714285</x:v>
      </x:c>
      <x:c r="AC1265" s="20" t="n">
        <x:f>IF(OR(N1265="",AA1265="",AA1265=0),"",AB1265/AA1265)</x:f>
        <x:v>0.21142857142857138</x:v>
      </x:c>
      <x:c r="AD1265" t="str">
        <x:f>IF(AA1265="","NO STANDARD",IF(AC1265&lt;=Config_Status!$B$2,"EFFICIENT",IF(AC1265&lt;=Config_Status!$B$3,"NORMAL",IF(AC1265&lt;=Config_Status!$B$4,"WARNING","OVER CONSUMPTION"))))</x:f>
        <x:v>OVER CONSUMPTION</x:v>
      </x:c>
      <x:c r="AE1265" t="str">
        <x:f>IFERROR(VLOOKUP(G1265,Master_Unit!$A$2:$N$78,13,FALSE),"UNIT NOT FOUND")</x:f>
        <x:v>Matched</x:v>
      </x:c>
    </x:row>
    <x:row r="1266">
      <x:c r="A1266" s="12" t="str">
        <x:v>FU-20260619-01265</x:v>
      </x:c>
      <x:c r="B1266" s="12" t="n">
        <x:v>1395</x:v>
      </x:c>
      <x:c r="C1266" s="14" t="n">
        <x:v>46192</x:v>
      </x:c>
      <x:c r="D1266" s="12" t="str">
        <x:v>Jum'at</x:v>
      </x:c>
      <x:c r="E1266" s="12" t="str">
        <x:v>18:24:00</x:v>
      </x:c>
      <x:c r="F1266" s="12" t="str">
        <x:v>All Shift Night</x:v>
      </x:c>
      <x:c r="G1266" s="12" t="str">
        <x:v>EXVV21G040</x:v>
      </x:c>
      <x:c r="H1266" s="12" t="str">
        <x:v>Excavator</x:v>
      </x:c>
      <x:c r="I1266" s="12" t="str">
        <x:v>EXCAVATOR VOLVO EC210D</x:v>
      </x:c>
      <x:c r="J1266" s="16" t="n">
        <x:v>149</x:v>
      </x:c>
      <x:c r="K1266" s="16" t="n">
        <x:v>6705.6</x:v>
      </x:c>
      <x:c r="L1266" s="16" t="n">
        <x:v>6713.4</x:v>
      </x:c>
      <x:c r="M1266" s="16" t="n">
        <x:v>7.799999999999272</x:v>
      </x:c>
      <x:c r="N1266" s="16" t="n">
        <x:v>19.102564102565886</x:v>
      </x:c>
      <x:c r="O1266" s="12" t="str">
        <x:v>FTRL44G005</x:v>
      </x:c>
      <x:c r="P1266" s="12" t="str">
        <x:v>EXVV21G040</x:v>
      </x:c>
      <x:c r="Q1266" s="12" t="str"/>
      <x:c r="R1266" s="12" t="str"/>
      <x:c r="S1266" s="12" t="str"/>
      <x:c r="T1266" s="12" t="str">
        <x:v>ABM</x:v>
      </x:c>
      <x:c r="U1266" s="12" t="str"/>
      <x:c r="V1266" s="12" t="str"/>
      <x:c r="W1266" s="12" t="str"/>
      <x:c r="X1266" s="12" t="str">
        <x:v>EXVV21</x:v>
      </x:c>
      <x:c r="Y1266" s="12" t="str">
        <x:v>RAFIF &amp; YOGI</x:v>
      </x:c>
      <x:c r="Z1266" s="12" t="str">
        <x:v>ETO</x:v>
      </x:c>
      <x:c r="AA1266" s="32" t="n">
        <x:f>IFERROR(VLOOKUP(G1266,Master_Unit!$A$2:$N$78,7,FALSE),"")</x:f>
        <x:v>20</x:v>
      </x:c>
      <x:c r="AB1266" s="32" t="n">
        <x:f>IF(OR(N1266="",AA1266=""),"",N1266-AA1266)</x:f>
        <x:v>-0.8974358974341143</x:v>
      </x:c>
      <x:c r="AC1266" s="20" t="n">
        <x:f>IF(OR(N1266="",AA1266="",AA1266=0),"",AB1266/AA1266)</x:f>
        <x:v>-0.044871794871705714</x:v>
      </x:c>
      <x:c r="AD1266" t="str">
        <x:f>IF(AA1266="","NO STANDARD",IF(AC1266&lt;=Config_Status!$B$2,"EFFICIENT",IF(AC1266&lt;=Config_Status!$B$3,"NORMAL",IF(AC1266&lt;=Config_Status!$B$4,"WARNING","OVER CONSUMPTION"))))</x:f>
        <x:v>NORMAL</x:v>
      </x:c>
      <x:c r="AE1266" t="str">
        <x:f>IFERROR(VLOOKUP(G1266,Master_Unit!$A$2:$N$78,13,FALSE),"UNIT NOT FOUND")</x:f>
        <x:v>Matched</x:v>
      </x:c>
    </x:row>
    <x:row r="1267">
      <x:c r="A1267" s="12" t="str">
        <x:v>FU-20260619-01266</x:v>
      </x:c>
      <x:c r="B1267" s="12" t="n">
        <x:v>1396</x:v>
      </x:c>
      <x:c r="C1267" s="14" t="n">
        <x:v>46192</x:v>
      </x:c>
      <x:c r="D1267" s="12" t="str">
        <x:v>Jum'at</x:v>
      </x:c>
      <x:c r="E1267" s="12" t="str">
        <x:v>18:27:00</x:v>
      </x:c>
      <x:c r="F1267" s="12" t="str">
        <x:v>All Shift Night</x:v>
      </x:c>
      <x:c r="G1267" s="12" t="str">
        <x:v>EXVV21G037</x:v>
      </x:c>
      <x:c r="H1267" s="12" t="str">
        <x:v>Excavator</x:v>
      </x:c>
      <x:c r="I1267" s="12" t="str">
        <x:v>EXCAVATOR VOLVO EC210D</x:v>
      </x:c>
      <x:c r="J1267" s="16" t="n">
        <x:v>137</x:v>
      </x:c>
      <x:c r="K1267" s="16" t="n">
        <x:v>6983.4</x:v>
      </x:c>
      <x:c r="L1267" s="16" t="n">
        <x:v>6990.7</x:v>
      </x:c>
      <x:c r="M1267" s="16" t="n">
        <x:v>7.300000000000182</x:v>
      </x:c>
      <x:c r="N1267" s="16" t="n">
        <x:v>18.767123287670767</x:v>
      </x:c>
      <x:c r="O1267" s="12" t="str">
        <x:v>FTRL44G005</x:v>
      </x:c>
      <x:c r="P1267" s="12" t="str">
        <x:v>EXVV21G037</x:v>
      </x:c>
      <x:c r="Q1267" s="12" t="str"/>
      <x:c r="R1267" s="12" t="str"/>
      <x:c r="S1267" s="12" t="str"/>
      <x:c r="T1267" s="12" t="str">
        <x:v>ABM</x:v>
      </x:c>
      <x:c r="U1267" s="12" t="str"/>
      <x:c r="V1267" s="12" t="str"/>
      <x:c r="W1267" s="12" t="str"/>
      <x:c r="X1267" s="12" t="str">
        <x:v>EXVV21</x:v>
      </x:c>
      <x:c r="Y1267" s="12" t="str">
        <x:v>RAFIF &amp; YOGI</x:v>
      </x:c>
      <x:c r="Z1267" s="12" t="str">
        <x:v>SUPPORT</x:v>
      </x:c>
      <x:c r="AA1267" s="32" t="n">
        <x:f>IFERROR(VLOOKUP(G1267,Master_Unit!$A$2:$N$78,7,FALSE),"")</x:f>
        <x:v>20</x:v>
      </x:c>
      <x:c r="AB1267" s="32" t="n">
        <x:f>IF(OR(N1267="",AA1267=""),"",N1267-AA1267)</x:f>
        <x:v>-1.232876712329233</x:v>
      </x:c>
      <x:c r="AC1267" s="20" t="n">
        <x:f>IF(OR(N1267="",AA1267="",AA1267=0),"",AB1267/AA1267)</x:f>
        <x:v>-0.061643835616461654</x:v>
      </x:c>
      <x:c r="AD1267" t="str">
        <x:f>IF(AA1267="","NO STANDARD",IF(AC1267&lt;=Config_Status!$B$2,"EFFICIENT",IF(AC1267&lt;=Config_Status!$B$3,"NORMAL",IF(AC1267&lt;=Config_Status!$B$4,"WARNING","OVER CONSUMPTION"))))</x:f>
        <x:v>NORMAL</x:v>
      </x:c>
      <x:c r="AE1267" t="str">
        <x:f>IFERROR(VLOOKUP(G1267,Master_Unit!$A$2:$N$78,13,FALSE),"UNIT NOT FOUND")</x:f>
        <x:v>Matched</x:v>
      </x:c>
    </x:row>
    <x:row r="1268">
      <x:c r="A1268" s="12" t="str">
        <x:v>FU-20260619-01267</x:v>
      </x:c>
      <x:c r="B1268" s="12" t="n">
        <x:v>1397</x:v>
      </x:c>
      <x:c r="C1268" s="14" t="n">
        <x:v>46192</x:v>
      </x:c>
      <x:c r="D1268" s="12" t="str">
        <x:v>Jum'at</x:v>
      </x:c>
      <x:c r="E1268" s="12" t="str">
        <x:v>18:33:00</x:v>
      </x:c>
      <x:c r="F1268" s="12" t="str">
        <x:v>All Shift Night</x:v>
      </x:c>
      <x:c r="G1268" s="12" t="str">
        <x:v>EXVV21G036</x:v>
      </x:c>
      <x:c r="H1268" s="12" t="str">
        <x:v>Excavator</x:v>
      </x:c>
      <x:c r="I1268" s="12" t="str">
        <x:v>EXCAVATOR VOLVO EC210D</x:v>
      </x:c>
      <x:c r="J1268" s="16" t="n">
        <x:v>139</x:v>
      </x:c>
      <x:c r="K1268" s="16" t="n">
        <x:v>7693.4</x:v>
      </x:c>
      <x:c r="L1268" s="16" t="n">
        <x:v>7701.1</x:v>
      </x:c>
      <x:c r="M1268" s="16" t="n">
        <x:v>7.700000000000728</x:v>
      </x:c>
      <x:c r="N1268" s="16" t="n">
        <x:v>18.051948051946347</x:v>
      </x:c>
      <x:c r="O1268" s="12" t="str">
        <x:v>FTRL44G005</x:v>
      </x:c>
      <x:c r="P1268" s="12" t="str">
        <x:v>EXVV21G036</x:v>
      </x:c>
      <x:c r="Q1268" s="12" t="str"/>
      <x:c r="R1268" s="12" t="str"/>
      <x:c r="S1268" s="12" t="str"/>
      <x:c r="T1268" s="12" t="str">
        <x:v>ABM</x:v>
      </x:c>
      <x:c r="U1268" s="12" t="str"/>
      <x:c r="V1268" s="12" t="str"/>
      <x:c r="W1268" s="12" t="str"/>
      <x:c r="X1268" s="12" t="str">
        <x:v>EXVV21</x:v>
      </x:c>
      <x:c r="Y1268" s="12" t="str">
        <x:v>RAFIF &amp; YOGI</x:v>
      </x:c>
      <x:c r="Z1268" s="12" t="str">
        <x:v>PIT</x:v>
      </x:c>
      <x:c r="AA1268" s="32" t="n">
        <x:f>IFERROR(VLOOKUP(G1268,Master_Unit!$A$2:$N$78,7,FALSE),"")</x:f>
        <x:v>20</x:v>
      </x:c>
      <x:c r="AB1268" s="32" t="n">
        <x:f>IF(OR(N1268="",AA1268=""),"",N1268-AA1268)</x:f>
        <x:v>-1.948051948053653</x:v>
      </x:c>
      <x:c r="AC1268" s="20" t="n">
        <x:f>IF(OR(N1268="",AA1268="",AA1268=0),"",AB1268/AA1268)</x:f>
        <x:v>-0.09740259740268264</x:v>
      </x:c>
      <x:c r="AD1268" t="str">
        <x:f>IF(AA1268="","NO STANDARD",IF(AC1268&lt;=Config_Status!$B$2,"EFFICIENT",IF(AC1268&lt;=Config_Status!$B$3,"NORMAL",IF(AC1268&lt;=Config_Status!$B$4,"WARNING","OVER CONSUMPTION"))))</x:f>
        <x:v>NORMAL</x:v>
      </x:c>
      <x:c r="AE1268" t="str">
        <x:f>IFERROR(VLOOKUP(G1268,Master_Unit!$A$2:$N$78,13,FALSE),"UNIT NOT FOUND")</x:f>
        <x:v>Matched</x:v>
      </x:c>
    </x:row>
    <x:row r="1269">
      <x:c r="A1269" s="12" t="str">
        <x:v>FU-20260619-01268</x:v>
      </x:c>
      <x:c r="B1269" s="12" t="n">
        <x:v>1398</x:v>
      </x:c>
      <x:c r="C1269" s="14" t="n">
        <x:v>46192</x:v>
      </x:c>
      <x:c r="D1269" s="12" t="str">
        <x:v>Jum'at</x:v>
      </x:c>
      <x:c r="E1269" s="12" t="str">
        <x:v>18:41:00</x:v>
      </x:c>
      <x:c r="F1269" s="12" t="str">
        <x:v>All Shift Night</x:v>
      </x:c>
      <x:c r="G1269" s="12" t="str">
        <x:v>EXVV21G039</x:v>
      </x:c>
      <x:c r="H1269" s="12" t="str">
        <x:v>Excavator</x:v>
      </x:c>
      <x:c r="I1269" s="12" t="str">
        <x:v>EXCAVATOR VOLVO EC210D</x:v>
      </x:c>
      <x:c r="J1269" s="16" t="n">
        <x:v>151</x:v>
      </x:c>
      <x:c r="K1269" s="16" t="n">
        <x:v>6418.3</x:v>
      </x:c>
      <x:c r="L1269" s="16" t="n">
        <x:v>6426.6</x:v>
      </x:c>
      <x:c r="M1269" s="16" t="n">
        <x:v>8.300000000000182</x:v>
      </x:c>
      <x:c r="N1269" s="16" t="n">
        <x:v>18.19277108433695</x:v>
      </x:c>
      <x:c r="O1269" s="12" t="str">
        <x:v>FTRL44G005</x:v>
      </x:c>
      <x:c r="P1269" s="12" t="str">
        <x:v>EXVV21G039</x:v>
      </x:c>
      <x:c r="Q1269" s="12" t="str"/>
      <x:c r="R1269" s="12" t="str"/>
      <x:c r="S1269" s="12" t="str"/>
      <x:c r="T1269" s="12" t="str">
        <x:v>ABM</x:v>
      </x:c>
      <x:c r="U1269" s="12" t="str"/>
      <x:c r="V1269" s="12" t="str"/>
      <x:c r="W1269" s="12" t="str"/>
      <x:c r="X1269" s="12" t="str">
        <x:v>EXVV21</x:v>
      </x:c>
      <x:c r="Y1269" s="12" t="str">
        <x:v>RAFIF &amp; YOGI</x:v>
      </x:c>
      <x:c r="Z1269" s="12" t="str">
        <x:v>ETO</x:v>
      </x:c>
      <x:c r="AA1269" s="32" t="n">
        <x:f>IFERROR(VLOOKUP(G1269,Master_Unit!$A$2:$N$78,7,FALSE),"")</x:f>
        <x:v>20</x:v>
      </x:c>
      <x:c r="AB1269" s="32" t="n">
        <x:f>IF(OR(N1269="",AA1269=""),"",N1269-AA1269)</x:f>
        <x:v>-1.8072289156630497</x:v>
      </x:c>
      <x:c r="AC1269" s="20" t="n">
        <x:f>IF(OR(N1269="",AA1269="",AA1269=0),"",AB1269/AA1269)</x:f>
        <x:v>-0.09036144578315249</x:v>
      </x:c>
      <x:c r="AD1269" t="str">
        <x:f>IF(AA1269="","NO STANDARD",IF(AC1269&lt;=Config_Status!$B$2,"EFFICIENT",IF(AC1269&lt;=Config_Status!$B$3,"NORMAL",IF(AC1269&lt;=Config_Status!$B$4,"WARNING","OVER CONSUMPTION"))))</x:f>
        <x:v>NORMAL</x:v>
      </x:c>
      <x:c r="AE1269" t="str">
        <x:f>IFERROR(VLOOKUP(G1269,Master_Unit!$A$2:$N$78,13,FALSE),"UNIT NOT FOUND")</x:f>
        <x:v>Matched</x:v>
      </x:c>
    </x:row>
    <x:row r="1270">
      <x:c r="A1270" s="12" t="str">
        <x:v>FU-20260619-01269</x:v>
      </x:c>
      <x:c r="B1270" s="12" t="n">
        <x:v>1399</x:v>
      </x:c>
      <x:c r="C1270" s="14" t="n">
        <x:v>46192</x:v>
      </x:c>
      <x:c r="D1270" s="12" t="str">
        <x:v>Jum'at</x:v>
      </x:c>
      <x:c r="E1270" s="12" t="str">
        <x:v>18:46:00</x:v>
      </x:c>
      <x:c r="F1270" s="12" t="str">
        <x:v>All Shift Night</x:v>
      </x:c>
      <x:c r="G1270" s="12" t="str">
        <x:v>EXVV21G042</x:v>
      </x:c>
      <x:c r="H1270" s="12" t="str">
        <x:v>Excavator</x:v>
      </x:c>
      <x:c r="I1270" s="12" t="str">
        <x:v>EXCAVATOR VOLVO EC210D</x:v>
      </x:c>
      <x:c r="J1270" s="16" t="n">
        <x:v>133</x:v>
      </x:c>
      <x:c r="K1270" s="16" t="n">
        <x:v>7880.7</x:v>
      </x:c>
      <x:c r="L1270" s="16" t="n">
        <x:v>7885.2</x:v>
      </x:c>
      <x:c r="M1270" s="16" t="n">
        <x:v>4.5</x:v>
      </x:c>
      <x:c r="N1270" s="16" t="n">
        <x:v>29.555555555555557</x:v>
      </x:c>
      <x:c r="O1270" s="12" t="str">
        <x:v>FTRL44G005</x:v>
      </x:c>
      <x:c r="P1270" s="12" t="str">
        <x:v>EXVV21G042</x:v>
      </x:c>
      <x:c r="Q1270" s="12" t="str"/>
      <x:c r="R1270" s="12" t="str"/>
      <x:c r="S1270" s="12" t="str"/>
      <x:c r="T1270" s="12" t="str">
        <x:v>ABM</x:v>
      </x:c>
      <x:c r="U1270" s="12" t="str"/>
      <x:c r="V1270" s="12" t="str"/>
      <x:c r="W1270" s="12" t="str"/>
      <x:c r="X1270" s="12" t="str">
        <x:v>EXVV21</x:v>
      </x:c>
      <x:c r="Y1270" s="12" t="str">
        <x:v>RAFIF &amp; YOGI</x:v>
      </x:c>
      <x:c r="Z1270" s="12" t="str"/>
      <x:c r="AA1270" s="32" t="n">
        <x:f>IFERROR(VLOOKUP(G1270,Master_Unit!$A$2:$N$78,7,FALSE),"")</x:f>
        <x:v>20</x:v>
      </x:c>
      <x:c r="AB1270" s="32" t="n">
        <x:f>IF(OR(N1270="",AA1270=""),"",N1270-AA1270)</x:f>
        <x:v>9.555555555555557</x:v>
      </x:c>
      <x:c r="AC1270" s="20" t="n">
        <x:f>IF(OR(N1270="",AA1270="",AA1270=0),"",AB1270/AA1270)</x:f>
        <x:v>0.47777777777777786</x:v>
      </x:c>
      <x:c r="AD1270" t="str">
        <x:f>IF(AA1270="","NO STANDARD",IF(AC1270&lt;=Config_Status!$B$2,"EFFICIENT",IF(AC1270&lt;=Config_Status!$B$3,"NORMAL",IF(AC1270&lt;=Config_Status!$B$4,"WARNING","OVER CONSUMPTION"))))</x:f>
        <x:v>OVER CONSUMPTION</x:v>
      </x:c>
      <x:c r="AE1270" t="str">
        <x:f>IFERROR(VLOOKUP(G1270,Master_Unit!$A$2:$N$78,13,FALSE),"UNIT NOT FOUND")</x:f>
        <x:v>Matched</x:v>
      </x:c>
    </x:row>
    <x:row r="1271">
      <x:c r="A1271" s="12" t="str">
        <x:v>FU-20260619-01270</x:v>
      </x:c>
      <x:c r="B1271" s="12" t="n">
        <x:v>1400</x:v>
      </x:c>
      <x:c r="C1271" s="14" t="n">
        <x:v>46192</x:v>
      </x:c>
      <x:c r="D1271" s="12" t="str">
        <x:v>Jum'at</x:v>
      </x:c>
      <x:c r="E1271" s="12" t="str">
        <x:v>18:51:00</x:v>
      </x:c>
      <x:c r="F1271" s="12" t="str">
        <x:v>All Shift Night</x:v>
      </x:c>
      <x:c r="G1271" s="12" t="str">
        <x:v>EXVV21G035</x:v>
      </x:c>
      <x:c r="H1271" s="12" t="str">
        <x:v>Excavator</x:v>
      </x:c>
      <x:c r="I1271" s="12" t="str">
        <x:v>EXCAVATOR VOLVO EC210D</x:v>
      </x:c>
      <x:c r="J1271" s="16" t="n">
        <x:v>150</x:v>
      </x:c>
      <x:c r="K1271" s="16" t="n">
        <x:v>8528</x:v>
      </x:c>
      <x:c r="L1271" s="16" t="n">
        <x:v>8531.3</x:v>
      </x:c>
      <x:c r="M1271" s="16" t="n">
        <x:v>3.2999999999992724</x:v>
      </x:c>
      <x:c r="N1271" s="16" t="n">
        <x:v>45.45454545455548</x:v>
      </x:c>
      <x:c r="O1271" s="12" t="str">
        <x:v>FTRL44G005</x:v>
      </x:c>
      <x:c r="P1271" s="12" t="str">
        <x:v>EXVV21G035</x:v>
      </x:c>
      <x:c r="Q1271" s="12" t="str"/>
      <x:c r="R1271" s="12" t="str"/>
      <x:c r="S1271" s="12" t="str"/>
      <x:c r="T1271" s="12" t="str">
        <x:v>ABM</x:v>
      </x:c>
      <x:c r="U1271" s="12" t="str"/>
      <x:c r="V1271" s="12" t="str"/>
      <x:c r="W1271" s="12" t="str"/>
      <x:c r="X1271" s="12" t="str">
        <x:v>EXVV21</x:v>
      </x:c>
      <x:c r="Y1271" s="12" t="str">
        <x:v>RAFIF &amp; YOGI</x:v>
      </x:c>
      <x:c r="Z1271" s="12" t="str"/>
      <x:c r="AA1271" s="32" t="n">
        <x:f>IFERROR(VLOOKUP(G1271,Master_Unit!$A$2:$N$78,7,FALSE),"")</x:f>
        <x:v>20</x:v>
      </x:c>
      <x:c r="AB1271" s="32" t="n">
        <x:f>IF(OR(N1271="",AA1271=""),"",N1271-AA1271)</x:f>
        <x:v>25.45454545455548</x:v>
      </x:c>
      <x:c r="AC1271" s="20" t="n">
        <x:f>IF(OR(N1271="",AA1271="",AA1271=0),"",AB1271/AA1271)</x:f>
        <x:v>1.2727272727277739</x:v>
      </x:c>
      <x:c r="AD1271" t="str">
        <x:f>IF(AA1271="","NO STANDARD",IF(AC1271&lt;=Config_Status!$B$2,"EFFICIENT",IF(AC1271&lt;=Config_Status!$B$3,"NORMAL",IF(AC1271&lt;=Config_Status!$B$4,"WARNING","OVER CONSUMPTION"))))</x:f>
        <x:v>OVER CONSUMPTION</x:v>
      </x:c>
      <x:c r="AE1271" t="str">
        <x:f>IFERROR(VLOOKUP(G1271,Master_Unit!$A$2:$N$78,13,FALSE),"UNIT NOT FOUND")</x:f>
        <x:v>Matched</x:v>
      </x:c>
    </x:row>
    <x:row r="1272">
      <x:c r="A1272" s="12" t="str">
        <x:v>FU-20260619-01271</x:v>
      </x:c>
      <x:c r="B1272" s="12" t="n">
        <x:v>1401</x:v>
      </x:c>
      <x:c r="C1272" s="14" t="n">
        <x:v>46192</x:v>
      </x:c>
      <x:c r="D1272" s="12" t="str">
        <x:v>Jum'at</x:v>
      </x:c>
      <x:c r="E1272" s="12" t="str">
        <x:v>18:59:00</x:v>
      </x:c>
      <x:c r="F1272" s="12" t="str">
        <x:v>All Shift Night</x:v>
      </x:c>
      <x:c r="G1272" s="12" t="str">
        <x:v>EXVV21G032</x:v>
      </x:c>
      <x:c r="H1272" s="12" t="str">
        <x:v>Excavator</x:v>
      </x:c>
      <x:c r="I1272" s="12" t="str">
        <x:v>EXCAVATOR VOLVO EC210D</x:v>
      </x:c>
      <x:c r="J1272" s="16" t="n">
        <x:v>153</x:v>
      </x:c>
      <x:c r="K1272" s="16" t="n">
        <x:v>7649.1</x:v>
      </x:c>
      <x:c r="L1272" s="16" t="n">
        <x:v>7657</x:v>
      </x:c>
      <x:c r="M1272" s="16" t="n">
        <x:v>7.899999999999636</x:v>
      </x:c>
      <x:c r="N1272" s="16" t="n">
        <x:v>19.36708860759583</x:v>
      </x:c>
      <x:c r="O1272" s="12" t="str">
        <x:v>FTRL44G005</x:v>
      </x:c>
      <x:c r="P1272" s="12" t="str">
        <x:v>EXVV21G032</x:v>
      </x:c>
      <x:c r="Q1272" s="12" t="str"/>
      <x:c r="R1272" s="12" t="str"/>
      <x:c r="S1272" s="12" t="str"/>
      <x:c r="T1272" s="12" t="str">
        <x:v>ABM</x:v>
      </x:c>
      <x:c r="U1272" s="12" t="str"/>
      <x:c r="V1272" s="12" t="str"/>
      <x:c r="W1272" s="12" t="str"/>
      <x:c r="X1272" s="12" t="str">
        <x:v>EXVV21</x:v>
      </x:c>
      <x:c r="Y1272" s="12" t="str">
        <x:v>RAFIF &amp; YOGI</x:v>
      </x:c>
      <x:c r="Z1272" s="12" t="str"/>
      <x:c r="AA1272" s="32" t="n">
        <x:f>IFERROR(VLOOKUP(G1272,Master_Unit!$A$2:$N$78,7,FALSE),"")</x:f>
        <x:v>20</x:v>
      </x:c>
      <x:c r="AB1272" s="32" t="n">
        <x:f>IF(OR(N1272="",AA1272=""),"",N1272-AA1272)</x:f>
        <x:v>-0.6329113924041714</x:v>
      </x:c>
      <x:c r="AC1272" s="20" t="n">
        <x:f>IF(OR(N1272="",AA1272="",AA1272=0),"",AB1272/AA1272)</x:f>
        <x:v>-0.03164556962020857</x:v>
      </x:c>
      <x:c r="AD1272" t="str">
        <x:f>IF(AA1272="","NO STANDARD",IF(AC1272&lt;=Config_Status!$B$2,"EFFICIENT",IF(AC1272&lt;=Config_Status!$B$3,"NORMAL",IF(AC1272&lt;=Config_Status!$B$4,"WARNING","OVER CONSUMPTION"))))</x:f>
        <x:v>NORMAL</x:v>
      </x:c>
      <x:c r="AE1272" t="str">
        <x:f>IFERROR(VLOOKUP(G1272,Master_Unit!$A$2:$N$78,13,FALSE),"UNIT NOT FOUND")</x:f>
        <x:v>Matched</x:v>
      </x:c>
    </x:row>
    <x:row r="1273">
      <x:c r="A1273" s="12" t="str">
        <x:v>FU-20260619-01272</x:v>
      </x:c>
      <x:c r="B1273" s="12" t="n">
        <x:v>1402</x:v>
      </x:c>
      <x:c r="C1273" s="14" t="n">
        <x:v>46192</x:v>
      </x:c>
      <x:c r="D1273" s="12" t="str">
        <x:v>Jum'at</x:v>
      </x:c>
      <x:c r="E1273" s="12" t="str">
        <x:v>19:09:00</x:v>
      </x:c>
      <x:c r="F1273" s="12" t="str">
        <x:v>All Shift Night</x:v>
      </x:c>
      <x:c r="G1273" s="12" t="str">
        <x:v>STRL44G136</x:v>
      </x:c>
      <x:c r="H1273" s="12" t="str">
        <x:v>Dump Truck</x:v>
      </x:c>
      <x:c r="I1273" s="12" t="str">
        <x:v>DUMP TRUCK RENAULT KRANGE440-P6X4 A/T</x:v>
      </x:c>
      <x:c r="J1273" s="16" t="n">
        <x:v>78</x:v>
      </x:c>
      <x:c r="K1273" s="16" t="n">
        <x:v>5938</x:v>
      </x:c>
      <x:c r="L1273" s="16" t="n">
        <x:v>5949</x:v>
      </x:c>
      <x:c r="M1273" s="16" t="n">
        <x:v>11</x:v>
      </x:c>
      <x:c r="N1273" s="16" t="n">
        <x:v>7.090909090909091</x:v>
      </x:c>
      <x:c r="O1273" s="12" t="str">
        <x:v>FTRL44G005</x:v>
      </x:c>
      <x:c r="P1273" s="12" t="str">
        <x:v>STRL44G136</x:v>
      </x:c>
      <x:c r="Q1273" s="12" t="str"/>
      <x:c r="R1273" s="12" t="str"/>
      <x:c r="S1273" s="12" t="str"/>
      <x:c r="T1273" s="12" t="str">
        <x:v>ABM</x:v>
      </x:c>
      <x:c r="U1273" s="12" t="str"/>
      <x:c r="V1273" s="12" t="str"/>
      <x:c r="W1273" s="12" t="str"/>
      <x:c r="X1273" s="12" t="str">
        <x:v>STRL44</x:v>
      </x:c>
      <x:c r="Y1273" s="12" t="str">
        <x:v>RAFIF &amp; YOGI</x:v>
      </x:c>
      <x:c r="Z1273" s="12" t="str"/>
      <x:c r="AA1273" s="32" t="n">
        <x:f>IFERROR(VLOOKUP(G1273,Master_Unit!$A$2:$N$78,7,FALSE),"")</x:f>
        <x:v>20</x:v>
      </x:c>
      <x:c r="AB1273" s="32" t="n">
        <x:f>IF(OR(N1273="",AA1273=""),"",N1273-AA1273)</x:f>
        <x:v>-12.90909090909091</x:v>
      </x:c>
      <x:c r="AC1273" s="20" t="n">
        <x:f>IF(OR(N1273="",AA1273="",AA1273=0),"",AB1273/AA1273)</x:f>
        <x:v>-0.6454545454545455</x:v>
      </x:c>
      <x:c r="AD1273" t="str">
        <x:f>IF(AA1273="","NO STANDARD",IF(AC1273&lt;=Config_Status!$B$2,"EFFICIENT",IF(AC1273&lt;=Config_Status!$B$3,"NORMAL",IF(AC1273&lt;=Config_Status!$B$4,"WARNING","OVER CONSUMPTION"))))</x:f>
        <x:v>EFFICIENT</x:v>
      </x:c>
      <x:c r="AE1273" t="str">
        <x:f>IFERROR(VLOOKUP(G1273,Master_Unit!$A$2:$N$78,13,FALSE),"UNIT NOT FOUND")</x:f>
        <x:v>Matched</x:v>
      </x:c>
    </x:row>
    <x:row r="1274">
      <x:c r="A1274" s="12" t="str">
        <x:v>FU-20260619-01273</x:v>
      </x:c>
      <x:c r="B1274" s="12" t="n">
        <x:v>1403</x:v>
      </x:c>
      <x:c r="C1274" s="14" t="n">
        <x:v>46192</x:v>
      </x:c>
      <x:c r="D1274" s="12" t="str">
        <x:v>Jum'at</x:v>
      </x:c>
      <x:c r="E1274" s="12" t="str">
        <x:v>19:12:00</x:v>
      </x:c>
      <x:c r="F1274" s="12" t="str">
        <x:v>All Shift Night</x:v>
      </x:c>
      <x:c r="G1274" s="12" t="str">
        <x:v>STRL44G137</x:v>
      </x:c>
      <x:c r="H1274" s="12" t="str">
        <x:v>Dump Truck</x:v>
      </x:c>
      <x:c r="I1274" s="12" t="str">
        <x:v>DUMP TRUCK RENAULT KRANGE440-P6X4 A/T</x:v>
      </x:c>
      <x:c r="J1274" s="16" t="n">
        <x:v>115</x:v>
      </x:c>
      <x:c r="K1274" s="16" t="n">
        <x:v>6514</x:v>
      </x:c>
      <x:c r="L1274" s="16" t="n">
        <x:v>6535</x:v>
      </x:c>
      <x:c r="M1274" s="16" t="n">
        <x:v>21</x:v>
      </x:c>
      <x:c r="N1274" s="16" t="n">
        <x:v>5.476190476190476</x:v>
      </x:c>
      <x:c r="O1274" s="12" t="str">
        <x:v>FTRL44G005</x:v>
      </x:c>
      <x:c r="P1274" s="12" t="str">
        <x:v>STRL44G137</x:v>
      </x:c>
      <x:c r="Q1274" s="12" t="str"/>
      <x:c r="R1274" s="12" t="str"/>
      <x:c r="S1274" s="12" t="str"/>
      <x:c r="T1274" s="12" t="str">
        <x:v>ABM</x:v>
      </x:c>
      <x:c r="U1274" s="12" t="str"/>
      <x:c r="V1274" s="12" t="str"/>
      <x:c r="W1274" s="12" t="str"/>
      <x:c r="X1274" s="12" t="str">
        <x:v>STRL44</x:v>
      </x:c>
      <x:c r="Y1274" s="12" t="str">
        <x:v>RAFIF &amp; YOGI</x:v>
      </x:c>
      <x:c r="Z1274" s="12" t="str"/>
      <x:c r="AA1274" s="32" t="n">
        <x:f>IFERROR(VLOOKUP(G1274,Master_Unit!$A$2:$N$78,7,FALSE),"")</x:f>
        <x:v>20</x:v>
      </x:c>
      <x:c r="AB1274" s="32" t="n">
        <x:f>IF(OR(N1274="",AA1274=""),"",N1274-AA1274)</x:f>
        <x:v>-14.523809523809524</x:v>
      </x:c>
      <x:c r="AC1274" s="20" t="n">
        <x:f>IF(OR(N1274="",AA1274="",AA1274=0),"",AB1274/AA1274)</x:f>
        <x:v>-0.7261904761904762</x:v>
      </x:c>
      <x:c r="AD1274" t="str">
        <x:f>IF(AA1274="","NO STANDARD",IF(AC1274&lt;=Config_Status!$B$2,"EFFICIENT",IF(AC1274&lt;=Config_Status!$B$3,"NORMAL",IF(AC1274&lt;=Config_Status!$B$4,"WARNING","OVER CONSUMPTION"))))</x:f>
        <x:v>EFFICIENT</x:v>
      </x:c>
      <x:c r="AE1274" t="str">
        <x:f>IFERROR(VLOOKUP(G1274,Master_Unit!$A$2:$N$78,13,FALSE),"UNIT NOT FOUND")</x:f>
        <x:v>Matched</x:v>
      </x:c>
    </x:row>
    <x:row r="1275">
      <x:c r="A1275" s="12" t="str">
        <x:v>FU-20260619-01274</x:v>
      </x:c>
      <x:c r="B1275" s="12" t="n">
        <x:v>1404</x:v>
      </x:c>
      <x:c r="C1275" s="14" t="n">
        <x:v>46192</x:v>
      </x:c>
      <x:c r="D1275" s="12" t="str">
        <x:v>Jum'at</x:v>
      </x:c>
      <x:c r="E1275" s="12" t="str">
        <x:v>19:15:00</x:v>
      </x:c>
      <x:c r="F1275" s="12" t="str">
        <x:v>All Shift Night</x:v>
      </x:c>
      <x:c r="G1275" s="12" t="str">
        <x:v>STRL44G134</x:v>
      </x:c>
      <x:c r="H1275" s="12" t="str">
        <x:v>Dump Truck</x:v>
      </x:c>
      <x:c r="I1275" s="12" t="str">
        <x:v>DUMP TRUCK RENAULT KRANGE440-P6X4 A/T</x:v>
      </x:c>
      <x:c r="J1275" s="16" t="n">
        <x:v>77</x:v>
      </x:c>
      <x:c r="K1275" s="16" t="n">
        <x:v>5786</x:v>
      </x:c>
      <x:c r="L1275" s="16" t="n">
        <x:v>5806</x:v>
      </x:c>
      <x:c r="M1275" s="16" t="n">
        <x:v>20</x:v>
      </x:c>
      <x:c r="N1275" s="16" t="n">
        <x:v>3.85</x:v>
      </x:c>
      <x:c r="O1275" s="12" t="str">
        <x:v>FTRL44G005</x:v>
      </x:c>
      <x:c r="P1275" s="12" t="str">
        <x:v>STRL44G134</x:v>
      </x:c>
      <x:c r="Q1275" s="12" t="str"/>
      <x:c r="R1275" s="12" t="str"/>
      <x:c r="S1275" s="12" t="str"/>
      <x:c r="T1275" s="12" t="str">
        <x:v>ABM</x:v>
      </x:c>
      <x:c r="U1275" s="12" t="str"/>
      <x:c r="V1275" s="12" t="str"/>
      <x:c r="W1275" s="12" t="str"/>
      <x:c r="X1275" s="12" t="str">
        <x:v>STRL44</x:v>
      </x:c>
      <x:c r="Y1275" s="12" t="str">
        <x:v>RAFIF &amp; YOGI</x:v>
      </x:c>
      <x:c r="Z1275" s="12" t="str"/>
      <x:c r="AA1275" s="32" t="n">
        <x:f>IFERROR(VLOOKUP(G1275,Master_Unit!$A$2:$N$78,7,FALSE),"")</x:f>
        <x:v>20</x:v>
      </x:c>
      <x:c r="AB1275" s="32" t="n">
        <x:f>IF(OR(N1275="",AA1275=""),"",N1275-AA1275)</x:f>
        <x:v>-16.15</x:v>
      </x:c>
      <x:c r="AC1275" s="20" t="n">
        <x:f>IF(OR(N1275="",AA1275="",AA1275=0),"",AB1275/AA1275)</x:f>
        <x:v>-0.8074999999999999</x:v>
      </x:c>
      <x:c r="AD1275" t="str">
        <x:f>IF(AA1275="","NO STANDARD",IF(AC1275&lt;=Config_Status!$B$2,"EFFICIENT",IF(AC1275&lt;=Config_Status!$B$3,"NORMAL",IF(AC1275&lt;=Config_Status!$B$4,"WARNING","OVER CONSUMPTION"))))</x:f>
        <x:v>EFFICIENT</x:v>
      </x:c>
      <x:c r="AE1275" t="str">
        <x:f>IFERROR(VLOOKUP(G1275,Master_Unit!$A$2:$N$78,13,FALSE),"UNIT NOT FOUND")</x:f>
        <x:v>Matched</x:v>
      </x:c>
    </x:row>
    <x:row r="1276">
      <x:c r="A1276" s="12" t="str">
        <x:v>FU-20260620-01275</x:v>
      </x:c>
      <x:c r="B1276" s="12" t="n">
        <x:v>1405</x:v>
      </x:c>
      <x:c r="C1276" s="14" t="n">
        <x:v>46193</x:v>
      </x:c>
      <x:c r="D1276" s="12" t="str">
        <x:v>Sabtu</x:v>
      </x:c>
      <x:c r="E1276" s="12" t="str">
        <x:v>06:22:00</x:v>
      </x:c>
      <x:c r="F1276" s="12" t="str">
        <x:v>All Shift Day</x:v>
      </x:c>
      <x:c r="G1276" s="12" t="str">
        <x:v>ACKS50G001</x:v>
      </x:c>
      <x:c r="H1276" s="12" t="str">
        <x:v>Air Compressor</x:v>
      </x:c>
      <x:c r="I1276" s="12" t="str">
        <x:v>AIR COMPRESSOR MOBILAR MOBILAIR M50</x:v>
      </x:c>
      <x:c r="J1276" s="16" t="n">
        <x:v>46</x:v>
      </x:c>
      <x:c r="K1276" s="16" t="n">
        <x:v>1194.48</x:v>
      </x:c>
      <x:c r="L1276" s="16" t="n">
        <x:v>1203.52</x:v>
      </x:c>
      <x:c r="M1276" s="16" t="n">
        <x:v>9.039999999999964</x:v>
      </x:c>
      <x:c r="N1276" s="16" t="n">
        <x:v>5.088495575221259</x:v>
      </x:c>
      <x:c r="O1276" s="12" t="str">
        <x:v>FTRL44G005</x:v>
      </x:c>
      <x:c r="P1276" s="12" t="str">
        <x:v>ACKS50G001</x:v>
      </x:c>
      <x:c r="Q1276" s="12" t="str"/>
      <x:c r="R1276" s="12" t="str"/>
      <x:c r="S1276" s="12" t="str"/>
      <x:c r="T1276" s="12" t="str">
        <x:v>ABM</x:v>
      </x:c>
      <x:c r="U1276" s="12" t="str"/>
      <x:c r="V1276" s="12" t="str"/>
      <x:c r="W1276" s="12" t="str"/>
      <x:c r="X1276" s="12" t="str">
        <x:v>ACKS50</x:v>
      </x:c>
      <x:c r="Y1276" s="12" t="str">
        <x:v>WAYAN, ANGGI &amp; ACUNG</x:v>
      </x:c>
      <x:c r="Z1276" s="12" t="str"/>
      <x:c r="AA1276" s="32" t="n">
        <x:f>IFERROR(VLOOKUP(G1276,Master_Unit!$A$2:$N$78,7,FALSE),"")</x:f>
        <x:v>8</x:v>
      </x:c>
      <x:c r="AB1276" s="32" t="n">
        <x:f>IF(OR(N1276="",AA1276=""),"",N1276-AA1276)</x:f>
        <x:v>-2.911504424778741</x:v>
      </x:c>
      <x:c r="AC1276" s="20" t="n">
        <x:f>IF(OR(N1276="",AA1276="",AA1276=0),"",AB1276/AA1276)</x:f>
        <x:v>-0.3639380530973426</x:v>
      </x:c>
      <x:c r="AD1276" t="str">
        <x:f>IF(AA1276="","NO STANDARD",IF(AC1276&lt;=Config_Status!$B$2,"EFFICIENT",IF(AC1276&lt;=Config_Status!$B$3,"NORMAL",IF(AC1276&lt;=Config_Status!$B$4,"WARNING","OVER CONSUMPTION"))))</x:f>
        <x:v>EFFICIENT</x:v>
      </x:c>
      <x:c r="AE1276" t="str">
        <x:f>IFERROR(VLOOKUP(G1276,Master_Unit!$A$2:$N$78,13,FALSE),"UNIT NOT FOUND")</x:f>
        <x:v>Matched</x:v>
      </x:c>
    </x:row>
    <x:row r="1277">
      <x:c r="A1277" s="12" t="str">
        <x:v>FU-20260620-01276</x:v>
      </x:c>
      <x:c r="B1277" s="12" t="n">
        <x:v>1406</x:v>
      </x:c>
      <x:c r="C1277" s="14" t="n">
        <x:v>46193</x:v>
      </x:c>
      <x:c r="D1277" s="12" t="str">
        <x:v>Sabtu</x:v>
      </x:c>
      <x:c r="E1277" s="12" t="str">
        <x:v>06:26:00</x:v>
      </x:c>
      <x:c r="F1277" s="12" t="str">
        <x:v>All Shift Day</x:v>
      </x:c>
      <x:c r="G1277" s="12" t="str">
        <x:v>GSHT40G002</x:v>
      </x:c>
      <x:c r="H1277" s="12" t="str">
        <x:v>Genset</x:v>
      </x:c>
      <x:c r="I1277" s="12" t="str">
        <x:v>GENSET HARTECH HT-400-V</x:v>
      </x:c>
      <x:c r="J1277" s="16" t="n">
        <x:v>456</x:v>
      </x:c>
      <x:c r="K1277" s="16" t="n">
        <x:v>14771.12</x:v>
      </x:c>
      <x:c r="L1277" s="16" t="n">
        <x:v>14795.33</x:v>
      </x:c>
      <x:c r="M1277" s="16" t="n">
        <x:v>24.209999999999127</x:v>
      </x:c>
      <x:c r="N1277" s="16" t="n">
        <x:v>18.835192069393493</x:v>
      </x:c>
      <x:c r="O1277" s="12" t="str">
        <x:v>FTRL44G005</x:v>
      </x:c>
      <x:c r="P1277" s="12" t="str">
        <x:v>GSHT40G002</x:v>
      </x:c>
      <x:c r="Q1277" s="12" t="str"/>
      <x:c r="R1277" s="12" t="str"/>
      <x:c r="S1277" s="12" t="str"/>
      <x:c r="T1277" s="12" t="str">
        <x:v>ABM</x:v>
      </x:c>
      <x:c r="U1277" s="12" t="str"/>
      <x:c r="V1277" s="12" t="str"/>
      <x:c r="W1277" s="12" t="str"/>
      <x:c r="X1277" s="12" t="str">
        <x:v>GSHT40</x:v>
      </x:c>
      <x:c r="Y1277" s="12" t="str">
        <x:v>WAYAN, ANGGI &amp; ACUNG</x:v>
      </x:c>
      <x:c r="Z1277" s="12" t="str"/>
      <x:c r="AA1277" s="32" t="n">
        <x:f>IFERROR(VLOOKUP(G1277,Master_Unit!$A$2:$N$78,7,FALSE),"")</x:f>
        <x:v>25</x:v>
      </x:c>
      <x:c r="AB1277" s="32" t="n">
        <x:f>IF(OR(N1277="",AA1277=""),"",N1277-AA1277)</x:f>
        <x:v>-6.164807930606507</x:v>
      </x:c>
      <x:c r="AC1277" s="20" t="n">
        <x:f>IF(OR(N1277="",AA1277="",AA1277=0),"",AB1277/AA1277)</x:f>
        <x:v>-0.24659231722426028</x:v>
      </x:c>
      <x:c r="AD1277" t="str">
        <x:f>IF(AA1277="","NO STANDARD",IF(AC1277&lt;=Config_Status!$B$2,"EFFICIENT",IF(AC1277&lt;=Config_Status!$B$3,"NORMAL",IF(AC1277&lt;=Config_Status!$B$4,"WARNING","OVER CONSUMPTION"))))</x:f>
        <x:v>EFFICIENT</x:v>
      </x:c>
      <x:c r="AE1277" t="str">
        <x:f>IFERROR(VLOOKUP(G1277,Master_Unit!$A$2:$N$78,13,FALSE),"UNIT NOT FOUND")</x:f>
        <x:v>Matched</x:v>
      </x:c>
    </x:row>
    <x:row r="1278">
      <x:c r="A1278" s="12" t="str">
        <x:v>FU-20260620-01277</x:v>
      </x:c>
      <x:c r="B1278" s="12" t="n">
        <x:v>1407</x:v>
      </x:c>
      <x:c r="C1278" s="14" t="n">
        <x:v>46193</x:v>
      </x:c>
      <x:c r="D1278" s="12" t="str">
        <x:v>Sabtu</x:v>
      </x:c>
      <x:c r="E1278" s="12" t="str">
        <x:v>06:49:00</x:v>
      </x:c>
      <x:c r="F1278" s="12" t="str">
        <x:v>All Shift Day</x:v>
      </x:c>
      <x:c r="G1278" s="12" t="str">
        <x:v>EXVV21G037</x:v>
      </x:c>
      <x:c r="H1278" s="12" t="str">
        <x:v>Excavator</x:v>
      </x:c>
      <x:c r="I1278" s="12" t="str">
        <x:v>EXCAVATOR VOLVO EC210D</x:v>
      </x:c>
      <x:c r="J1278" s="16" t="n">
        <x:v>151</x:v>
      </x:c>
      <x:c r="K1278" s="16" t="n">
        <x:v>6990.7</x:v>
      </x:c>
      <x:c r="L1278" s="16" t="n">
        <x:v>6999.7</x:v>
      </x:c>
      <x:c r="M1278" s="16" t="n">
        <x:v>9</x:v>
      </x:c>
      <x:c r="N1278" s="16" t="n">
        <x:v>16.77777777777778</x:v>
      </x:c>
      <x:c r="O1278" s="12" t="str">
        <x:v>FTRL44G005</x:v>
      </x:c>
      <x:c r="P1278" s="12" t="str">
        <x:v>EXVV21G037</x:v>
      </x:c>
      <x:c r="Q1278" s="12" t="str"/>
      <x:c r="R1278" s="12" t="str"/>
      <x:c r="S1278" s="12" t="str"/>
      <x:c r="T1278" s="12" t="str">
        <x:v>ABM</x:v>
      </x:c>
      <x:c r="U1278" s="12" t="str"/>
      <x:c r="V1278" s="12" t="str"/>
      <x:c r="W1278" s="12" t="str"/>
      <x:c r="X1278" s="12" t="str">
        <x:v>EXVV21</x:v>
      </x:c>
      <x:c r="Y1278" s="12" t="str">
        <x:v>WAYAN, ANGGI &amp; ACUNG</x:v>
      </x:c>
      <x:c r="Z1278" s="12" t="str"/>
      <x:c r="AA1278" s="32" t="n">
        <x:f>IFERROR(VLOOKUP(G1278,Master_Unit!$A$2:$N$78,7,FALSE),"")</x:f>
        <x:v>20</x:v>
      </x:c>
      <x:c r="AB1278" s="32" t="n">
        <x:f>IF(OR(N1278="",AA1278=""),"",N1278-AA1278)</x:f>
        <x:v>-3.2222222222222214</x:v>
      </x:c>
      <x:c r="AC1278" s="20" t="n">
        <x:f>IF(OR(N1278="",AA1278="",AA1278=0),"",AB1278/AA1278)</x:f>
        <x:v>-0.16111111111111107</x:v>
      </x:c>
      <x:c r="AD1278" t="str">
        <x:f>IF(AA1278="","NO STANDARD",IF(AC1278&lt;=Config_Status!$B$2,"EFFICIENT",IF(AC1278&lt;=Config_Status!$B$3,"NORMAL",IF(AC1278&lt;=Config_Status!$B$4,"WARNING","OVER CONSUMPTION"))))</x:f>
        <x:v>EFFICIENT</x:v>
      </x:c>
      <x:c r="AE1278" t="str">
        <x:f>IFERROR(VLOOKUP(G1278,Master_Unit!$A$2:$N$78,13,FALSE),"UNIT NOT FOUND")</x:f>
        <x:v>Matched</x:v>
      </x:c>
    </x:row>
    <x:row r="1279">
      <x:c r="A1279" s="12" t="str">
        <x:v>FU-20260620-01278</x:v>
      </x:c>
      <x:c r="B1279" s="12" t="n">
        <x:v>1408</x:v>
      </x:c>
      <x:c r="C1279" s="14" t="n">
        <x:v>46193</x:v>
      </x:c>
      <x:c r="D1279" s="12" t="str">
        <x:v>Sabtu</x:v>
      </x:c>
      <x:c r="E1279" s="12" t="str">
        <x:v>06:52:00</x:v>
      </x:c>
      <x:c r="F1279" s="12" t="str">
        <x:v>All Shift Day</x:v>
      </x:c>
      <x:c r="G1279" s="12" t="str">
        <x:v>VRVV11G012</x:v>
      </x:c>
      <x:c r="H1279" s="12" t="str">
        <x:v>Compactor</x:v>
      </x:c>
      <x:c r="I1279" s="12" t="str">
        <x:v>VIBRO COMPACTOR VOLVO SD110NE</x:v>
      </x:c>
      <x:c r="J1279" s="16" t="n">
        <x:v>65</x:v>
      </x:c>
      <x:c r="K1279" s="16" t="n">
        <x:v>3356.1</x:v>
      </x:c>
      <x:c r="L1279" s="16" t="n">
        <x:v>3361.9</x:v>
      </x:c>
      <x:c r="M1279" s="16" t="n">
        <x:v>5.800000000000182</x:v>
      </x:c>
      <x:c r="N1279" s="16" t="n">
        <x:v>11.206896551723787</x:v>
      </x:c>
      <x:c r="O1279" s="12" t="str">
        <x:v>FTRL44G005</x:v>
      </x:c>
      <x:c r="P1279" s="12" t="str">
        <x:v>VRVV11G012</x:v>
      </x:c>
      <x:c r="Q1279" s="12" t="str"/>
      <x:c r="R1279" s="12" t="str"/>
      <x:c r="S1279" s="12" t="str"/>
      <x:c r="T1279" s="12" t="str">
        <x:v>ABM</x:v>
      </x:c>
      <x:c r="U1279" s="12" t="str"/>
      <x:c r="V1279" s="12" t="str"/>
      <x:c r="W1279" s="12" t="str"/>
      <x:c r="X1279" s="12" t="str">
        <x:v>VRVV11</x:v>
      </x:c>
      <x:c r="Y1279" s="12" t="str">
        <x:v>WAYAN, ANGGI &amp; ACUNG</x:v>
      </x:c>
      <x:c r="Z1279" s="12" t="str"/>
      <x:c r="AA1279" s="32" t="n">
        <x:f>IFERROR(VLOOKUP(G1279,Master_Unit!$A$2:$N$78,7,FALSE),"")</x:f>
        <x:v>15</x:v>
      </x:c>
      <x:c r="AB1279" s="32" t="n">
        <x:f>IF(OR(N1279="",AA1279=""),"",N1279-AA1279)</x:f>
        <x:v>-3.793103448276213</x:v>
      </x:c>
      <x:c r="AC1279" s="20" t="n">
        <x:f>IF(OR(N1279="",AA1279="",AA1279=0),"",AB1279/AA1279)</x:f>
        <x:v>-0.2528735632184142</x:v>
      </x:c>
      <x:c r="AD1279" t="str">
        <x:f>IF(AA1279="","NO STANDARD",IF(AC1279&lt;=Config_Status!$B$2,"EFFICIENT",IF(AC1279&lt;=Config_Status!$B$3,"NORMAL",IF(AC1279&lt;=Config_Status!$B$4,"WARNING","OVER CONSUMPTION"))))</x:f>
        <x:v>EFFICIENT</x:v>
      </x:c>
      <x:c r="AE1279" t="str">
        <x:f>IFERROR(VLOOKUP(G1279,Master_Unit!$A$2:$N$78,13,FALSE),"UNIT NOT FOUND")</x:f>
        <x:v>Matched</x:v>
      </x:c>
    </x:row>
    <x:row r="1280">
      <x:c r="A1280" s="12" t="str">
        <x:v>FU-20260620-01279</x:v>
      </x:c>
      <x:c r="B1280" s="12" t="n">
        <x:v>1409</x:v>
      </x:c>
      <x:c r="C1280" s="14" t="n">
        <x:v>46193</x:v>
      </x:c>
      <x:c r="D1280" s="12" t="str">
        <x:v>Sabtu</x:v>
      </x:c>
      <x:c r="E1280" s="12" t="str">
        <x:v>06:54:00</x:v>
      </x:c>
      <x:c r="F1280" s="12" t="str">
        <x:v>All Shift Day</x:v>
      </x:c>
      <x:c r="G1280" s="12" t="str">
        <x:v>BDKM85G039</x:v>
      </x:c>
      <x:c r="H1280" s="12" t="str">
        <x:v>Dozer</x:v>
      </x:c>
      <x:c r="I1280" s="12" t="str">
        <x:v>BULDOZER KOMATSU D85ESS-2</x:v>
      </x:c>
      <x:c r="J1280" s="16" t="n">
        <x:v>85</x:v>
      </x:c>
      <x:c r="K1280" s="16" t="n">
        <x:v>7174.5</x:v>
      </x:c>
      <x:c r="L1280" s="16" t="n">
        <x:v>7177.3</x:v>
      </x:c>
      <x:c r="M1280" s="16" t="n">
        <x:v>2.800000000000182</x:v>
      </x:c>
      <x:c r="N1280" s="16" t="n">
        <x:v>30.357142857140886</x:v>
      </x:c>
      <x:c r="O1280" s="12" t="str">
        <x:v>FTRL44G005</x:v>
      </x:c>
      <x:c r="P1280" s="12" t="str">
        <x:v>BDKM85G039</x:v>
      </x:c>
      <x:c r="Q1280" s="12" t="str"/>
      <x:c r="R1280" s="12" t="str"/>
      <x:c r="S1280" s="12" t="str"/>
      <x:c r="T1280" s="12" t="str">
        <x:v>ABM</x:v>
      </x:c>
      <x:c r="U1280" s="12" t="str"/>
      <x:c r="V1280" s="12" t="str"/>
      <x:c r="W1280" s="12" t="str"/>
      <x:c r="X1280" s="12" t="str">
        <x:v>BDKM85</x:v>
      </x:c>
      <x:c r="Y1280" s="12" t="str">
        <x:v>WAYAN, ANGGI &amp; ACUNG</x:v>
      </x:c>
      <x:c r="Z1280" s="12" t="str"/>
      <x:c r="AA1280" s="32" t="n">
        <x:f>IFERROR(VLOOKUP(G1280,Master_Unit!$A$2:$N$78,7,FALSE),"")</x:f>
        <x:v>30</x:v>
      </x:c>
      <x:c r="AB1280" s="32" t="n">
        <x:f>IF(OR(N1280="",AA1280=""),"",N1280-AA1280)</x:f>
        <x:v>0.3571428571408859</x:v>
      </x:c>
      <x:c r="AC1280" s="20" t="n">
        <x:f>IF(OR(N1280="",AA1280="",AA1280=0),"",AB1280/AA1280)</x:f>
        <x:v>0.011904761904696196</x:v>
      </x:c>
      <x:c r="AD1280" t="str">
        <x:f>IF(AA1280="","NO STANDARD",IF(AC1280&lt;=Config_Status!$B$2,"EFFICIENT",IF(AC1280&lt;=Config_Status!$B$3,"NORMAL",IF(AC1280&lt;=Config_Status!$B$4,"WARNING","OVER CONSUMPTION"))))</x:f>
        <x:v>NORMAL</x:v>
      </x:c>
      <x:c r="AE1280" t="str">
        <x:f>IFERROR(VLOOKUP(G1280,Master_Unit!$A$2:$N$78,13,FALSE),"UNIT NOT FOUND")</x:f>
        <x:v>Matched</x:v>
      </x:c>
    </x:row>
    <x:row r="1281">
      <x:c r="A1281" s="12" t="str">
        <x:v>FU-20260620-01280</x:v>
      </x:c>
      <x:c r="B1281" s="12" t="n">
        <x:v>1410</x:v>
      </x:c>
      <x:c r="C1281" s="14" t="n">
        <x:v>46193</x:v>
      </x:c>
      <x:c r="D1281" s="12" t="str">
        <x:v>Sabtu</x:v>
      </x:c>
      <x:c r="E1281" s="12" t="str">
        <x:v>06:59:00</x:v>
      </x:c>
      <x:c r="F1281" s="12" t="str">
        <x:v>All Shift Day</x:v>
      </x:c>
      <x:c r="G1281" s="12" t="str">
        <x:v>EXVV21G040</x:v>
      </x:c>
      <x:c r="H1281" s="12" t="str">
        <x:v>Excavator</x:v>
      </x:c>
      <x:c r="I1281" s="12" t="str">
        <x:v>EXCAVATOR VOLVO EC210D</x:v>
      </x:c>
      <x:c r="J1281" s="16" t="n">
        <x:v>164</x:v>
      </x:c>
      <x:c r="K1281" s="16" t="n">
        <x:v>6713.4</x:v>
      </x:c>
      <x:c r="L1281" s="16" t="n">
        <x:v>6722.8</x:v>
      </x:c>
      <x:c r="M1281" s="16" t="n">
        <x:v>9.400000000000546</x:v>
      </x:c>
      <x:c r="N1281" s="16" t="n">
        <x:v>17.446808510637286</x:v>
      </x:c>
      <x:c r="O1281" s="12" t="str">
        <x:v>FTRL44G005</x:v>
      </x:c>
      <x:c r="P1281" s="12" t="str">
        <x:v>EXVV21G040</x:v>
      </x:c>
      <x:c r="Q1281" s="12" t="str"/>
      <x:c r="R1281" s="12" t="str"/>
      <x:c r="S1281" s="12" t="str"/>
      <x:c r="T1281" s="12" t="str">
        <x:v>ABM</x:v>
      </x:c>
      <x:c r="U1281" s="12" t="str"/>
      <x:c r="V1281" s="12" t="str"/>
      <x:c r="W1281" s="12" t="str"/>
      <x:c r="X1281" s="12" t="str">
        <x:v>EXVV21</x:v>
      </x:c>
      <x:c r="Y1281" s="12" t="str">
        <x:v>WAYAN, ANGGI &amp; ACUNG</x:v>
      </x:c>
      <x:c r="Z1281" s="12" t="str"/>
      <x:c r="AA1281" s="32" t="n">
        <x:f>IFERROR(VLOOKUP(G1281,Master_Unit!$A$2:$N$78,7,FALSE),"")</x:f>
        <x:v>20</x:v>
      </x:c>
      <x:c r="AB1281" s="32" t="n">
        <x:f>IF(OR(N1281="",AA1281=""),"",N1281-AA1281)</x:f>
        <x:v>-2.553191489362714</x:v>
      </x:c>
      <x:c r="AC1281" s="20" t="n">
        <x:f>IF(OR(N1281="",AA1281="",AA1281=0),"",AB1281/AA1281)</x:f>
        <x:v>-0.1276595744681357</x:v>
      </x:c>
      <x:c r="AD1281" t="str">
        <x:f>IF(AA1281="","NO STANDARD",IF(AC1281&lt;=Config_Status!$B$2,"EFFICIENT",IF(AC1281&lt;=Config_Status!$B$3,"NORMAL",IF(AC1281&lt;=Config_Status!$B$4,"WARNING","OVER CONSUMPTION"))))</x:f>
        <x:v>EFFICIENT</x:v>
      </x:c>
      <x:c r="AE1281" t="str">
        <x:f>IFERROR(VLOOKUP(G1281,Master_Unit!$A$2:$N$78,13,FALSE),"UNIT NOT FOUND")</x:f>
        <x:v>Matched</x:v>
      </x:c>
    </x:row>
    <x:row r="1282">
      <x:c r="A1282" s="12" t="str">
        <x:v>FU-20260620-01281</x:v>
      </x:c>
      <x:c r="B1282" s="12" t="n">
        <x:v>1411</x:v>
      </x:c>
      <x:c r="C1282" s="14" t="n">
        <x:v>46193</x:v>
      </x:c>
      <x:c r="D1282" s="12" t="str">
        <x:v>Sabtu</x:v>
      </x:c>
      <x:c r="E1282" s="12" t="str">
        <x:v>07:01:00</x:v>
      </x:c>
      <x:c r="F1282" s="12" t="str">
        <x:v>All Shift Day</x:v>
      </x:c>
      <x:c r="G1282" s="12" t="str">
        <x:v>LVTH24R023</x:v>
      </x:c>
      <x:c r="H1282" s="12" t="str">
        <x:v>Light Vehicle</x:v>
      </x:c>
      <x:c r="I1282" s="12" t="str">
        <x:v>LIGHT VEHICLE TOYOTA HILUX</x:v>
      </x:c>
      <x:c r="J1282" s="16" t="n">
        <x:v>20</x:v>
      </x:c>
      <x:c r="K1282" s="16" t="n">
        <x:v>49485</x:v>
      </x:c>
      <x:c r="L1282" s="16" t="n">
        <x:v>49624</x:v>
      </x:c>
      <x:c r="M1282" s="16" t="n">
        <x:v>139</x:v>
      </x:c>
      <x:c r="N1282" s="16" t="n">
        <x:v>0.14388489208633093</x:v>
      </x:c>
      <x:c r="O1282" s="12" t="str">
        <x:v>FTRL44G005</x:v>
      </x:c>
      <x:c r="P1282" s="12" t="str">
        <x:v>LVTH24R023</x:v>
      </x:c>
      <x:c r="Q1282" s="12" t="str"/>
      <x:c r="R1282" s="12" t="str"/>
      <x:c r="S1282" s="12" t="str"/>
      <x:c r="T1282" s="12" t="str">
        <x:v>ABM</x:v>
      </x:c>
      <x:c r="U1282" s="12" t="str"/>
      <x:c r="V1282" s="12" t="str"/>
      <x:c r="W1282" s="12" t="str"/>
      <x:c r="X1282" s="12" t="str">
        <x:v>LVTH24</x:v>
      </x:c>
      <x:c r="Y1282" s="12" t="str">
        <x:v>WAYAN, ANGGI &amp; ACUNG</x:v>
      </x:c>
      <x:c r="Z1282" s="12" t="str"/>
      <x:c r="AA1282" s="32" t="n">
        <x:f>IFERROR(VLOOKUP(G1282,Master_Unit!$A$2:$N$78,7,FALSE),"")</x:f>
        <x:v>0.2</x:v>
      </x:c>
      <x:c r="AB1282" s="32" t="n">
        <x:f>IF(OR(N1282="",AA1282=""),"",N1282-AA1282)</x:f>
        <x:v>-0.05611510791366908</x:v>
      </x:c>
      <x:c r="AC1282" s="20" t="n">
        <x:f>IF(OR(N1282="",AA1282="",AA1282=0),"",AB1282/AA1282)</x:f>
        <x:v>-0.2805755395683454</x:v>
      </x:c>
      <x:c r="AD1282" t="str">
        <x:f>IF(AA1282="","NO STANDARD",IF(AC1282&lt;=Config_Status!$B$2,"EFFICIENT",IF(AC1282&lt;=Config_Status!$B$3,"NORMAL",IF(AC1282&lt;=Config_Status!$B$4,"WARNING","OVER CONSUMPTION"))))</x:f>
        <x:v>EFFICIENT</x:v>
      </x:c>
      <x:c r="AE1282" t="str">
        <x:f>IFERROR(VLOOKUP(G1282,Master_Unit!$A$2:$N$78,13,FALSE),"UNIT NOT FOUND")</x:f>
        <x:v>Matched</x:v>
      </x:c>
    </x:row>
    <x:row r="1283">
      <x:c r="A1283" s="12" t="str">
        <x:v>FU-20260620-01282</x:v>
      </x:c>
      <x:c r="B1283" s="12" t="n">
        <x:v>1412</x:v>
      </x:c>
      <x:c r="C1283" s="14" t="n">
        <x:v>46193</x:v>
      </x:c>
      <x:c r="D1283" s="12" t="str">
        <x:v>Sabtu</x:v>
      </x:c>
      <x:c r="E1283" s="12" t="str">
        <x:v>07:08:00</x:v>
      </x:c>
      <x:c r="F1283" s="12" t="str">
        <x:v>All Shift Day</x:v>
      </x:c>
      <x:c r="G1283" s="12" t="str">
        <x:v>EXVV21G039</x:v>
      </x:c>
      <x:c r="H1283" s="12" t="str">
        <x:v>Excavator</x:v>
      </x:c>
      <x:c r="I1283" s="12" t="str">
        <x:v>EXCAVATOR VOLVO EC210D</x:v>
      </x:c>
      <x:c r="J1283" s="16" t="n">
        <x:v>159</x:v>
      </x:c>
      <x:c r="K1283" s="16" t="n">
        <x:v>6426.6</x:v>
      </x:c>
      <x:c r="L1283" s="16" t="n">
        <x:v>6436.1</x:v>
      </x:c>
      <x:c r="M1283" s="16" t="n">
        <x:v>9.5</x:v>
      </x:c>
      <x:c r="N1283" s="16" t="n">
        <x:v>16.736842105263158</x:v>
      </x:c>
      <x:c r="O1283" s="12" t="str">
        <x:v>FTRL44G005</x:v>
      </x:c>
      <x:c r="P1283" s="12" t="str">
        <x:v>EXVV21G039</x:v>
      </x:c>
      <x:c r="Q1283" s="12" t="str"/>
      <x:c r="R1283" s="12" t="str"/>
      <x:c r="S1283" s="12" t="str"/>
      <x:c r="T1283" s="12" t="str">
        <x:v>ABM</x:v>
      </x:c>
      <x:c r="U1283" s="12" t="str"/>
      <x:c r="V1283" s="12" t="str"/>
      <x:c r="W1283" s="12" t="str"/>
      <x:c r="X1283" s="12" t="str">
        <x:v>EXVV21</x:v>
      </x:c>
      <x:c r="Y1283" s="12" t="str">
        <x:v>WAYAN, ANGGI &amp; ACUNG</x:v>
      </x:c>
      <x:c r="Z1283" s="12" t="str"/>
      <x:c r="AA1283" s="32" t="n">
        <x:f>IFERROR(VLOOKUP(G1283,Master_Unit!$A$2:$N$78,7,FALSE),"")</x:f>
        <x:v>20</x:v>
      </x:c>
      <x:c r="AB1283" s="32" t="n">
        <x:f>IF(OR(N1283="",AA1283=""),"",N1283-AA1283)</x:f>
        <x:v>-3.2631578947368425</x:v>
      </x:c>
      <x:c r="AC1283" s="20" t="n">
        <x:f>IF(OR(N1283="",AA1283="",AA1283=0),"",AB1283/AA1283)</x:f>
        <x:v>-0.1631578947368421</x:v>
      </x:c>
      <x:c r="AD1283" t="str">
        <x:f>IF(AA1283="","NO STANDARD",IF(AC1283&lt;=Config_Status!$B$2,"EFFICIENT",IF(AC1283&lt;=Config_Status!$B$3,"NORMAL",IF(AC1283&lt;=Config_Status!$B$4,"WARNING","OVER CONSUMPTION"))))</x:f>
        <x:v>EFFICIENT</x:v>
      </x:c>
      <x:c r="AE1283" t="str">
        <x:f>IFERROR(VLOOKUP(G1283,Master_Unit!$A$2:$N$78,13,FALSE),"UNIT NOT FOUND")</x:f>
        <x:v>Matched</x:v>
      </x:c>
    </x:row>
    <x:row r="1284">
      <x:c r="A1284" s="12" t="str">
        <x:v>FU-20260620-01283</x:v>
      </x:c>
      <x:c r="B1284" s="12" t="n">
        <x:v>1413</x:v>
      </x:c>
      <x:c r="C1284" s="14" t="n">
        <x:v>46193</x:v>
      </x:c>
      <x:c r="D1284" s="12" t="str">
        <x:v>Sabtu</x:v>
      </x:c>
      <x:c r="E1284" s="12" t="str">
        <x:v>07:12:00</x:v>
      </x:c>
      <x:c r="F1284" s="12" t="str">
        <x:v>All Shift Day</x:v>
      </x:c>
      <x:c r="G1284" s="12" t="str">
        <x:v>LVMP25R005</x:v>
      </x:c>
      <x:c r="H1284" s="12" t="str">
        <x:v>Light Vehicle</x:v>
      </x:c>
      <x:c r="I1284" s="12" t="str">
        <x:v>LIGHT VEHICLE MITSUBISHI PAJERO</x:v>
      </x:c>
      <x:c r="J1284" s="16" t="n">
        <x:v>30</x:v>
      </x:c>
      <x:c r="K1284" s="16" t="n">
        <x:v>60910</x:v>
      </x:c>
      <x:c r="L1284" s="16" t="n">
        <x:v>61077.7</x:v>
      </x:c>
      <x:c r="M1284" s="16" t="n">
        <x:v>167.6999999999971</x:v>
      </x:c>
      <x:c r="N1284" s="16" t="n">
        <x:v>0.17889087656529828</x:v>
      </x:c>
      <x:c r="O1284" s="12" t="str">
        <x:v>FTRL44G005</x:v>
      </x:c>
      <x:c r="P1284" s="12" t="str">
        <x:v>LVMP25R005</x:v>
      </x:c>
      <x:c r="Q1284" s="12" t="str"/>
      <x:c r="R1284" s="12" t="str"/>
      <x:c r="S1284" s="12" t="str"/>
      <x:c r="T1284" s="12" t="str">
        <x:v>ABM</x:v>
      </x:c>
      <x:c r="U1284" s="12" t="str"/>
      <x:c r="V1284" s="12" t="str"/>
      <x:c r="W1284" s="12" t="str"/>
      <x:c r="X1284" s="12" t="str">
        <x:v>LVMP25</x:v>
      </x:c>
      <x:c r="Y1284" s="12" t="str">
        <x:v>WAYAN, ANGGI &amp; ACUNG</x:v>
      </x:c>
      <x:c r="Z1284" s="12" t="str"/>
      <x:c r="AA1284" s="32" t="str">
        <x:f>IFERROR(VLOOKUP(G1284,Master_Unit!$A$2:$N$78,7,FALSE),"")</x:f>
      </x:c>
      <x:c r="AB1284" s="32" t="str">
        <x:f>IF(OR(N1284="",AA1284=""),"",N1284-AA1284)</x:f>
      </x:c>
      <x:c r="AC1284" s="20" t="str">
        <x:f>IF(OR(N1284="",AA1284="",AA1284=0),"",AB1284/AA1284)</x:f>
      </x:c>
      <x:c r="AD1284" t="str">
        <x:f>IF(AA1284="","NO STANDARD",IF(AC1284&lt;=Config_Status!$B$2,"EFFICIENT",IF(AC1284&lt;=Config_Status!$B$3,"NORMAL",IF(AC1284&lt;=Config_Status!$B$4,"WARNING","OVER CONSUMPTION"))))</x:f>
        <x:v>NO STANDARD</x:v>
      </x:c>
      <x:c r="AE1284" t="str">
        <x:f>IFERROR(VLOOKUP(G1284,Master_Unit!$A$2:$N$78,13,FALSE),"UNIT NOT FOUND")</x:f>
        <x:v>No Standard</x:v>
      </x:c>
    </x:row>
    <x:row r="1285">
      <x:c r="A1285" s="12" t="str">
        <x:v>FU-20260620-01284</x:v>
      </x:c>
      <x:c r="B1285" s="12" t="n">
        <x:v>1414</x:v>
      </x:c>
      <x:c r="C1285" s="14" t="n">
        <x:v>46193</x:v>
      </x:c>
      <x:c r="D1285" s="12" t="str">
        <x:v>Sabtu</x:v>
      </x:c>
      <x:c r="E1285" s="12" t="str">
        <x:v>07:15:00</x:v>
      </x:c>
      <x:c r="F1285" s="12" t="str">
        <x:v>All Shift Day</x:v>
      </x:c>
      <x:c r="G1285" s="12" t="str">
        <x:v>EXVV21G035</x:v>
      </x:c>
      <x:c r="H1285" s="12" t="str">
        <x:v>Excavator</x:v>
      </x:c>
      <x:c r="I1285" s="12" t="str">
        <x:v>EXCAVATOR VOLVO EC210D</x:v>
      </x:c>
      <x:c r="J1285" s="16" t="n">
        <x:v>163</x:v>
      </x:c>
      <x:c r="K1285" s="16" t="n">
        <x:v>8531.3</x:v>
      </x:c>
      <x:c r="L1285" s="16" t="n">
        <x:v>8540.7</x:v>
      </x:c>
      <x:c r="M1285" s="16" t="n">
        <x:v>9.400000000001455</x:v>
      </x:c>
      <x:c r="N1285" s="16" t="n">
        <x:v>17.34042553191221</x:v>
      </x:c>
      <x:c r="O1285" s="12" t="str">
        <x:v>FTRL44G005</x:v>
      </x:c>
      <x:c r="P1285" s="12" t="str">
        <x:v>EXVV21G035</x:v>
      </x:c>
      <x:c r="Q1285" s="12" t="str"/>
      <x:c r="R1285" s="12" t="str"/>
      <x:c r="S1285" s="12" t="str"/>
      <x:c r="T1285" s="12" t="str">
        <x:v>ABM</x:v>
      </x:c>
      <x:c r="U1285" s="12" t="str"/>
      <x:c r="V1285" s="12" t="str"/>
      <x:c r="W1285" s="12" t="str"/>
      <x:c r="X1285" s="12" t="str">
        <x:v>EXVV21</x:v>
      </x:c>
      <x:c r="Y1285" s="12" t="str">
        <x:v>WAYAN, ANGGI &amp; ACUNG</x:v>
      </x:c>
      <x:c r="Z1285" s="12" t="str"/>
      <x:c r="AA1285" s="32" t="n">
        <x:f>IFERROR(VLOOKUP(G1285,Master_Unit!$A$2:$N$78,7,FALSE),"")</x:f>
        <x:v>20</x:v>
      </x:c>
      <x:c r="AB1285" s="32" t="n">
        <x:f>IF(OR(N1285="",AA1285=""),"",N1285-AA1285)</x:f>
        <x:v>-2.65957446808779</x:v>
      </x:c>
      <x:c r="AC1285" s="20" t="n">
        <x:f>IF(OR(N1285="",AA1285="",AA1285=0),"",AB1285/AA1285)</x:f>
        <x:v>-0.1329787234043895</x:v>
      </x:c>
      <x:c r="AD1285" t="str">
        <x:f>IF(AA1285="","NO STANDARD",IF(AC1285&lt;=Config_Status!$B$2,"EFFICIENT",IF(AC1285&lt;=Config_Status!$B$3,"NORMAL",IF(AC1285&lt;=Config_Status!$B$4,"WARNING","OVER CONSUMPTION"))))</x:f>
        <x:v>EFFICIENT</x:v>
      </x:c>
      <x:c r="AE1285" t="str">
        <x:f>IFERROR(VLOOKUP(G1285,Master_Unit!$A$2:$N$78,13,FALSE),"UNIT NOT FOUND")</x:f>
        <x:v>Matched</x:v>
      </x:c>
    </x:row>
    <x:row r="1286">
      <x:c r="A1286" s="12" t="str">
        <x:v>FU-20260620-01285</x:v>
      </x:c>
      <x:c r="B1286" s="12" t="n">
        <x:v>1415</x:v>
      </x:c>
      <x:c r="C1286" s="14" t="n">
        <x:v>46193</x:v>
      </x:c>
      <x:c r="D1286" s="12" t="str">
        <x:v>Sabtu</x:v>
      </x:c>
      <x:c r="E1286" s="12" t="str">
        <x:v>07:18:00</x:v>
      </x:c>
      <x:c r="F1286" s="12" t="str">
        <x:v>All Shift Day</x:v>
      </x:c>
      <x:c r="G1286" s="12" t="str">
        <x:v>GSHT10G001</x:v>
      </x:c>
      <x:c r="H1286" s="12" t="str">
        <x:v>Genset</x:v>
      </x:c>
      <x:c r="I1286" s="12" t="str">
        <x:v>GENSET HARTECH HT-10</x:v>
      </x:c>
      <x:c r="J1286" s="16" t="n">
        <x:v>11</x:v>
      </x:c>
      <x:c r="K1286" s="16" t="n">
        <x:v>6023.49</x:v>
      </x:c>
      <x:c r="L1286" s="16" t="n">
        <x:v>6034.23</x:v>
      </x:c>
      <x:c r="M1286" s="16" t="n">
        <x:v>10.739999999999782</x:v>
      </x:c>
      <x:c r="N1286" s="16" t="n">
        <x:v>1.0242085661080282</x:v>
      </x:c>
      <x:c r="O1286" s="12" t="str">
        <x:v>FTRL44G005</x:v>
      </x:c>
      <x:c r="P1286" s="12" t="str">
        <x:v>GSHT10G001</x:v>
      </x:c>
      <x:c r="Q1286" s="12" t="str"/>
      <x:c r="R1286" s="12" t="str"/>
      <x:c r="S1286" s="12" t="str"/>
      <x:c r="T1286" s="12" t="str">
        <x:v>ABM</x:v>
      </x:c>
      <x:c r="U1286" s="12" t="str"/>
      <x:c r="V1286" s="12" t="str"/>
      <x:c r="W1286" s="12" t="str"/>
      <x:c r="X1286" s="12" t="str">
        <x:v>GSHT10</x:v>
      </x:c>
      <x:c r="Y1286" s="12" t="str">
        <x:v>WAYAN, ANGGI &amp; ACUNG</x:v>
      </x:c>
      <x:c r="Z1286" s="12" t="str"/>
      <x:c r="AA1286" s="32" t="n">
        <x:f>IFERROR(VLOOKUP(G1286,Master_Unit!$A$2:$N$78,7,FALSE),"")</x:f>
        <x:v>3</x:v>
      </x:c>
      <x:c r="AB1286" s="32" t="n">
        <x:f>IF(OR(N1286="",AA1286=""),"",N1286-AA1286)</x:f>
        <x:v>-1.9757914338919718</x:v>
      </x:c>
      <x:c r="AC1286" s="20" t="n">
        <x:f>IF(OR(N1286="",AA1286="",AA1286=0),"",AB1286/AA1286)</x:f>
        <x:v>-0.6585971446306572</x:v>
      </x:c>
      <x:c r="AD1286" t="str">
        <x:f>IF(AA1286="","NO STANDARD",IF(AC1286&lt;=Config_Status!$B$2,"EFFICIENT",IF(AC1286&lt;=Config_Status!$B$3,"NORMAL",IF(AC1286&lt;=Config_Status!$B$4,"WARNING","OVER CONSUMPTION"))))</x:f>
        <x:v>EFFICIENT</x:v>
      </x:c>
      <x:c r="AE1286" t="str">
        <x:f>IFERROR(VLOOKUP(G1286,Master_Unit!$A$2:$N$78,13,FALSE),"UNIT NOT FOUND")</x:f>
        <x:v>Matched</x:v>
      </x:c>
    </x:row>
    <x:row r="1287">
      <x:c r="A1287" s="12" t="str">
        <x:v>FU-20260620-01286</x:v>
      </x:c>
      <x:c r="B1287" s="12" t="n">
        <x:v>1416</x:v>
      </x:c>
      <x:c r="C1287" s="14" t="n">
        <x:v>46193</x:v>
      </x:c>
      <x:c r="D1287" s="12" t="str">
        <x:v>Sabtu</x:v>
      </x:c>
      <x:c r="E1287" s="12" t="str">
        <x:v>07:30:00</x:v>
      </x:c>
      <x:c r="F1287" s="12" t="str">
        <x:v>All Shift Day</x:v>
      </x:c>
      <x:c r="G1287" s="12" t="str">
        <x:v>EXVV35G005</x:v>
      </x:c>
      <x:c r="H1287" s="12" t="str">
        <x:v>Excavator</x:v>
      </x:c>
      <x:c r="I1287" s="12" t="str">
        <x:v>EXCAVATOR VOLVO EC350D</x:v>
      </x:c>
      <x:c r="J1287" s="16" t="n">
        <x:v>229</x:v>
      </x:c>
      <x:c r="K1287" s="16" t="n">
        <x:v>5312</x:v>
      </x:c>
      <x:c r="L1287" s="16" t="n">
        <x:v>5319.8</x:v>
      </x:c>
      <x:c r="M1287" s="16" t="n">
        <x:v>7.800000000000182</x:v>
      </x:c>
      <x:c r="N1287" s="16" t="n">
        <x:v>29.358974358973676</x:v>
      </x:c>
      <x:c r="O1287" s="12" t="str">
        <x:v>FTRL44G005</x:v>
      </x:c>
      <x:c r="P1287" s="12" t="str">
        <x:v>EXVV35G005</x:v>
      </x:c>
      <x:c r="Q1287" s="12" t="str"/>
      <x:c r="R1287" s="12" t="str"/>
      <x:c r="S1287" s="12" t="str"/>
      <x:c r="T1287" s="12" t="str">
        <x:v>ABM</x:v>
      </x:c>
      <x:c r="U1287" s="12" t="str"/>
      <x:c r="V1287" s="12" t="str"/>
      <x:c r="W1287" s="12" t="str"/>
      <x:c r="X1287" s="12" t="str">
        <x:v>EXVV35</x:v>
      </x:c>
      <x:c r="Y1287" s="12" t="str">
        <x:v>WAYAN, ANGGI &amp; ACUNG</x:v>
      </x:c>
      <x:c r="Z1287" s="12" t="str"/>
      <x:c r="AA1287" s="32" t="n">
        <x:f>IFERROR(VLOOKUP(G1287,Master_Unit!$A$2:$N$78,7,FALSE),"")</x:f>
        <x:v>25</x:v>
      </x:c>
      <x:c r="AB1287" s="32" t="n">
        <x:f>IF(OR(N1287="",AA1287=""),"",N1287-AA1287)</x:f>
        <x:v>4.358974358973676</x:v>
      </x:c>
      <x:c r="AC1287" s="20" t="n">
        <x:f>IF(OR(N1287="",AA1287="",AA1287=0),"",AB1287/AA1287)</x:f>
        <x:v>0.174358974358947</x:v>
      </x:c>
      <x:c r="AD1287" t="str">
        <x:f>IF(AA1287="","NO STANDARD",IF(AC1287&lt;=Config_Status!$B$2,"EFFICIENT",IF(AC1287&lt;=Config_Status!$B$3,"NORMAL",IF(AC1287&lt;=Config_Status!$B$4,"WARNING","OVER CONSUMPTION"))))</x:f>
        <x:v>WARNING</x:v>
      </x:c>
      <x:c r="AE1287" t="str">
        <x:f>IFERROR(VLOOKUP(G1287,Master_Unit!$A$2:$N$78,13,FALSE),"UNIT NOT FOUND")</x:f>
        <x:v>Matched</x:v>
      </x:c>
    </x:row>
    <x:row r="1288">
      <x:c r="A1288" s="12" t="str">
        <x:v>FU-20260620-01287</x:v>
      </x:c>
      <x:c r="B1288" s="12" t="n">
        <x:v>1417</x:v>
      </x:c>
      <x:c r="C1288" s="14" t="n">
        <x:v>46193</x:v>
      </x:c>
      <x:c r="D1288" s="12" t="str">
        <x:v>Sabtu</x:v>
      </x:c>
      <x:c r="E1288" s="12" t="str">
        <x:v>07:39:00</x:v>
      </x:c>
      <x:c r="F1288" s="12" t="str">
        <x:v>All Shift Day</x:v>
      </x:c>
      <x:c r="G1288" s="12" t="str">
        <x:v>EXVV35G007</x:v>
      </x:c>
      <x:c r="H1288" s="12" t="str">
        <x:v>Excavator</x:v>
      </x:c>
      <x:c r="I1288" s="12" t="str">
        <x:v>EXCAVATOR VOLVO EC350D</x:v>
      </x:c>
      <x:c r="J1288" s="16" t="n">
        <x:v>230</x:v>
      </x:c>
      <x:c r="K1288" s="16" t="n">
        <x:v>684.6</x:v>
      </x:c>
      <x:c r="L1288" s="16" t="n">
        <x:v>694.8</x:v>
      </x:c>
      <x:c r="M1288" s="16" t="n">
        <x:v>10.199999999999932</x:v>
      </x:c>
      <x:c r="N1288" s="16" t="n">
        <x:v>22.549019607843288</x:v>
      </x:c>
      <x:c r="O1288" s="12" t="str">
        <x:v>FTRL44G005</x:v>
      </x:c>
      <x:c r="P1288" s="12" t="str">
        <x:v>EXVV35G007</x:v>
      </x:c>
      <x:c r="Q1288" s="12" t="str"/>
      <x:c r="R1288" s="12" t="str"/>
      <x:c r="S1288" s="12" t="str"/>
      <x:c r="T1288" s="12" t="str">
        <x:v>ABM</x:v>
      </x:c>
      <x:c r="U1288" s="12" t="str"/>
      <x:c r="V1288" s="12" t="str"/>
      <x:c r="W1288" s="12" t="str"/>
      <x:c r="X1288" s="12" t="str">
        <x:v>EXVV35</x:v>
      </x:c>
      <x:c r="Y1288" s="12" t="str">
        <x:v>WAYAN, ANGGI &amp; ACUNG</x:v>
      </x:c>
      <x:c r="Z1288" s="12" t="str"/>
      <x:c r="AA1288" s="32" t="n">
        <x:f>IFERROR(VLOOKUP(G1288,Master_Unit!$A$2:$N$78,7,FALSE),"")</x:f>
        <x:v>25</x:v>
      </x:c>
      <x:c r="AB1288" s="32" t="n">
        <x:f>IF(OR(N1288="",AA1288=""),"",N1288-AA1288)</x:f>
        <x:v>-2.450980392156712</x:v>
      </x:c>
      <x:c r="AC1288" s="20" t="n">
        <x:f>IF(OR(N1288="",AA1288="",AA1288=0),"",AB1288/AA1288)</x:f>
        <x:v>-0.09803921568626847</x:v>
      </x:c>
      <x:c r="AD1288" t="str">
        <x:f>IF(AA1288="","NO STANDARD",IF(AC1288&lt;=Config_Status!$B$2,"EFFICIENT",IF(AC1288&lt;=Config_Status!$B$3,"NORMAL",IF(AC1288&lt;=Config_Status!$B$4,"WARNING","OVER CONSUMPTION"))))</x:f>
        <x:v>NORMAL</x:v>
      </x:c>
      <x:c r="AE1288" t="str">
        <x:f>IFERROR(VLOOKUP(G1288,Master_Unit!$A$2:$N$78,13,FALSE),"UNIT NOT FOUND")</x:f>
        <x:v>Matched</x:v>
      </x:c>
    </x:row>
    <x:row r="1289">
      <x:c r="A1289" s="12" t="str">
        <x:v>FU-20260620-01288</x:v>
      </x:c>
      <x:c r="B1289" s="12" t="n">
        <x:v>1418</x:v>
      </x:c>
      <x:c r="C1289" s="14" t="n">
        <x:v>46193</x:v>
      </x:c>
      <x:c r="D1289" s="12" t="str">
        <x:v>Sabtu</x:v>
      </x:c>
      <x:c r="E1289" s="12" t="str">
        <x:v>07:45:00</x:v>
      </x:c>
      <x:c r="F1289" s="12" t="str">
        <x:v>All Shift Day</x:v>
      </x:c>
      <x:c r="G1289" s="12" t="str">
        <x:v>EXVV21G032</x:v>
      </x:c>
      <x:c r="H1289" s="12" t="str">
        <x:v>Excavator</x:v>
      </x:c>
      <x:c r="I1289" s="12" t="str">
        <x:v>EXCAVATOR VOLVO EC210D</x:v>
      </x:c>
      <x:c r="J1289" s="16" t="n">
        <x:v>159</x:v>
      </x:c>
      <x:c r="K1289" s="16" t="n">
        <x:v>7657</x:v>
      </x:c>
      <x:c r="L1289" s="16" t="n">
        <x:v>7666.7</x:v>
      </x:c>
      <x:c r="M1289" s="16" t="n">
        <x:v>9.699999999999818</x:v>
      </x:c>
      <x:c r="N1289" s="16" t="n">
        <x:v>16.391752577319895</x:v>
      </x:c>
      <x:c r="O1289" s="12" t="str">
        <x:v>FTRL44G005</x:v>
      </x:c>
      <x:c r="P1289" s="12" t="str">
        <x:v>EXVV21G032</x:v>
      </x:c>
      <x:c r="Q1289" s="12" t="str"/>
      <x:c r="R1289" s="12" t="str"/>
      <x:c r="S1289" s="12" t="str"/>
      <x:c r="T1289" s="12" t="str">
        <x:v>ABM</x:v>
      </x:c>
      <x:c r="U1289" s="12" t="str"/>
      <x:c r="V1289" s="12" t="str"/>
      <x:c r="W1289" s="12" t="str"/>
      <x:c r="X1289" s="12" t="str">
        <x:v>EXVV21</x:v>
      </x:c>
      <x:c r="Y1289" s="12" t="str">
        <x:v>WAYAN, ANGGI &amp; ACUNG</x:v>
      </x:c>
      <x:c r="Z1289" s="12" t="str"/>
      <x:c r="AA1289" s="32" t="n">
        <x:f>IFERROR(VLOOKUP(G1289,Master_Unit!$A$2:$N$78,7,FALSE),"")</x:f>
        <x:v>20</x:v>
      </x:c>
      <x:c r="AB1289" s="32" t="n">
        <x:f>IF(OR(N1289="",AA1289=""),"",N1289-AA1289)</x:f>
        <x:v>-3.6082474226801047</x:v>
      </x:c>
      <x:c r="AC1289" s="20" t="n">
        <x:f>IF(OR(N1289="",AA1289="",AA1289=0),"",AB1289/AA1289)</x:f>
        <x:v>-0.18041237113400524</x:v>
      </x:c>
      <x:c r="AD1289" t="str">
        <x:f>IF(AA1289="","NO STANDARD",IF(AC1289&lt;=Config_Status!$B$2,"EFFICIENT",IF(AC1289&lt;=Config_Status!$B$3,"NORMAL",IF(AC1289&lt;=Config_Status!$B$4,"WARNING","OVER CONSUMPTION"))))</x:f>
        <x:v>EFFICIENT</x:v>
      </x:c>
      <x:c r="AE1289" t="str">
        <x:f>IFERROR(VLOOKUP(G1289,Master_Unit!$A$2:$N$78,13,FALSE),"UNIT NOT FOUND")</x:f>
        <x:v>Matched</x:v>
      </x:c>
    </x:row>
    <x:row r="1290">
      <x:c r="A1290" s="12" t="str">
        <x:v>FU-20260620-01289</x:v>
      </x:c>
      <x:c r="B1290" s="12" t="n">
        <x:v>1419</x:v>
      </x:c>
      <x:c r="C1290" s="14" t="n">
        <x:v>46193</x:v>
      </x:c>
      <x:c r="D1290" s="12" t="str">
        <x:v>Sabtu</x:v>
      </x:c>
      <x:c r="E1290" s="12" t="str">
        <x:v>07:50:00</x:v>
      </x:c>
      <x:c r="F1290" s="12" t="str">
        <x:v>All Shift Day</x:v>
      </x:c>
      <x:c r="G1290" s="12" t="str">
        <x:v>EXVV21G043</x:v>
      </x:c>
      <x:c r="H1290" s="12" t="str">
        <x:v>Excavator</x:v>
      </x:c>
      <x:c r="I1290" s="12" t="str">
        <x:v>EXCAVATOR VOLVO EC210D</x:v>
      </x:c>
      <x:c r="J1290" s="16" t="n">
        <x:v>151</x:v>
      </x:c>
      <x:c r="K1290" s="16" t="n">
        <x:v>5424.4</x:v>
      </x:c>
      <x:c r="L1290" s="16" t="n">
        <x:v>5435.3</x:v>
      </x:c>
      <x:c r="M1290" s="16" t="n">
        <x:v>10.900000000000546</x:v>
      </x:c>
      <x:c r="N1290" s="16" t="n">
        <x:v>13.853211009173618</x:v>
      </x:c>
      <x:c r="O1290" s="12" t="str">
        <x:v>FTRL44G005</x:v>
      </x:c>
      <x:c r="P1290" s="12" t="str">
        <x:v>EXVV21G043</x:v>
      </x:c>
      <x:c r="Q1290" s="12" t="str"/>
      <x:c r="R1290" s="12" t="str"/>
      <x:c r="S1290" s="12" t="str"/>
      <x:c r="T1290" s="12" t="str">
        <x:v>ABM</x:v>
      </x:c>
      <x:c r="U1290" s="12" t="str"/>
      <x:c r="V1290" s="12" t="str"/>
      <x:c r="W1290" s="12" t="str"/>
      <x:c r="X1290" s="12" t="str">
        <x:v>EXVV21</x:v>
      </x:c>
      <x:c r="Y1290" s="12" t="str">
        <x:v>WAYAN, ANGGI &amp; ACUNG</x:v>
      </x:c>
      <x:c r="Z1290" s="12" t="str"/>
      <x:c r="AA1290" s="32" t="n">
        <x:f>IFERROR(VLOOKUP(G1290,Master_Unit!$A$2:$N$78,7,FALSE),"")</x:f>
        <x:v>20</x:v>
      </x:c>
      <x:c r="AB1290" s="32" t="n">
        <x:f>IF(OR(N1290="",AA1290=""),"",N1290-AA1290)</x:f>
        <x:v>-6.146788990826382</x:v>
      </x:c>
      <x:c r="AC1290" s="20" t="n">
        <x:f>IF(OR(N1290="",AA1290="",AA1290=0),"",AB1290/AA1290)</x:f>
        <x:v>-0.3073394495413191</x:v>
      </x:c>
      <x:c r="AD1290" t="str">
        <x:f>IF(AA1290="","NO STANDARD",IF(AC1290&lt;=Config_Status!$B$2,"EFFICIENT",IF(AC1290&lt;=Config_Status!$B$3,"NORMAL",IF(AC1290&lt;=Config_Status!$B$4,"WARNING","OVER CONSUMPTION"))))</x:f>
        <x:v>EFFICIENT</x:v>
      </x:c>
      <x:c r="AE1290" t="str">
        <x:f>IFERROR(VLOOKUP(G1290,Master_Unit!$A$2:$N$78,13,FALSE),"UNIT NOT FOUND")</x:f>
        <x:v>Matched</x:v>
      </x:c>
    </x:row>
    <x:row r="1291">
      <x:c r="A1291" s="12" t="str">
        <x:v>FU-20260620-01290</x:v>
      </x:c>
      <x:c r="B1291" s="12" t="n">
        <x:v>1420</x:v>
      </x:c>
      <x:c r="C1291" s="14" t="n">
        <x:v>46193</x:v>
      </x:c>
      <x:c r="D1291" s="12" t="str">
        <x:v>Sabtu</x:v>
      </x:c>
      <x:c r="E1291" s="12" t="str">
        <x:v>07:53:00</x:v>
      </x:c>
      <x:c r="F1291" s="12" t="str">
        <x:v>All Shift Day</x:v>
      </x:c>
      <x:c r="G1291" s="12" t="str">
        <x:v>WFIZ15G001</x:v>
      </x:c>
      <x:c r="H1291" s="12" t="str">
        <x:v>Other</x:v>
      </x:c>
      <x:c r="I1291" s="12" t="str">
        <x:v>WATERFILL ISUZU ELF-150</x:v>
      </x:c>
      <x:c r="J1291" s="16" t="n">
        <x:v>20</x:v>
      </x:c>
      <x:c r="K1291" s="16" t="n">
        <x:v>474</x:v>
      </x:c>
      <x:c r="L1291" s="16" t="n">
        <x:v>484</x:v>
      </x:c>
      <x:c r="M1291" s="16" t="n">
        <x:v>10</x:v>
      </x:c>
      <x:c r="N1291" s="16" t="n">
        <x:v>2</x:v>
      </x:c>
      <x:c r="O1291" s="12" t="str">
        <x:v>FTRL44G005</x:v>
      </x:c>
      <x:c r="P1291" s="12" t="str">
        <x:v>WFIZ15G001</x:v>
      </x:c>
      <x:c r="Q1291" s="12" t="str"/>
      <x:c r="R1291" s="12" t="str"/>
      <x:c r="S1291" s="12" t="str"/>
      <x:c r="T1291" s="12" t="str">
        <x:v>ABM</x:v>
      </x:c>
      <x:c r="U1291" s="12" t="str"/>
      <x:c r="V1291" s="12" t="str"/>
      <x:c r="W1291" s="12" t="str"/>
      <x:c r="X1291" s="12" t="str">
        <x:v>WFIZ15</x:v>
      </x:c>
      <x:c r="Y1291" s="12" t="str">
        <x:v>WAYAN, ANGGI &amp; ACUNG</x:v>
      </x:c>
      <x:c r="Z1291" s="12" t="str"/>
      <x:c r="AA1291" s="32" t="str">
        <x:f>IFERROR(VLOOKUP(G1291,Master_Unit!$A$2:$N$78,7,FALSE),"")</x:f>
      </x:c>
      <x:c r="AB1291" s="32" t="str">
        <x:f>IF(OR(N1291="",AA1291=""),"",N1291-AA1291)</x:f>
      </x:c>
      <x:c r="AC1291" s="20" t="str">
        <x:f>IF(OR(N1291="",AA1291="",AA1291=0),"",AB1291/AA1291)</x:f>
      </x:c>
      <x:c r="AD1291" t="str">
        <x:f>IF(AA1291="","NO STANDARD",IF(AC1291&lt;=Config_Status!$B$2,"EFFICIENT",IF(AC1291&lt;=Config_Status!$B$3,"NORMAL",IF(AC1291&lt;=Config_Status!$B$4,"WARNING","OVER CONSUMPTION"))))</x:f>
        <x:v>NO STANDARD</x:v>
      </x:c>
      <x:c r="AE1291" t="str">
        <x:f>IFERROR(VLOOKUP(G1291,Master_Unit!$A$2:$N$78,13,FALSE),"UNIT NOT FOUND")</x:f>
        <x:v>No Standard</x:v>
      </x:c>
    </x:row>
    <x:row r="1292">
      <x:c r="A1292" s="12" t="str">
        <x:v>FU-20260620-01291</x:v>
      </x:c>
      <x:c r="B1292" s="12" t="n">
        <x:v>1421</x:v>
      </x:c>
      <x:c r="C1292" s="14" t="n">
        <x:v>46193</x:v>
      </x:c>
      <x:c r="D1292" s="12" t="str">
        <x:v>Sabtu</x:v>
      </x:c>
      <x:c r="E1292" s="12" t="str">
        <x:v>07:54:00</x:v>
      </x:c>
      <x:c r="F1292" s="12" t="str">
        <x:v>All Shift Day</x:v>
      </x:c>
      <x:c r="G1292" s="12" t="str">
        <x:v>LVTH24R053</x:v>
      </x:c>
      <x:c r="H1292" s="12" t="str">
        <x:v>Light Vehicle</x:v>
      </x:c>
      <x:c r="I1292" s="12" t="str">
        <x:v>LIGHT VEHICLE TOYOTA HILUX</x:v>
      </x:c>
      <x:c r="J1292" s="16" t="n">
        <x:v>46</x:v>
      </x:c>
      <x:c r="K1292" s="16" t="n">
        <x:v>25468</x:v>
      </x:c>
      <x:c r="L1292" s="16" t="n">
        <x:v>25795</x:v>
      </x:c>
      <x:c r="M1292" s="16" t="n">
        <x:v>327</x:v>
      </x:c>
      <x:c r="N1292" s="16" t="n">
        <x:v>0.14067278287461774</x:v>
      </x:c>
      <x:c r="O1292" s="12" t="str">
        <x:v>FTRL44G005</x:v>
      </x:c>
      <x:c r="P1292" s="12" t="str">
        <x:v>LVTH24R053</x:v>
      </x:c>
      <x:c r="Q1292" s="12" t="str"/>
      <x:c r="R1292" s="12" t="str"/>
      <x:c r="S1292" s="12" t="str"/>
      <x:c r="T1292" s="12" t="str">
        <x:v>ABM</x:v>
      </x:c>
      <x:c r="U1292" s="12" t="str"/>
      <x:c r="V1292" s="12" t="str"/>
      <x:c r="W1292" s="12" t="str"/>
      <x:c r="X1292" s="12" t="str">
        <x:v>LVTH24</x:v>
      </x:c>
      <x:c r="Y1292" s="12" t="str">
        <x:v>WAYAN, ANGGI &amp; ACUNG</x:v>
      </x:c>
      <x:c r="Z1292" s="12" t="str"/>
      <x:c r="AA1292" s="32" t="n">
        <x:f>IFERROR(VLOOKUP(G1292,Master_Unit!$A$2:$N$78,7,FALSE),"")</x:f>
        <x:v>0.2</x:v>
      </x:c>
      <x:c r="AB1292" s="32" t="n">
        <x:f>IF(OR(N1292="",AA1292=""),"",N1292-AA1292)</x:f>
        <x:v>-0.059327217125382276</x:v>
      </x:c>
      <x:c r="AC1292" s="20" t="n">
        <x:f>IF(OR(N1292="",AA1292="",AA1292=0),"",AB1292/AA1292)</x:f>
        <x:v>-0.29663608562691135</x:v>
      </x:c>
      <x:c r="AD1292" t="str">
        <x:f>IF(AA1292="","NO STANDARD",IF(AC1292&lt;=Config_Status!$B$2,"EFFICIENT",IF(AC1292&lt;=Config_Status!$B$3,"NORMAL",IF(AC1292&lt;=Config_Status!$B$4,"WARNING","OVER CONSUMPTION"))))</x:f>
        <x:v>EFFICIENT</x:v>
      </x:c>
      <x:c r="AE1292" t="str">
        <x:f>IFERROR(VLOOKUP(G1292,Master_Unit!$A$2:$N$78,13,FALSE),"UNIT NOT FOUND")</x:f>
        <x:v>Matched</x:v>
      </x:c>
    </x:row>
    <x:row r="1293">
      <x:c r="A1293" s="12" t="str">
        <x:v>FU-20260620-01292</x:v>
      </x:c>
      <x:c r="B1293" s="12" t="n">
        <x:v>1422</x:v>
      </x:c>
      <x:c r="C1293" s="14" t="n">
        <x:v>46193</x:v>
      </x:c>
      <x:c r="D1293" s="12" t="str">
        <x:v>Sabtu</x:v>
      </x:c>
      <x:c r="E1293" s="12" t="str">
        <x:v>07:59:00</x:v>
      </x:c>
      <x:c r="F1293" s="12" t="str">
        <x:v>All Shift Day</x:v>
      </x:c>
      <x:c r="G1293" s="12" t="str">
        <x:v>WTRL44G006</x:v>
      </x:c>
      <x:c r="H1293" s="12" t="str">
        <x:v>Water Truck</x:v>
      </x:c>
      <x:c r="I1293" s="12" t="str">
        <x:v>WATER TRUCK RENAULT KRANGE440-P6X4 A/T</x:v>
      </x:c>
      <x:c r="J1293" s="16" t="n">
        <x:v>110</x:v>
      </x:c>
      <x:c r="K1293" s="16" t="n">
        <x:v>2073</x:v>
      </x:c>
      <x:c r="L1293" s="16" t="n">
        <x:v>2081</x:v>
      </x:c>
      <x:c r="M1293" s="16" t="n">
        <x:v>8</x:v>
      </x:c>
      <x:c r="N1293" s="16" t="n">
        <x:v>13.75</x:v>
      </x:c>
      <x:c r="O1293" s="12" t="str">
        <x:v>FTRL44G005</x:v>
      </x:c>
      <x:c r="P1293" s="12" t="str">
        <x:v>WTRL44G006</x:v>
      </x:c>
      <x:c r="Q1293" s="12" t="str"/>
      <x:c r="R1293" s="12" t="str"/>
      <x:c r="S1293" s="12" t="str"/>
      <x:c r="T1293" s="12" t="str">
        <x:v>ABM</x:v>
      </x:c>
      <x:c r="U1293" s="12" t="str"/>
      <x:c r="V1293" s="12" t="str"/>
      <x:c r="W1293" s="12" t="str"/>
      <x:c r="X1293" s="12" t="str">
        <x:v>WTRL44</x:v>
      </x:c>
      <x:c r="Y1293" s="12" t="str">
        <x:v>WAYAN, ANGGI &amp; ACUNG</x:v>
      </x:c>
      <x:c r="Z1293" s="12" t="str"/>
      <x:c r="AA1293" s="32" t="n">
        <x:f>IFERROR(VLOOKUP(G1293,Master_Unit!$A$2:$N$78,7,FALSE),"")</x:f>
        <x:v>20</x:v>
      </x:c>
      <x:c r="AB1293" s="32" t="n">
        <x:f>IF(OR(N1293="",AA1293=""),"",N1293-AA1293)</x:f>
        <x:v>-6.25</x:v>
      </x:c>
      <x:c r="AC1293" s="20" t="n">
        <x:f>IF(OR(N1293="",AA1293="",AA1293=0),"",AB1293/AA1293)</x:f>
        <x:v>-0.3125</x:v>
      </x:c>
      <x:c r="AD1293" t="str">
        <x:f>IF(AA1293="","NO STANDARD",IF(AC1293&lt;=Config_Status!$B$2,"EFFICIENT",IF(AC1293&lt;=Config_Status!$B$3,"NORMAL",IF(AC1293&lt;=Config_Status!$B$4,"WARNING","OVER CONSUMPTION"))))</x:f>
        <x:v>EFFICIENT</x:v>
      </x:c>
      <x:c r="AE1293" t="str">
        <x:f>IFERROR(VLOOKUP(G1293,Master_Unit!$A$2:$N$78,13,FALSE),"UNIT NOT FOUND")</x:f>
        <x:v>Matched</x:v>
      </x:c>
    </x:row>
    <x:row r="1294">
      <x:c r="A1294" s="12" t="str">
        <x:v>FU-20260620-01293</x:v>
      </x:c>
      <x:c r="B1294" s="12" t="n">
        <x:v>1423</x:v>
      </x:c>
      <x:c r="C1294" s="14" t="n">
        <x:v>46193</x:v>
      </x:c>
      <x:c r="D1294" s="12" t="str">
        <x:v>Sabtu</x:v>
      </x:c>
      <x:c r="E1294" s="12" t="str">
        <x:v>08:05:00</x:v>
      </x:c>
      <x:c r="F1294" s="12" t="str">
        <x:v>All Shift Day</x:v>
      </x:c>
      <x:c r="G1294" s="12" t="str">
        <x:v>LVTH24R024</x:v>
      </x:c>
      <x:c r="H1294" s="12" t="str">
        <x:v>Light Vehicle</x:v>
      </x:c>
      <x:c r="I1294" s="12" t="str">
        <x:v>LIGHT VEHICLE TOYOTA HILUX</x:v>
      </x:c>
      <x:c r="J1294" s="16" t="n">
        <x:v>20</x:v>
      </x:c>
      <x:c r="K1294" s="16" t="n">
        <x:v>47086</x:v>
      </x:c>
      <x:c r="L1294" s="16" t="n">
        <x:v>47175</x:v>
      </x:c>
      <x:c r="M1294" s="16" t="n">
        <x:v>89</x:v>
      </x:c>
      <x:c r="N1294" s="16" t="n">
        <x:v>0.2247191011235955</x:v>
      </x:c>
      <x:c r="O1294" s="12" t="str">
        <x:v>FTRL44G005</x:v>
      </x:c>
      <x:c r="P1294" s="12" t="str">
        <x:v>LVTH24R024</x:v>
      </x:c>
      <x:c r="Q1294" s="12" t="str"/>
      <x:c r="R1294" s="12" t="str"/>
      <x:c r="S1294" s="12" t="str"/>
      <x:c r="T1294" s="12" t="str">
        <x:v>ABM</x:v>
      </x:c>
      <x:c r="U1294" s="12" t="str"/>
      <x:c r="V1294" s="12" t="str"/>
      <x:c r="W1294" s="12" t="str"/>
      <x:c r="X1294" s="12" t="str">
        <x:v>LVTH24</x:v>
      </x:c>
      <x:c r="Y1294" s="12" t="str">
        <x:v>WAYAN, ANGGI &amp; ACUNG</x:v>
      </x:c>
      <x:c r="Z1294" s="12" t="str"/>
      <x:c r="AA1294" s="32" t="n">
        <x:f>IFERROR(VLOOKUP(G1294,Master_Unit!$A$2:$N$78,7,FALSE),"")</x:f>
        <x:v>0.2</x:v>
      </x:c>
      <x:c r="AB1294" s="32" t="n">
        <x:f>IF(OR(N1294="",AA1294=""),"",N1294-AA1294)</x:f>
        <x:v>0.02471910112359549</x:v>
      </x:c>
      <x:c r="AC1294" s="20" t="n">
        <x:f>IF(OR(N1294="",AA1294="",AA1294=0),"",AB1294/AA1294)</x:f>
        <x:v>0.12359550561797744</x:v>
      </x:c>
      <x:c r="AD1294" t="str">
        <x:f>IF(AA1294="","NO STANDARD",IF(AC1294&lt;=Config_Status!$B$2,"EFFICIENT",IF(AC1294&lt;=Config_Status!$B$3,"NORMAL",IF(AC1294&lt;=Config_Status!$B$4,"WARNING","OVER CONSUMPTION"))))</x:f>
        <x:v>WARNING</x:v>
      </x:c>
      <x:c r="AE1294" t="str">
        <x:f>IFERROR(VLOOKUP(G1294,Master_Unit!$A$2:$N$78,13,FALSE),"UNIT NOT FOUND")</x:f>
        <x:v>Matched</x:v>
      </x:c>
    </x:row>
    <x:row r="1295">
      <x:c r="A1295" s="12" t="str">
        <x:v>FU-20260620-01294</x:v>
      </x:c>
      <x:c r="B1295" s="12" t="n">
        <x:v>1424</x:v>
      </x:c>
      <x:c r="C1295" s="14" t="n">
        <x:v>46193</x:v>
      </x:c>
      <x:c r="D1295" s="12" t="str">
        <x:v>Sabtu</x:v>
      </x:c>
      <x:c r="E1295" s="12" t="str">
        <x:v>08:06:00</x:v>
      </x:c>
      <x:c r="F1295" s="12" t="str">
        <x:v>All Shift Day</x:v>
      </x:c>
      <x:c r="G1295" s="12" t="str">
        <x:v>LVTH24R033</x:v>
      </x:c>
      <x:c r="H1295" s="12" t="str">
        <x:v>Light Vehicle</x:v>
      </x:c>
      <x:c r="I1295" s="12" t="str">
        <x:v>LIGHT VEHICLE TOYOTA HILUX</x:v>
      </x:c>
      <x:c r="J1295" s="16" t="n">
        <x:v>27</x:v>
      </x:c>
      <x:c r="K1295" s="16" t="n">
        <x:v>140502</x:v>
      </x:c>
      <x:c r="L1295" s="16" t="n">
        <x:v>140652</x:v>
      </x:c>
      <x:c r="M1295" s="16" t="n">
        <x:v>150</x:v>
      </x:c>
      <x:c r="N1295" s="16" t="n">
        <x:v>0.18</x:v>
      </x:c>
      <x:c r="O1295" s="12" t="str">
        <x:v>FTRL44G005</x:v>
      </x:c>
      <x:c r="P1295" s="12" t="str">
        <x:v>LVTH24R033</x:v>
      </x:c>
      <x:c r="Q1295" s="12" t="str"/>
      <x:c r="R1295" s="12" t="str"/>
      <x:c r="S1295" s="12" t="str"/>
      <x:c r="T1295" s="12" t="str">
        <x:v>ABM</x:v>
      </x:c>
      <x:c r="U1295" s="12" t="str"/>
      <x:c r="V1295" s="12" t="str"/>
      <x:c r="W1295" s="12" t="str"/>
      <x:c r="X1295" s="12" t="str">
        <x:v>LVTH24</x:v>
      </x:c>
      <x:c r="Y1295" s="12" t="str">
        <x:v>WAYAN, ANGGI &amp; ACUNG</x:v>
      </x:c>
      <x:c r="Z1295" s="12" t="str"/>
      <x:c r="AA1295" s="32" t="n">
        <x:f>IFERROR(VLOOKUP(G1295,Master_Unit!$A$2:$N$78,7,FALSE),"")</x:f>
        <x:v>0.2</x:v>
      </x:c>
      <x:c r="AB1295" s="32" t="n">
        <x:f>IF(OR(N1295="",AA1295=""),"",N1295-AA1295)</x:f>
        <x:v>-0.020000000000000018</x:v>
      </x:c>
      <x:c r="AC1295" s="20" t="n">
        <x:f>IF(OR(N1295="",AA1295="",AA1295=0),"",AB1295/AA1295)</x:f>
        <x:v>-0.10000000000000009</x:v>
      </x:c>
      <x:c r="AD1295" t="str">
        <x:f>IF(AA1295="","NO STANDARD",IF(AC1295&lt;=Config_Status!$B$2,"EFFICIENT",IF(AC1295&lt;=Config_Status!$B$3,"NORMAL",IF(AC1295&lt;=Config_Status!$B$4,"WARNING","OVER CONSUMPTION"))))</x:f>
        <x:v>EFFICIENT</x:v>
      </x:c>
      <x:c r="AE1295" t="str">
        <x:f>IFERROR(VLOOKUP(G1295,Master_Unit!$A$2:$N$78,13,FALSE),"UNIT NOT FOUND")</x:f>
        <x:v>Matched</x:v>
      </x:c>
    </x:row>
    <x:row r="1296">
      <x:c r="A1296" s="12" t="str">
        <x:v>FU-20260620-01295</x:v>
      </x:c>
      <x:c r="B1296" s="12" t="n">
        <x:v>1425</x:v>
      </x:c>
      <x:c r="C1296" s="14" t="n">
        <x:v>46193</x:v>
      </x:c>
      <x:c r="D1296" s="12" t="str">
        <x:v>Sabtu</x:v>
      </x:c>
      <x:c r="E1296" s="12" t="str">
        <x:v>08:08:00</x:v>
      </x:c>
      <x:c r="F1296" s="12" t="str">
        <x:v>All Shift Day</x:v>
      </x:c>
      <x:c r="G1296" s="12" t="str">
        <x:v>LVTH24R036</x:v>
      </x:c>
      <x:c r="H1296" s="12" t="str">
        <x:v>Light Vehicle</x:v>
      </x:c>
      <x:c r="I1296" s="12" t="str">
        <x:v>LIGHT VEHICLE TOYOTA HILUX</x:v>
      </x:c>
      <x:c r="J1296" s="16" t="n">
        <x:v>20</x:v>
      </x:c>
      <x:c r="K1296" s="16" t="n">
        <x:v>63543</x:v>
      </x:c>
      <x:c r="L1296" s="16" t="n">
        <x:v>63578</x:v>
      </x:c>
      <x:c r="M1296" s="16" t="n">
        <x:v>35</x:v>
      </x:c>
      <x:c r="N1296" s="16" t="n">
        <x:v>0.5714285714285714</x:v>
      </x:c>
      <x:c r="O1296" s="12" t="str">
        <x:v>FTRL44G005</x:v>
      </x:c>
      <x:c r="P1296" s="12" t="str">
        <x:v>LVTH24R036</x:v>
      </x:c>
      <x:c r="Q1296" s="12" t="str"/>
      <x:c r="R1296" s="12" t="str"/>
      <x:c r="S1296" s="12" t="str"/>
      <x:c r="T1296" s="12" t="str">
        <x:v>ABM</x:v>
      </x:c>
      <x:c r="U1296" s="12" t="str"/>
      <x:c r="V1296" s="12" t="str"/>
      <x:c r="W1296" s="12" t="str"/>
      <x:c r="X1296" s="12" t="str">
        <x:v>LVTH24</x:v>
      </x:c>
      <x:c r="Y1296" s="12" t="str">
        <x:v>WAYAN, ANGGI &amp; ACUNG</x:v>
      </x:c>
      <x:c r="Z1296" s="12" t="str"/>
      <x:c r="AA1296" s="32" t="n">
        <x:f>IFERROR(VLOOKUP(G1296,Master_Unit!$A$2:$N$78,7,FALSE),"")</x:f>
        <x:v>0.2</x:v>
      </x:c>
      <x:c r="AB1296" s="32" t="n">
        <x:f>IF(OR(N1296="",AA1296=""),"",N1296-AA1296)</x:f>
        <x:v>0.3714285714285714</x:v>
      </x:c>
      <x:c r="AC1296" s="20" t="n">
        <x:f>IF(OR(N1296="",AA1296="",AA1296=0),"",AB1296/AA1296)</x:f>
        <x:v>1.8571428571428568</x:v>
      </x:c>
      <x:c r="AD1296" t="str">
        <x:f>IF(AA1296="","NO STANDARD",IF(AC1296&lt;=Config_Status!$B$2,"EFFICIENT",IF(AC1296&lt;=Config_Status!$B$3,"NORMAL",IF(AC1296&lt;=Config_Status!$B$4,"WARNING","OVER CONSUMPTION"))))</x:f>
        <x:v>OVER CONSUMPTION</x:v>
      </x:c>
      <x:c r="AE1296" t="str">
        <x:f>IFERROR(VLOOKUP(G1296,Master_Unit!$A$2:$N$78,13,FALSE),"UNIT NOT FOUND")</x:f>
        <x:v>Matched</x:v>
      </x:c>
    </x:row>
    <x:row r="1297">
      <x:c r="A1297" s="12" t="str">
        <x:v>FU-20260620-01296</x:v>
      </x:c>
      <x:c r="B1297" s="12" t="n">
        <x:v>1426</x:v>
      </x:c>
      <x:c r="C1297" s="14" t="n">
        <x:v>46193</x:v>
      </x:c>
      <x:c r="D1297" s="12" t="str">
        <x:v>Sabtu</x:v>
      </x:c>
      <x:c r="E1297" s="12" t="str">
        <x:v>08:16:00</x:v>
      </x:c>
      <x:c r="F1297" s="12" t="str">
        <x:v>All Shift Day</x:v>
      </x:c>
      <x:c r="G1297" s="12" t="str">
        <x:v>LVTH24R035</x:v>
      </x:c>
      <x:c r="H1297" s="12" t="str">
        <x:v>Light Vehicle</x:v>
      </x:c>
      <x:c r="I1297" s="12" t="str">
        <x:v>LIGHT VEHICLE TOYOTA HILUX</x:v>
      </x:c>
      <x:c r="J1297" s="16" t="n">
        <x:v>20</x:v>
      </x:c>
      <x:c r="K1297" s="16" t="n">
        <x:v>71439</x:v>
      </x:c>
      <x:c r="L1297" s="16" t="n">
        <x:v>71585</x:v>
      </x:c>
      <x:c r="M1297" s="16" t="n">
        <x:v>146</x:v>
      </x:c>
      <x:c r="N1297" s="16" t="n">
        <x:v>0.136986301369863</x:v>
      </x:c>
      <x:c r="O1297" s="12" t="str">
        <x:v>FTRL44G005</x:v>
      </x:c>
      <x:c r="P1297" s="12" t="str">
        <x:v>LVTH24R035</x:v>
      </x:c>
      <x:c r="Q1297" s="12" t="str"/>
      <x:c r="R1297" s="12" t="str"/>
      <x:c r="S1297" s="12" t="str"/>
      <x:c r="T1297" s="12" t="str">
        <x:v>ABM</x:v>
      </x:c>
      <x:c r="U1297" s="12" t="str"/>
      <x:c r="V1297" s="12" t="str"/>
      <x:c r="W1297" s="12" t="str"/>
      <x:c r="X1297" s="12" t="str">
        <x:v>LVTH24</x:v>
      </x:c>
      <x:c r="Y1297" s="12" t="str">
        <x:v>WAYAN, ANGGI &amp; ACUNG</x:v>
      </x:c>
      <x:c r="Z1297" s="12" t="str"/>
      <x:c r="AA1297" s="32" t="n">
        <x:f>IFERROR(VLOOKUP(G1297,Master_Unit!$A$2:$N$78,7,FALSE),"")</x:f>
        <x:v>0.2</x:v>
      </x:c>
      <x:c r="AB1297" s="32" t="n">
        <x:f>IF(OR(N1297="",AA1297=""),"",N1297-AA1297)</x:f>
        <x:v>-0.063013698630137</x:v>
      </x:c>
      <x:c r="AC1297" s="20" t="n">
        <x:f>IF(OR(N1297="",AA1297="",AA1297=0),"",AB1297/AA1297)</x:f>
        <x:v>-0.315068493150685</x:v>
      </x:c>
      <x:c r="AD1297" t="str">
        <x:f>IF(AA1297="","NO STANDARD",IF(AC1297&lt;=Config_Status!$B$2,"EFFICIENT",IF(AC1297&lt;=Config_Status!$B$3,"NORMAL",IF(AC1297&lt;=Config_Status!$B$4,"WARNING","OVER CONSUMPTION"))))</x:f>
        <x:v>EFFICIENT</x:v>
      </x:c>
      <x:c r="AE1297" t="str">
        <x:f>IFERROR(VLOOKUP(G1297,Master_Unit!$A$2:$N$78,13,FALSE),"UNIT NOT FOUND")</x:f>
        <x:v>Matched</x:v>
      </x:c>
    </x:row>
    <x:row r="1298">
      <x:c r="A1298" s="12" t="str">
        <x:v>FU-20260620-01297</x:v>
      </x:c>
      <x:c r="B1298" s="12" t="n">
        <x:v>1427</x:v>
      </x:c>
      <x:c r="C1298" s="14" t="n">
        <x:v>46193</x:v>
      </x:c>
      <x:c r="D1298" s="12" t="str">
        <x:v>Sabtu</x:v>
      </x:c>
      <x:c r="E1298" s="12" t="str">
        <x:v>08:18:00</x:v>
      </x:c>
      <x:c r="F1298" s="12" t="str">
        <x:v>All Shift Day</x:v>
      </x:c>
      <x:c r="G1298" s="12" t="str">
        <x:v>LVTH24R026</x:v>
      </x:c>
      <x:c r="H1298" s="12" t="str">
        <x:v>Light Vehicle</x:v>
      </x:c>
      <x:c r="I1298" s="12" t="str">
        <x:v>LIGHT VEHICLE TOYOTA HILUX</x:v>
      </x:c>
      <x:c r="J1298" s="16" t="n">
        <x:v>20</x:v>
      </x:c>
      <x:c r="K1298" s="16" t="n">
        <x:v>60257</x:v>
      </x:c>
      <x:c r="L1298" s="16" t="n">
        <x:v>60316</x:v>
      </x:c>
      <x:c r="M1298" s="16" t="n">
        <x:v>59</x:v>
      </x:c>
      <x:c r="N1298" s="16" t="n">
        <x:v>0.3389830508474576</x:v>
      </x:c>
      <x:c r="O1298" s="12" t="str">
        <x:v>FTRL44G005</x:v>
      </x:c>
      <x:c r="P1298" s="12" t="str">
        <x:v>LVTH24R026</x:v>
      </x:c>
      <x:c r="Q1298" s="12" t="str"/>
      <x:c r="R1298" s="12" t="str"/>
      <x:c r="S1298" s="12" t="str"/>
      <x:c r="T1298" s="12" t="str">
        <x:v>ABM</x:v>
      </x:c>
      <x:c r="U1298" s="12" t="str"/>
      <x:c r="V1298" s="12" t="str"/>
      <x:c r="W1298" s="12" t="str"/>
      <x:c r="X1298" s="12" t="str">
        <x:v>LVTH24</x:v>
      </x:c>
      <x:c r="Y1298" s="12" t="str">
        <x:v>WAYAN, ANGGI &amp; ACUNG</x:v>
      </x:c>
      <x:c r="Z1298" s="12" t="str"/>
      <x:c r="AA1298" s="32" t="n">
        <x:f>IFERROR(VLOOKUP(G1298,Master_Unit!$A$2:$N$78,7,FALSE),"")</x:f>
        <x:v>0.2</x:v>
      </x:c>
      <x:c r="AB1298" s="32" t="n">
        <x:f>IF(OR(N1298="",AA1298=""),"",N1298-AA1298)</x:f>
        <x:v>0.1389830508474576</x:v>
      </x:c>
      <x:c r="AC1298" s="20" t="n">
        <x:f>IF(OR(N1298="",AA1298="",AA1298=0),"",AB1298/AA1298)</x:f>
        <x:v>0.694915254237288</x:v>
      </x:c>
      <x:c r="AD1298" t="str">
        <x:f>IF(AA1298="","NO STANDARD",IF(AC1298&lt;=Config_Status!$B$2,"EFFICIENT",IF(AC1298&lt;=Config_Status!$B$3,"NORMAL",IF(AC1298&lt;=Config_Status!$B$4,"WARNING","OVER CONSUMPTION"))))</x:f>
        <x:v>OVER CONSUMPTION</x:v>
      </x:c>
      <x:c r="AE1298" t="str">
        <x:f>IFERROR(VLOOKUP(G1298,Master_Unit!$A$2:$N$78,13,FALSE),"UNIT NOT FOUND")</x:f>
        <x:v>Matched</x:v>
      </x:c>
    </x:row>
    <x:row r="1299">
      <x:c r="A1299" s="12" t="str">
        <x:v>FU-20260620-01298</x:v>
      </x:c>
      <x:c r="B1299" s="12" t="n">
        <x:v>1428</x:v>
      </x:c>
      <x:c r="C1299" s="14" t="n">
        <x:v>46193</x:v>
      </x:c>
      <x:c r="D1299" s="12" t="str">
        <x:v>Sabtu</x:v>
      </x:c>
      <x:c r="E1299" s="12" t="str">
        <x:v>08:21:00</x:v>
      </x:c>
      <x:c r="F1299" s="12" t="str">
        <x:v>All Shift Day</x:v>
      </x:c>
      <x:c r="G1299" s="12" t="str">
        <x:v>VRVV11G013</x:v>
      </x:c>
      <x:c r="H1299" s="12" t="str">
        <x:v>Compactor</x:v>
      </x:c>
      <x:c r="I1299" s="12" t="str">
        <x:v>VIBRO COMPACTOR VOLVO SD110NE</x:v>
      </x:c>
      <x:c r="J1299" s="16" t="n">
        <x:v>66</x:v>
      </x:c>
      <x:c r="K1299" s="16" t="n">
        <x:v>3267.5</x:v>
      </x:c>
      <x:c r="L1299" s="16" t="n">
        <x:v>3278.9</x:v>
      </x:c>
      <x:c r="M1299" s="16" t="n">
        <x:v>11.400000000000091</x:v>
      </x:c>
      <x:c r="N1299" s="16" t="n">
        <x:v>5.78947368421048</x:v>
      </x:c>
      <x:c r="O1299" s="12" t="str">
        <x:v>FTRL44G005</x:v>
      </x:c>
      <x:c r="P1299" s="12" t="str">
        <x:v>VRVV11G013</x:v>
      </x:c>
      <x:c r="Q1299" s="12" t="str"/>
      <x:c r="R1299" s="12" t="str"/>
      <x:c r="S1299" s="12" t="str"/>
      <x:c r="T1299" s="12" t="str">
        <x:v>ABM</x:v>
      </x:c>
      <x:c r="U1299" s="12" t="str"/>
      <x:c r="V1299" s="12" t="str"/>
      <x:c r="W1299" s="12" t="str"/>
      <x:c r="X1299" s="12" t="str">
        <x:v>VRVV11</x:v>
      </x:c>
      <x:c r="Y1299" s="12" t="str">
        <x:v>WAYAN, ANGGI &amp; ACUNG</x:v>
      </x:c>
      <x:c r="Z1299" s="12" t="str"/>
      <x:c r="AA1299" s="32" t="n">
        <x:f>IFERROR(VLOOKUP(G1299,Master_Unit!$A$2:$N$78,7,FALSE),"")</x:f>
        <x:v>15</x:v>
      </x:c>
      <x:c r="AB1299" s="32" t="n">
        <x:f>IF(OR(N1299="",AA1299=""),"",N1299-AA1299)</x:f>
        <x:v>-9.210526315789519</x:v>
      </x:c>
      <x:c r="AC1299" s="20" t="n">
        <x:f>IF(OR(N1299="",AA1299="",AA1299=0),"",AB1299/AA1299)</x:f>
        <x:v>-0.6140350877193013</x:v>
      </x:c>
      <x:c r="AD1299" t="str">
        <x:f>IF(AA1299="","NO STANDARD",IF(AC1299&lt;=Config_Status!$B$2,"EFFICIENT",IF(AC1299&lt;=Config_Status!$B$3,"NORMAL",IF(AC1299&lt;=Config_Status!$B$4,"WARNING","OVER CONSUMPTION"))))</x:f>
        <x:v>EFFICIENT</x:v>
      </x:c>
      <x:c r="AE1299" t="str">
        <x:f>IFERROR(VLOOKUP(G1299,Master_Unit!$A$2:$N$78,13,FALSE),"UNIT NOT FOUND")</x:f>
        <x:v>Matched</x:v>
      </x:c>
    </x:row>
    <x:row r="1300">
      <x:c r="A1300" s="12" t="str">
        <x:v>FU-20260620-01299</x:v>
      </x:c>
      <x:c r="B1300" s="12" t="n">
        <x:v>1429</x:v>
      </x:c>
      <x:c r="C1300" s="14" t="n">
        <x:v>46193</x:v>
      </x:c>
      <x:c r="D1300" s="12" t="str">
        <x:v>Sabtu</x:v>
      </x:c>
      <x:c r="E1300" s="12" t="str">
        <x:v>08:29:00</x:v>
      </x:c>
      <x:c r="F1300" s="12" t="str">
        <x:v>All Shift Day</x:v>
      </x:c>
      <x:c r="G1300" s="12" t="str">
        <x:v>GSHT10G002</x:v>
      </x:c>
      <x:c r="H1300" s="12" t="str">
        <x:v>Genset</x:v>
      </x:c>
      <x:c r="I1300" s="12" t="str">
        <x:v>GENSET HARTECH HT-10</x:v>
      </x:c>
      <x:c r="J1300" s="16" t="n">
        <x:v>17</x:v>
      </x:c>
      <x:c r="K1300" s="16" t="n">
        <x:v>8635.48</x:v>
      </x:c>
      <x:c r="L1300" s="16" t="n">
        <x:v>8650.36</x:v>
      </x:c>
      <x:c r="M1300" s="16" t="n">
        <x:v>14.880000000001019</x:v>
      </x:c>
      <x:c r="N1300" s="16" t="n">
        <x:v>1.1424731182794916</x:v>
      </x:c>
      <x:c r="O1300" s="12" t="str">
        <x:v>FTRL44G005</x:v>
      </x:c>
      <x:c r="P1300" s="12" t="str">
        <x:v>GSHT10G002</x:v>
      </x:c>
      <x:c r="Q1300" s="12" t="str"/>
      <x:c r="R1300" s="12" t="str"/>
      <x:c r="S1300" s="12" t="str"/>
      <x:c r="T1300" s="12" t="str">
        <x:v>ABM</x:v>
      </x:c>
      <x:c r="U1300" s="12" t="str"/>
      <x:c r="V1300" s="12" t="str"/>
      <x:c r="W1300" s="12" t="str"/>
      <x:c r="X1300" s="12" t="str">
        <x:v>GSHT10</x:v>
      </x:c>
      <x:c r="Y1300" s="12" t="str">
        <x:v>WAYAN, ANGGI &amp; ACUNG</x:v>
      </x:c>
      <x:c r="Z1300" s="12" t="str"/>
      <x:c r="AA1300" s="32" t="n">
        <x:f>IFERROR(VLOOKUP(G1300,Master_Unit!$A$2:$N$78,7,FALSE),"")</x:f>
        <x:v>3</x:v>
      </x:c>
      <x:c r="AB1300" s="32" t="n">
        <x:f>IF(OR(N1300="",AA1300=""),"",N1300-AA1300)</x:f>
        <x:v>-1.8575268817205084</x:v>
      </x:c>
      <x:c r="AC1300" s="20" t="n">
        <x:f>IF(OR(N1300="",AA1300="",AA1300=0),"",AB1300/AA1300)</x:f>
        <x:v>-0.6191756272401695</x:v>
      </x:c>
      <x:c r="AD1300" t="str">
        <x:f>IF(AA1300="","NO STANDARD",IF(AC1300&lt;=Config_Status!$B$2,"EFFICIENT",IF(AC1300&lt;=Config_Status!$B$3,"NORMAL",IF(AC1300&lt;=Config_Status!$B$4,"WARNING","OVER CONSUMPTION"))))</x:f>
        <x:v>EFFICIENT</x:v>
      </x:c>
      <x:c r="AE1300" t="str">
        <x:f>IFERROR(VLOOKUP(G1300,Master_Unit!$A$2:$N$78,13,FALSE),"UNIT NOT FOUND")</x:f>
        <x:v>Matched</x:v>
      </x:c>
    </x:row>
    <x:row r="1301">
      <x:c r="A1301" s="12" t="str">
        <x:v>FU-20260620-01300</x:v>
      </x:c>
      <x:c r="B1301" s="12" t="n">
        <x:v>1430</x:v>
      </x:c>
      <x:c r="C1301" s="14" t="n">
        <x:v>46193</x:v>
      </x:c>
      <x:c r="D1301" s="12" t="str">
        <x:v>Sabtu</x:v>
      </x:c>
      <x:c r="E1301" s="12" t="str">
        <x:v>12:23:00</x:v>
      </x:c>
      <x:c r="F1301" s="12" t="str">
        <x:v>All Shift Day</x:v>
      </x:c>
      <x:c r="G1301" s="12" t="str">
        <x:v>EXVV21G036</x:v>
      </x:c>
      <x:c r="H1301" s="12" t="str">
        <x:v>Excavator</x:v>
      </x:c>
      <x:c r="I1301" s="12" t="str">
        <x:v>EXCAVATOR VOLVO EC210D</x:v>
      </x:c>
      <x:c r="J1301" s="16" t="n">
        <x:v>163</x:v>
      </x:c>
      <x:c r="K1301" s="16" t="n">
        <x:v>7701.1</x:v>
      </x:c>
      <x:c r="L1301" s="16" t="n">
        <x:v>7715.9</x:v>
      </x:c>
      <x:c r="M1301" s="16" t="n">
        <x:v>14.799999999999272</x:v>
      </x:c>
      <x:c r="N1301" s="16" t="n">
        <x:v>11.013513513514056</x:v>
      </x:c>
      <x:c r="O1301" s="12" t="str">
        <x:v>FTRL44G005</x:v>
      </x:c>
      <x:c r="P1301" s="12" t="str">
        <x:v>EXVV21G036</x:v>
      </x:c>
      <x:c r="Q1301" s="12" t="str"/>
      <x:c r="R1301" s="12" t="str"/>
      <x:c r="S1301" s="12" t="str"/>
      <x:c r="T1301" s="12" t="str">
        <x:v>ABM</x:v>
      </x:c>
      <x:c r="U1301" s="12" t="str"/>
      <x:c r="V1301" s="12" t="str"/>
      <x:c r="W1301" s="12" t="str"/>
      <x:c r="X1301" s="12" t="str">
        <x:v>EXVV21</x:v>
      </x:c>
      <x:c r="Y1301" s="12" t="str">
        <x:v>WAYAN, ANGGI &amp; ACUNG</x:v>
      </x:c>
      <x:c r="Z1301" s="12" t="str"/>
      <x:c r="AA1301" s="32" t="n">
        <x:f>IFERROR(VLOOKUP(G1301,Master_Unit!$A$2:$N$78,7,FALSE),"")</x:f>
        <x:v>20</x:v>
      </x:c>
      <x:c r="AB1301" s="32" t="n">
        <x:f>IF(OR(N1301="",AA1301=""),"",N1301-AA1301)</x:f>
        <x:v>-8.986486486485944</x:v>
      </x:c>
      <x:c r="AC1301" s="20" t="n">
        <x:f>IF(OR(N1301="",AA1301="",AA1301=0),"",AB1301/AA1301)</x:f>
        <x:v>-0.4493243243242972</x:v>
      </x:c>
      <x:c r="AD1301" t="str">
        <x:f>IF(AA1301="","NO STANDARD",IF(AC1301&lt;=Config_Status!$B$2,"EFFICIENT",IF(AC1301&lt;=Config_Status!$B$3,"NORMAL",IF(AC1301&lt;=Config_Status!$B$4,"WARNING","OVER CONSUMPTION"))))</x:f>
        <x:v>EFFICIENT</x:v>
      </x:c>
      <x:c r="AE1301" t="str">
        <x:f>IFERROR(VLOOKUP(G1301,Master_Unit!$A$2:$N$78,13,FALSE),"UNIT NOT FOUND")</x:f>
        <x:v>Matched</x:v>
      </x:c>
    </x:row>
    <x:row r="1302">
      <x:c r="A1302" s="12" t="str">
        <x:v>FU-20260620-01301</x:v>
      </x:c>
      <x:c r="B1302" s="12" t="n">
        <x:v>1431</x:v>
      </x:c>
      <x:c r="C1302" s="14" t="n">
        <x:v>46193</x:v>
      </x:c>
      <x:c r="D1302" s="12" t="str">
        <x:v>Sabtu</x:v>
      </x:c>
      <x:c r="E1302" s="12" t="str">
        <x:v>13:19:00</x:v>
      </x:c>
      <x:c r="F1302" s="12" t="str">
        <x:v>All Shift Day</x:v>
      </x:c>
      <x:c r="G1302" s="12" t="str">
        <x:v>EXVV35G005</x:v>
      </x:c>
      <x:c r="H1302" s="12" t="str">
        <x:v>Excavator</x:v>
      </x:c>
      <x:c r="I1302" s="12" t="str">
        <x:v>EXCAVATOR VOLVO EC350D</x:v>
      </x:c>
      <x:c r="J1302" s="16" t="n">
        <x:v>110</x:v>
      </x:c>
      <x:c r="K1302" s="16" t="n">
        <x:v>5319.8</x:v>
      </x:c>
      <x:c r="L1302" s="16" t="n">
        <x:v>5324.8</x:v>
      </x:c>
      <x:c r="M1302" s="16" t="n">
        <x:v>5</x:v>
      </x:c>
      <x:c r="N1302" s="16" t="n">
        <x:v>22</x:v>
      </x:c>
      <x:c r="O1302" s="12" t="str">
        <x:v>FTRL44G005</x:v>
      </x:c>
      <x:c r="P1302" s="12" t="str">
        <x:v>EXVV35G005</x:v>
      </x:c>
      <x:c r="Q1302" s="12" t="str"/>
      <x:c r="R1302" s="12" t="str"/>
      <x:c r="S1302" s="12" t="str"/>
      <x:c r="T1302" s="12" t="str">
        <x:v>ABM</x:v>
      </x:c>
      <x:c r="U1302" s="12" t="str"/>
      <x:c r="V1302" s="12" t="str"/>
      <x:c r="W1302" s="12" t="str"/>
      <x:c r="X1302" s="12" t="str">
        <x:v>EXVV35</x:v>
      </x:c>
      <x:c r="Y1302" s="12" t="str">
        <x:v>WAYAN, ANGGI &amp; ACUNG</x:v>
      </x:c>
      <x:c r="Z1302" s="12" t="str"/>
      <x:c r="AA1302" s="32" t="n">
        <x:f>IFERROR(VLOOKUP(G1302,Master_Unit!$A$2:$N$78,7,FALSE),"")</x:f>
        <x:v>25</x:v>
      </x:c>
      <x:c r="AB1302" s="32" t="n">
        <x:f>IF(OR(N1302="",AA1302=""),"",N1302-AA1302)</x:f>
        <x:v>-3</x:v>
      </x:c>
      <x:c r="AC1302" s="20" t="n">
        <x:f>IF(OR(N1302="",AA1302="",AA1302=0),"",AB1302/AA1302)</x:f>
        <x:v>-0.12</x:v>
      </x:c>
      <x:c r="AD1302" t="str">
        <x:f>IF(AA1302="","NO STANDARD",IF(AC1302&lt;=Config_Status!$B$2,"EFFICIENT",IF(AC1302&lt;=Config_Status!$B$3,"NORMAL",IF(AC1302&lt;=Config_Status!$B$4,"WARNING","OVER CONSUMPTION"))))</x:f>
        <x:v>EFFICIENT</x:v>
      </x:c>
      <x:c r="AE1302" t="str">
        <x:f>IFERROR(VLOOKUP(G1302,Master_Unit!$A$2:$N$78,13,FALSE),"UNIT NOT FOUND")</x:f>
        <x:v>Matched</x:v>
      </x:c>
    </x:row>
    <x:row r="1303">
      <x:c r="A1303" s="12" t="str">
        <x:v>FU-20260620-01302</x:v>
      </x:c>
      <x:c r="B1303" s="12" t="n">
        <x:v>1432</x:v>
      </x:c>
      <x:c r="C1303" s="14" t="n">
        <x:v>46193</x:v>
      </x:c>
      <x:c r="D1303" s="12" t="str">
        <x:v>Sabtu</x:v>
      </x:c>
      <x:c r="E1303" s="12" t="str">
        <x:v>13:23:00</x:v>
      </x:c>
      <x:c r="F1303" s="12" t="str">
        <x:v>All Shift Day</x:v>
      </x:c>
      <x:c r="G1303" s="12" t="str">
        <x:v>EXVV21G037</x:v>
      </x:c>
      <x:c r="H1303" s="12" t="str">
        <x:v>Excavator</x:v>
      </x:c>
      <x:c r="I1303" s="12" t="str">
        <x:v>EXCAVATOR VOLVO EC210D</x:v>
      </x:c>
      <x:c r="J1303" s="16" t="n">
        <x:v>110</x:v>
      </x:c>
      <x:c r="K1303" s="16" t="n">
        <x:v>6999.7</x:v>
      </x:c>
      <x:c r="L1303" s="16" t="n">
        <x:v>7005.2</x:v>
      </x:c>
      <x:c r="M1303" s="16" t="n">
        <x:v>5.5</x:v>
      </x:c>
      <x:c r="N1303" s="16" t="n">
        <x:v>20</x:v>
      </x:c>
      <x:c r="O1303" s="12" t="str">
        <x:v>FTRL44G005</x:v>
      </x:c>
      <x:c r="P1303" s="12" t="str">
        <x:v>EXVV21G037</x:v>
      </x:c>
      <x:c r="Q1303" s="12" t="str"/>
      <x:c r="R1303" s="12" t="str"/>
      <x:c r="S1303" s="12" t="str"/>
      <x:c r="T1303" s="12" t="str">
        <x:v>ABM</x:v>
      </x:c>
      <x:c r="U1303" s="12" t="str"/>
      <x:c r="V1303" s="12" t="str"/>
      <x:c r="W1303" s="12" t="str"/>
      <x:c r="X1303" s="12" t="str">
        <x:v>EXVV21</x:v>
      </x:c>
      <x:c r="Y1303" s="12" t="str">
        <x:v>WAYAN, ANGGI &amp; ACUNG</x:v>
      </x:c>
      <x:c r="Z1303" s="12" t="str"/>
      <x:c r="AA1303" s="32" t="n">
        <x:f>IFERROR(VLOOKUP(G1303,Master_Unit!$A$2:$N$78,7,FALSE),"")</x:f>
        <x:v>20</x:v>
      </x:c>
      <x:c r="AB1303" s="32" t="n">
        <x:f>IF(OR(N1303="",AA1303=""),"",N1303-AA1303)</x:f>
        <x:v>0</x:v>
      </x:c>
      <x:c r="AC1303" s="20" t="n">
        <x:f>IF(OR(N1303="",AA1303="",AA1303=0),"",AB1303/AA1303)</x:f>
        <x:v>0</x:v>
      </x:c>
      <x:c r="AD1303" t="str">
        <x:f>IF(AA1303="","NO STANDARD",IF(AC1303&lt;=Config_Status!$B$2,"EFFICIENT",IF(AC1303&lt;=Config_Status!$B$3,"NORMAL",IF(AC1303&lt;=Config_Status!$B$4,"WARNING","OVER CONSUMPTION"))))</x:f>
        <x:v>NORMAL</x:v>
      </x:c>
      <x:c r="AE1303" t="str">
        <x:f>IFERROR(VLOOKUP(G1303,Master_Unit!$A$2:$N$78,13,FALSE),"UNIT NOT FOUND")</x:f>
        <x:v>Matched</x:v>
      </x:c>
    </x:row>
    <x:row r="1304">
      <x:c r="A1304" s="12" t="str">
        <x:v>FU-20260620-01303</x:v>
      </x:c>
      <x:c r="B1304" s="12" t="n">
        <x:v>1433</x:v>
      </x:c>
      <x:c r="C1304" s="14" t="n">
        <x:v>46193</x:v>
      </x:c>
      <x:c r="D1304" s="12" t="str">
        <x:v>Sabtu</x:v>
      </x:c>
      <x:c r="E1304" s="12" t="str">
        <x:v>18:21:00</x:v>
      </x:c>
      <x:c r="F1304" s="12" t="str">
        <x:v>All Shift Night</x:v>
      </x:c>
      <x:c r="G1304" s="12" t="str">
        <x:v>EXVV21G032</x:v>
      </x:c>
      <x:c r="H1304" s="12" t="str">
        <x:v>Excavator</x:v>
      </x:c>
      <x:c r="I1304" s="12" t="str">
        <x:v>EXCAVATOR VOLVO EC210D</x:v>
      </x:c>
      <x:c r="J1304" s="16" t="n">
        <x:v>148</x:v>
      </x:c>
      <x:c r="K1304" s="16" t="n">
        <x:v>7666.7</x:v>
      </x:c>
      <x:c r="L1304" s="16" t="n">
        <x:v>7673.2</x:v>
      </x:c>
      <x:c r="M1304" s="16" t="n">
        <x:v>6.5</x:v>
      </x:c>
      <x:c r="N1304" s="16" t="n">
        <x:v>22.76923076923077</x:v>
      </x:c>
      <x:c r="O1304" s="12" t="str">
        <x:v>FTRL44G005</x:v>
      </x:c>
      <x:c r="P1304" s="12" t="str">
        <x:v>EXVV21G032</x:v>
      </x:c>
      <x:c r="Q1304" s="12" t="str"/>
      <x:c r="R1304" s="12" t="str"/>
      <x:c r="S1304" s="12" t="str"/>
      <x:c r="T1304" s="12" t="str">
        <x:v>ABM</x:v>
      </x:c>
      <x:c r="U1304" s="12" t="str"/>
      <x:c r="V1304" s="12" t="str"/>
      <x:c r="W1304" s="12" t="str"/>
      <x:c r="X1304" s="12" t="str">
        <x:v>EXVV21</x:v>
      </x:c>
      <x:c r="Y1304" s="12" t="str">
        <x:v>BADRI &amp; KAMRAN</x:v>
      </x:c>
      <x:c r="Z1304" s="12" t="str"/>
      <x:c r="AA1304" s="32" t="n">
        <x:f>IFERROR(VLOOKUP(G1304,Master_Unit!$A$2:$N$78,7,FALSE),"")</x:f>
        <x:v>20</x:v>
      </x:c>
      <x:c r="AB1304" s="32" t="n">
        <x:f>IF(OR(N1304="",AA1304=""),"",N1304-AA1304)</x:f>
        <x:v>2.76923076923077</x:v>
      </x:c>
      <x:c r="AC1304" s="20" t="n">
        <x:f>IF(OR(N1304="",AA1304="",AA1304=0),"",AB1304/AA1304)</x:f>
        <x:v>0.1384615384615385</x:v>
      </x:c>
      <x:c r="AD1304" t="str">
        <x:f>IF(AA1304="","NO STANDARD",IF(AC1304&lt;=Config_Status!$B$2,"EFFICIENT",IF(AC1304&lt;=Config_Status!$B$3,"NORMAL",IF(AC1304&lt;=Config_Status!$B$4,"WARNING","OVER CONSUMPTION"))))</x:f>
        <x:v>WARNING</x:v>
      </x:c>
      <x:c r="AE1304" t="str">
        <x:f>IFERROR(VLOOKUP(G1304,Master_Unit!$A$2:$N$78,13,FALSE),"UNIT NOT FOUND")</x:f>
        <x:v>Matched</x:v>
      </x:c>
    </x:row>
    <x:row r="1305">
      <x:c r="A1305" s="12" t="str">
        <x:v>FU-20260620-01304</x:v>
      </x:c>
      <x:c r="B1305" s="12" t="n">
        <x:v>1434</x:v>
      </x:c>
      <x:c r="C1305" s="14" t="n">
        <x:v>46193</x:v>
      </x:c>
      <x:c r="D1305" s="12" t="str">
        <x:v>Sabtu</x:v>
      </x:c>
      <x:c r="E1305" s="12" t="str">
        <x:v>18:31:00</x:v>
      </x:c>
      <x:c r="F1305" s="12" t="str">
        <x:v>All Shift Night</x:v>
      </x:c>
      <x:c r="G1305" s="12" t="str">
        <x:v>EXVV35G007</x:v>
      </x:c>
      <x:c r="H1305" s="12" t="str">
        <x:v>Excavator</x:v>
      </x:c>
      <x:c r="I1305" s="12" t="str">
        <x:v>EXCAVATOR VOLVO EC350D</x:v>
      </x:c>
      <x:c r="J1305" s="16" t="n">
        <x:v>219</x:v>
      </x:c>
      <x:c r="K1305" s="16" t="n">
        <x:v>694.8</x:v>
      </x:c>
      <x:c r="L1305" s="16" t="n">
        <x:v>702.6</x:v>
      </x:c>
      <x:c r="M1305" s="16" t="n">
        <x:v>7.800000000000068</x:v>
      </x:c>
      <x:c r="N1305" s="16" t="n">
        <x:v>28.07692307692283</x:v>
      </x:c>
      <x:c r="O1305" s="12" t="str">
        <x:v>FTRL44G005</x:v>
      </x:c>
      <x:c r="P1305" s="12" t="str">
        <x:v>EXVV35G007</x:v>
      </x:c>
      <x:c r="Q1305" s="12" t="str"/>
      <x:c r="R1305" s="12" t="str"/>
      <x:c r="S1305" s="12" t="str"/>
      <x:c r="T1305" s="12" t="str">
        <x:v>ABM</x:v>
      </x:c>
      <x:c r="U1305" s="12" t="str"/>
      <x:c r="V1305" s="12" t="str"/>
      <x:c r="W1305" s="12" t="str"/>
      <x:c r="X1305" s="12" t="str">
        <x:v>EXVV35</x:v>
      </x:c>
      <x:c r="Y1305" s="12" t="str">
        <x:v>BADRI &amp; KAMRAN</x:v>
      </x:c>
      <x:c r="Z1305" s="12" t="str"/>
      <x:c r="AA1305" s="32" t="n">
        <x:f>IFERROR(VLOOKUP(G1305,Master_Unit!$A$2:$N$78,7,FALSE),"")</x:f>
        <x:v>25</x:v>
      </x:c>
      <x:c r="AB1305" s="32" t="n">
        <x:f>IF(OR(N1305="",AA1305=""),"",N1305-AA1305)</x:f>
        <x:v>3.0769230769228315</x:v>
      </x:c>
      <x:c r="AC1305" s="20" t="n">
        <x:f>IF(OR(N1305="",AA1305="",AA1305=0),"",AB1305/AA1305)</x:f>
        <x:v>0.12307692307691326</x:v>
      </x:c>
      <x:c r="AD1305" t="str">
        <x:f>IF(AA1305="","NO STANDARD",IF(AC1305&lt;=Config_Status!$B$2,"EFFICIENT",IF(AC1305&lt;=Config_Status!$B$3,"NORMAL",IF(AC1305&lt;=Config_Status!$B$4,"WARNING","OVER CONSUMPTION"))))</x:f>
        <x:v>WARNING</x:v>
      </x:c>
      <x:c r="AE1305" t="str">
        <x:f>IFERROR(VLOOKUP(G1305,Master_Unit!$A$2:$N$78,13,FALSE),"UNIT NOT FOUND")</x:f>
        <x:v>Matched</x:v>
      </x:c>
    </x:row>
    <x:row r="1306">
      <x:c r="A1306" s="12" t="str">
        <x:v>FU-20260620-01305</x:v>
      </x:c>
      <x:c r="B1306" s="12" t="n">
        <x:v>1435</x:v>
      </x:c>
      <x:c r="C1306" s="14" t="n">
        <x:v>46193</x:v>
      </x:c>
      <x:c r="D1306" s="12" t="str">
        <x:v>Sabtu</x:v>
      </x:c>
      <x:c r="E1306" s="12" t="str">
        <x:v>18:43:00</x:v>
      </x:c>
      <x:c r="F1306" s="12" t="str">
        <x:v>All Shift Night</x:v>
      </x:c>
      <x:c r="G1306" s="12" t="str">
        <x:v>EXVV21G043</x:v>
      </x:c>
      <x:c r="H1306" s="12" t="str">
        <x:v>Excavator</x:v>
      </x:c>
      <x:c r="I1306" s="12" t="str">
        <x:v>EXCAVATOR VOLVO EC210D</x:v>
      </x:c>
      <x:c r="J1306" s="16" t="n">
        <x:v>140</x:v>
      </x:c>
      <x:c r="K1306" s="16" t="n">
        <x:v>5435.3</x:v>
      </x:c>
      <x:c r="L1306" s="16" t="n">
        <x:v>5443.7</x:v>
      </x:c>
      <x:c r="M1306" s="16" t="n">
        <x:v>8.399999999999636</x:v>
      </x:c>
      <x:c r="N1306" s="16" t="n">
        <x:v>16.66666666666739</x:v>
      </x:c>
      <x:c r="O1306" s="12" t="str">
        <x:v>FTRL44G005</x:v>
      </x:c>
      <x:c r="P1306" s="12" t="str">
        <x:v>EXVV21G043</x:v>
      </x:c>
      <x:c r="Q1306" s="12" t="str"/>
      <x:c r="R1306" s="12" t="str"/>
      <x:c r="S1306" s="12" t="str"/>
      <x:c r="T1306" s="12" t="str">
        <x:v>ABM</x:v>
      </x:c>
      <x:c r="U1306" s="12" t="str"/>
      <x:c r="V1306" s="12" t="str"/>
      <x:c r="W1306" s="12" t="str"/>
      <x:c r="X1306" s="12" t="str">
        <x:v>EXVV21</x:v>
      </x:c>
      <x:c r="Y1306" s="12" t="str">
        <x:v>BADRI &amp; KAMRAN</x:v>
      </x:c>
      <x:c r="Z1306" s="12" t="str"/>
      <x:c r="AA1306" s="32" t="n">
        <x:f>IFERROR(VLOOKUP(G1306,Master_Unit!$A$2:$N$78,7,FALSE),"")</x:f>
        <x:v>20</x:v>
      </x:c>
      <x:c r="AB1306" s="32" t="n">
        <x:f>IF(OR(N1306="",AA1306=""),"",N1306-AA1306)</x:f>
        <x:v>-3.333333333332611</x:v>
      </x:c>
      <x:c r="AC1306" s="20" t="n">
        <x:f>IF(OR(N1306="",AA1306="",AA1306=0),"",AB1306/AA1306)</x:f>
        <x:v>-0.16666666666663055</x:v>
      </x:c>
      <x:c r="AD1306" t="str">
        <x:f>IF(AA1306="","NO STANDARD",IF(AC1306&lt;=Config_Status!$B$2,"EFFICIENT",IF(AC1306&lt;=Config_Status!$B$3,"NORMAL",IF(AC1306&lt;=Config_Status!$B$4,"WARNING","OVER CONSUMPTION"))))</x:f>
        <x:v>EFFICIENT</x:v>
      </x:c>
      <x:c r="AE1306" t="str">
        <x:f>IFERROR(VLOOKUP(G1306,Master_Unit!$A$2:$N$78,13,FALSE),"UNIT NOT FOUND")</x:f>
        <x:v>Matched</x:v>
      </x:c>
    </x:row>
    <x:row r="1307">
      <x:c r="A1307" s="12" t="str">
        <x:v>FU-20260620-01306</x:v>
      </x:c>
      <x:c r="B1307" s="12" t="n">
        <x:v>1436</x:v>
      </x:c>
      <x:c r="C1307" s="14" t="n">
        <x:v>46193</x:v>
      </x:c>
      <x:c r="D1307" s="12" t="str">
        <x:v>Sabtu</x:v>
      </x:c>
      <x:c r="E1307" s="12" t="str">
        <x:v>18:47:00</x:v>
      </x:c>
      <x:c r="F1307" s="12" t="str">
        <x:v>All Shift Night</x:v>
      </x:c>
      <x:c r="G1307" s="12" t="str">
        <x:v>EXVV21G037</x:v>
      </x:c>
      <x:c r="H1307" s="12" t="str">
        <x:v>Excavator</x:v>
      </x:c>
      <x:c r="I1307" s="12" t="str">
        <x:v>EXCAVATOR VOLVO EC210D</x:v>
      </x:c>
      <x:c r="J1307" s="16" t="n">
        <x:v>140</x:v>
      </x:c>
      <x:c r="K1307" s="16" t="n">
        <x:v>7005.2</x:v>
      </x:c>
      <x:c r="L1307" s="16" t="n">
        <x:v>7009.3</x:v>
      </x:c>
      <x:c r="M1307" s="16" t="n">
        <x:v>4.100000000000364</x:v>
      </x:c>
      <x:c r="N1307" s="16" t="n">
        <x:v>34.1463414634116</x:v>
      </x:c>
      <x:c r="O1307" s="12" t="str">
        <x:v>FTRL44G005</x:v>
      </x:c>
      <x:c r="P1307" s="12" t="str">
        <x:v>EXVV21G037</x:v>
      </x:c>
      <x:c r="Q1307" s="12" t="str"/>
      <x:c r="R1307" s="12" t="str"/>
      <x:c r="S1307" s="12" t="str"/>
      <x:c r="T1307" s="12" t="str">
        <x:v>ABM</x:v>
      </x:c>
      <x:c r="U1307" s="12" t="str"/>
      <x:c r="V1307" s="12" t="str"/>
      <x:c r="W1307" s="12" t="str"/>
      <x:c r="X1307" s="12" t="str">
        <x:v>EXVV21</x:v>
      </x:c>
      <x:c r="Y1307" s="12" t="str">
        <x:v>BADRI &amp; KAMRAN</x:v>
      </x:c>
      <x:c r="Z1307" s="12" t="str"/>
      <x:c r="AA1307" s="32" t="n">
        <x:f>IFERROR(VLOOKUP(G1307,Master_Unit!$A$2:$N$78,7,FALSE),"")</x:f>
        <x:v>20</x:v>
      </x:c>
      <x:c r="AB1307" s="32" t="n">
        <x:f>IF(OR(N1307="",AA1307=""),"",N1307-AA1307)</x:f>
        <x:v>14.146341463411602</x:v>
      </x:c>
      <x:c r="AC1307" s="20" t="n">
        <x:f>IF(OR(N1307="",AA1307="",AA1307=0),"",AB1307/AA1307)</x:f>
        <x:v>0.7073170731705801</x:v>
      </x:c>
      <x:c r="AD1307" t="str">
        <x:f>IF(AA1307="","NO STANDARD",IF(AC1307&lt;=Config_Status!$B$2,"EFFICIENT",IF(AC1307&lt;=Config_Status!$B$3,"NORMAL",IF(AC1307&lt;=Config_Status!$B$4,"WARNING","OVER CONSUMPTION"))))</x:f>
        <x:v>OVER CONSUMPTION</x:v>
      </x:c>
      <x:c r="AE1307" t="str">
        <x:f>IFERROR(VLOOKUP(G1307,Master_Unit!$A$2:$N$78,13,FALSE),"UNIT NOT FOUND")</x:f>
        <x:v>Matched</x:v>
      </x:c>
    </x:row>
    <x:row r="1308">
      <x:c r="A1308" s="12" t="str">
        <x:v>FU-20260620-01307</x:v>
      </x:c>
      <x:c r="B1308" s="12" t="n">
        <x:v>1437</x:v>
      </x:c>
      <x:c r="C1308" s="14" t="n">
        <x:v>46193</x:v>
      </x:c>
      <x:c r="D1308" s="12" t="str">
        <x:v>Sabtu</x:v>
      </x:c>
      <x:c r="E1308" s="12" t="str">
        <x:v>18:51:00</x:v>
      </x:c>
      <x:c r="F1308" s="12" t="str">
        <x:v>All Shift Night</x:v>
      </x:c>
      <x:c r="G1308" s="12" t="str">
        <x:v>BDKM85G039</x:v>
      </x:c>
      <x:c r="H1308" s="12" t="str">
        <x:v>Dozer</x:v>
      </x:c>
      <x:c r="I1308" s="12" t="str">
        <x:v>BULDOZER KOMATSU D85ESS-2</x:v>
      </x:c>
      <x:c r="J1308" s="16" t="n">
        <x:v>80</x:v>
      </x:c>
      <x:c r="K1308" s="16" t="n">
        <x:v>7177.3</x:v>
      </x:c>
      <x:c r="L1308" s="16" t="n">
        <x:v>7182.6</x:v>
      </x:c>
      <x:c r="M1308" s="16" t="n">
        <x:v>5.300000000000182</x:v>
      </x:c>
      <x:c r="N1308" s="16" t="n">
        <x:v>15.094339622640991</x:v>
      </x:c>
      <x:c r="O1308" s="12" t="str">
        <x:v>FTRL44G005</x:v>
      </x:c>
      <x:c r="P1308" s="12" t="str">
        <x:v>BDKM85G039</x:v>
      </x:c>
      <x:c r="Q1308" s="12" t="str"/>
      <x:c r="R1308" s="12" t="str"/>
      <x:c r="S1308" s="12" t="str"/>
      <x:c r="T1308" s="12" t="str">
        <x:v>ABM</x:v>
      </x:c>
      <x:c r="U1308" s="12" t="str"/>
      <x:c r="V1308" s="12" t="str"/>
      <x:c r="W1308" s="12" t="str"/>
      <x:c r="X1308" s="12" t="str">
        <x:v>BDKM85</x:v>
      </x:c>
      <x:c r="Y1308" s="12" t="str">
        <x:v>BADRI &amp; KAMRAN</x:v>
      </x:c>
      <x:c r="Z1308" s="12" t="str"/>
      <x:c r="AA1308" s="32" t="n">
        <x:f>IFERROR(VLOOKUP(G1308,Master_Unit!$A$2:$N$78,7,FALSE),"")</x:f>
        <x:v>30</x:v>
      </x:c>
      <x:c r="AB1308" s="32" t="n">
        <x:f>IF(OR(N1308="",AA1308=""),"",N1308-AA1308)</x:f>
        <x:v>-14.905660377359009</x:v>
      </x:c>
      <x:c r="AC1308" s="20" t="n">
        <x:f>IF(OR(N1308="",AA1308="",AA1308=0),"",AB1308/AA1308)</x:f>
        <x:v>-0.49685534591196695</x:v>
      </x:c>
      <x:c r="AD1308" t="str">
        <x:f>IF(AA1308="","NO STANDARD",IF(AC1308&lt;=Config_Status!$B$2,"EFFICIENT",IF(AC1308&lt;=Config_Status!$B$3,"NORMAL",IF(AC1308&lt;=Config_Status!$B$4,"WARNING","OVER CONSUMPTION"))))</x:f>
        <x:v>EFFICIENT</x:v>
      </x:c>
      <x:c r="AE1308" t="str">
        <x:f>IFERROR(VLOOKUP(G1308,Master_Unit!$A$2:$N$78,13,FALSE),"UNIT NOT FOUND")</x:f>
        <x:v>Matched</x:v>
      </x:c>
    </x:row>
    <x:row r="1309">
      <x:c r="A1309" s="12" t="str">
        <x:v>FU-20260620-01308</x:v>
      </x:c>
      <x:c r="B1309" s="12" t="n">
        <x:v>1438</x:v>
      </x:c>
      <x:c r="C1309" s="14" t="n">
        <x:v>46193</x:v>
      </x:c>
      <x:c r="D1309" s="12" t="str">
        <x:v>Sabtu</x:v>
      </x:c>
      <x:c r="E1309" s="12" t="str">
        <x:v>18:55:00</x:v>
      </x:c>
      <x:c r="F1309" s="12" t="str">
        <x:v>All Shift Night</x:v>
      </x:c>
      <x:c r="G1309" s="12" t="str">
        <x:v>EXVV21G039</x:v>
      </x:c>
      <x:c r="H1309" s="12" t="str">
        <x:v>Excavator</x:v>
      </x:c>
      <x:c r="I1309" s="12" t="str">
        <x:v>EXCAVATOR VOLVO EC210D</x:v>
      </x:c>
      <x:c r="J1309" s="16" t="n">
        <x:v>149</x:v>
      </x:c>
      <x:c r="K1309" s="16" t="n">
        <x:v>6436.1</x:v>
      </x:c>
      <x:c r="L1309" s="16" t="n">
        <x:v>6445.2</x:v>
      </x:c>
      <x:c r="M1309" s="16" t="n">
        <x:v>9.099999999999454</x:v>
      </x:c>
      <x:c r="N1309" s="16" t="n">
        <x:v>16.373626373627356</x:v>
      </x:c>
      <x:c r="O1309" s="12" t="str">
        <x:v>FTRL44G005</x:v>
      </x:c>
      <x:c r="P1309" s="12" t="str">
        <x:v>EXVV21G039</x:v>
      </x:c>
      <x:c r="Q1309" s="12" t="str"/>
      <x:c r="R1309" s="12" t="str"/>
      <x:c r="S1309" s="12" t="str"/>
      <x:c r="T1309" s="12" t="str">
        <x:v>ABM</x:v>
      </x:c>
      <x:c r="U1309" s="12" t="str"/>
      <x:c r="V1309" s="12" t="str"/>
      <x:c r="W1309" s="12" t="str"/>
      <x:c r="X1309" s="12" t="str">
        <x:v>EXVV21</x:v>
      </x:c>
      <x:c r="Y1309" s="12" t="str">
        <x:v>BADRI &amp; KAMRAN</x:v>
      </x:c>
      <x:c r="Z1309" s="12" t="str"/>
      <x:c r="AA1309" s="32" t="n">
        <x:f>IFERROR(VLOOKUP(G1309,Master_Unit!$A$2:$N$78,7,FALSE),"")</x:f>
        <x:v>20</x:v>
      </x:c>
      <x:c r="AB1309" s="32" t="n">
        <x:f>IF(OR(N1309="",AA1309=""),"",N1309-AA1309)</x:f>
        <x:v>-3.6263736263726436</x:v>
      </x:c>
      <x:c r="AC1309" s="20" t="n">
        <x:f>IF(OR(N1309="",AA1309="",AA1309=0),"",AB1309/AA1309)</x:f>
        <x:v>-0.18131868131863219</x:v>
      </x:c>
      <x:c r="AD1309" t="str">
        <x:f>IF(AA1309="","NO STANDARD",IF(AC1309&lt;=Config_Status!$B$2,"EFFICIENT",IF(AC1309&lt;=Config_Status!$B$3,"NORMAL",IF(AC1309&lt;=Config_Status!$B$4,"WARNING","OVER CONSUMPTION"))))</x:f>
        <x:v>EFFICIENT</x:v>
      </x:c>
      <x:c r="AE1309" t="str">
        <x:f>IFERROR(VLOOKUP(G1309,Master_Unit!$A$2:$N$78,13,FALSE),"UNIT NOT FOUND")</x:f>
        <x:v>Matched</x:v>
      </x:c>
    </x:row>
    <x:row r="1310">
      <x:c r="A1310" s="12" t="str">
        <x:v>FU-20260620-01309</x:v>
      </x:c>
      <x:c r="B1310" s="12" t="n">
        <x:v>1439</x:v>
      </x:c>
      <x:c r="C1310" s="14" t="n">
        <x:v>46193</x:v>
      </x:c>
      <x:c r="D1310" s="12" t="str">
        <x:v>Sabtu</x:v>
      </x:c>
      <x:c r="E1310" s="12" t="str">
        <x:v>19:03:00</x:v>
      </x:c>
      <x:c r="F1310" s="12" t="str">
        <x:v>All Shift Night</x:v>
      </x:c>
      <x:c r="G1310" s="12" t="str">
        <x:v>EXVV21G040</x:v>
      </x:c>
      <x:c r="H1310" s="12" t="str">
        <x:v>Excavator</x:v>
      </x:c>
      <x:c r="I1310" s="12" t="str">
        <x:v>EXCAVATOR VOLVO EC210D</x:v>
      </x:c>
      <x:c r="J1310" s="16" t="n">
        <x:v>153</x:v>
      </x:c>
      <x:c r="K1310" s="16" t="n">
        <x:v>6722.8</x:v>
      </x:c>
      <x:c r="L1310" s="16" t="n">
        <x:v>6731.6</x:v>
      </x:c>
      <x:c r="M1310" s="16" t="n">
        <x:v>8.800000000000182</x:v>
      </x:c>
      <x:c r="N1310" s="16" t="n">
        <x:v>17.386363636363278</x:v>
      </x:c>
      <x:c r="O1310" s="12" t="str">
        <x:v>FTRL44G005</x:v>
      </x:c>
      <x:c r="P1310" s="12" t="str">
        <x:v>EXVV21G040</x:v>
      </x:c>
      <x:c r="Q1310" s="12" t="str"/>
      <x:c r="R1310" s="12" t="str"/>
      <x:c r="S1310" s="12" t="str"/>
      <x:c r="T1310" s="12" t="str">
        <x:v>ABM</x:v>
      </x:c>
      <x:c r="U1310" s="12" t="str"/>
      <x:c r="V1310" s="12" t="str"/>
      <x:c r="W1310" s="12" t="str"/>
      <x:c r="X1310" s="12" t="str">
        <x:v>EXVV21</x:v>
      </x:c>
      <x:c r="Y1310" s="12" t="str">
        <x:v>BADRI &amp; KAMRAN</x:v>
      </x:c>
      <x:c r="Z1310" s="12" t="str"/>
      <x:c r="AA1310" s="32" t="n">
        <x:f>IFERROR(VLOOKUP(G1310,Master_Unit!$A$2:$N$78,7,FALSE),"")</x:f>
        <x:v>20</x:v>
      </x:c>
      <x:c r="AB1310" s="32" t="n">
        <x:f>IF(OR(N1310="",AA1310=""),"",N1310-AA1310)</x:f>
        <x:v>-2.613636363636722</x:v>
      </x:c>
      <x:c r="AC1310" s="20" t="n">
        <x:f>IF(OR(N1310="",AA1310="",AA1310=0),"",AB1310/AA1310)</x:f>
        <x:v>-0.1306818181818361</x:v>
      </x:c>
      <x:c r="AD1310" t="str">
        <x:f>IF(AA1310="","NO STANDARD",IF(AC1310&lt;=Config_Status!$B$2,"EFFICIENT",IF(AC1310&lt;=Config_Status!$B$3,"NORMAL",IF(AC1310&lt;=Config_Status!$B$4,"WARNING","OVER CONSUMPTION"))))</x:f>
        <x:v>EFFICIENT</x:v>
      </x:c>
      <x:c r="AE1310" t="str">
        <x:f>IFERROR(VLOOKUP(G1310,Master_Unit!$A$2:$N$78,13,FALSE),"UNIT NOT FOUND")</x:f>
        <x:v>Matched</x:v>
      </x:c>
    </x:row>
    <x:row r="1311">
      <x:c r="A1311" s="12" t="str">
        <x:v>FU-20260620-01310</x:v>
      </x:c>
      <x:c r="B1311" s="12" t="n">
        <x:v>1440</x:v>
      </x:c>
      <x:c r="C1311" s="14" t="n">
        <x:v>46193</x:v>
      </x:c>
      <x:c r="D1311" s="12" t="str">
        <x:v>Sabtu</x:v>
      </x:c>
      <x:c r="E1311" s="12" t="str">
        <x:v>19:13:00</x:v>
      </x:c>
      <x:c r="F1311" s="12" t="str">
        <x:v>All Shift Night</x:v>
      </x:c>
      <x:c r="G1311" s="12" t="str">
        <x:v>EXVV21G036</x:v>
      </x:c>
      <x:c r="H1311" s="12" t="str">
        <x:v>Excavator</x:v>
      </x:c>
      <x:c r="I1311" s="12" t="str">
        <x:v>EXCAVATOR VOLVO EC210D</x:v>
      </x:c>
      <x:c r="J1311" s="16" t="n">
        <x:v>153</x:v>
      </x:c>
      <x:c r="K1311" s="16" t="n">
        <x:v>7715.9</x:v>
      </x:c>
      <x:c r="L1311" s="16" t="n">
        <x:v>7720.9</x:v>
      </x:c>
      <x:c r="M1311" s="16" t="n">
        <x:v>5</x:v>
      </x:c>
      <x:c r="N1311" s="16" t="n">
        <x:v>30.6</x:v>
      </x:c>
      <x:c r="O1311" s="12" t="str">
        <x:v>FTRL44G005</x:v>
      </x:c>
      <x:c r="P1311" s="12" t="str">
        <x:v>EXVV21G036</x:v>
      </x:c>
      <x:c r="Q1311" s="12" t="str"/>
      <x:c r="R1311" s="12" t="str"/>
      <x:c r="S1311" s="12" t="str"/>
      <x:c r="T1311" s="12" t="str">
        <x:v>ABM</x:v>
      </x:c>
      <x:c r="U1311" s="12" t="str"/>
      <x:c r="V1311" s="12" t="str"/>
      <x:c r="W1311" s="12" t="str"/>
      <x:c r="X1311" s="12" t="str">
        <x:v>EXVV21</x:v>
      </x:c>
      <x:c r="Y1311" s="12" t="str">
        <x:v>BADRI &amp; KAMRAN</x:v>
      </x:c>
      <x:c r="Z1311" s="12" t="str"/>
      <x:c r="AA1311" s="32" t="n">
        <x:f>IFERROR(VLOOKUP(G1311,Master_Unit!$A$2:$N$78,7,FALSE),"")</x:f>
        <x:v>20</x:v>
      </x:c>
      <x:c r="AB1311" s="32" t="n">
        <x:f>IF(OR(N1311="",AA1311=""),"",N1311-AA1311)</x:f>
        <x:v>10.600000000000001</x:v>
      </x:c>
      <x:c r="AC1311" s="20" t="n">
        <x:f>IF(OR(N1311="",AA1311="",AA1311=0),"",AB1311/AA1311)</x:f>
        <x:v>0.53</x:v>
      </x:c>
      <x:c r="AD1311" t="str">
        <x:f>IF(AA1311="","NO STANDARD",IF(AC1311&lt;=Config_Status!$B$2,"EFFICIENT",IF(AC1311&lt;=Config_Status!$B$3,"NORMAL",IF(AC1311&lt;=Config_Status!$B$4,"WARNING","OVER CONSUMPTION"))))</x:f>
        <x:v>OVER CONSUMPTION</x:v>
      </x:c>
      <x:c r="AE1311" t="str">
        <x:f>IFERROR(VLOOKUP(G1311,Master_Unit!$A$2:$N$78,13,FALSE),"UNIT NOT FOUND")</x:f>
        <x:v>Matched</x:v>
      </x:c>
    </x:row>
    <x:row r="1312">
      <x:c r="A1312" s="12" t="str">
        <x:v>FU-20260620-01311</x:v>
      </x:c>
      <x:c r="B1312" s="12" t="n">
        <x:v>1441</x:v>
      </x:c>
      <x:c r="C1312" s="14" t="n">
        <x:v>46193</x:v>
      </x:c>
      <x:c r="D1312" s="12" t="str">
        <x:v>Sabtu</x:v>
      </x:c>
      <x:c r="E1312" s="12" t="str">
        <x:v>19:25:00</x:v>
      </x:c>
      <x:c r="F1312" s="12" t="str">
        <x:v>All Shift Night</x:v>
      </x:c>
      <x:c r="G1312" s="12" t="str">
        <x:v>EXVV21G042</x:v>
      </x:c>
      <x:c r="H1312" s="12" t="str">
        <x:v>Excavator</x:v>
      </x:c>
      <x:c r="I1312" s="12" t="str">
        <x:v>EXCAVATOR VOLVO EC210D</x:v>
      </x:c>
      <x:c r="J1312" s="16" t="n">
        <x:v>149</x:v>
      </x:c>
      <x:c r="K1312" s="16" t="n">
        <x:v>7885.2</x:v>
      </x:c>
      <x:c r="L1312" s="16" t="n">
        <x:v>7904.4</x:v>
      </x:c>
      <x:c r="M1312" s="16" t="n">
        <x:v>19.199999999999818</x:v>
      </x:c>
      <x:c r="N1312" s="16" t="n">
        <x:v>7.76041666666674</x:v>
      </x:c>
      <x:c r="O1312" s="12" t="str">
        <x:v>FTRL44G005</x:v>
      </x:c>
      <x:c r="P1312" s="12" t="str">
        <x:v>EXVV21G042</x:v>
      </x:c>
      <x:c r="Q1312" s="12" t="str"/>
      <x:c r="R1312" s="12" t="str"/>
      <x:c r="S1312" s="12" t="str"/>
      <x:c r="T1312" s="12" t="str">
        <x:v>ABM</x:v>
      </x:c>
      <x:c r="U1312" s="12" t="str"/>
      <x:c r="V1312" s="12" t="str"/>
      <x:c r="W1312" s="12" t="str"/>
      <x:c r="X1312" s="12" t="str">
        <x:v>EXVV21</x:v>
      </x:c>
      <x:c r="Y1312" s="12" t="str">
        <x:v>BADRI &amp; KAMRAN</x:v>
      </x:c>
      <x:c r="Z1312" s="12" t="str"/>
      <x:c r="AA1312" s="32" t="n">
        <x:f>IFERROR(VLOOKUP(G1312,Master_Unit!$A$2:$N$78,7,FALSE),"")</x:f>
        <x:v>20</x:v>
      </x:c>
      <x:c r="AB1312" s="32" t="n">
        <x:f>IF(OR(N1312="",AA1312=""),"",N1312-AA1312)</x:f>
        <x:v>-12.239583333333261</x:v>
      </x:c>
      <x:c r="AC1312" s="20" t="n">
        <x:f>IF(OR(N1312="",AA1312="",AA1312=0),"",AB1312/AA1312)</x:f>
        <x:v>-0.6119791666666631</x:v>
      </x:c>
      <x:c r="AD1312" t="str">
        <x:f>IF(AA1312="","NO STANDARD",IF(AC1312&lt;=Config_Status!$B$2,"EFFICIENT",IF(AC1312&lt;=Config_Status!$B$3,"NORMAL",IF(AC1312&lt;=Config_Status!$B$4,"WARNING","OVER CONSUMPTION"))))</x:f>
        <x:v>EFFICIENT</x:v>
      </x:c>
      <x:c r="AE1312" t="str">
        <x:f>IFERROR(VLOOKUP(G1312,Master_Unit!$A$2:$N$78,13,FALSE),"UNIT NOT FOUND")</x:f>
        <x:v>Matched</x:v>
      </x:c>
    </x:row>
    <x:row r="1313">
      <x:c r="A1313" s="12" t="str">
        <x:v>FU-20260620-01312</x:v>
      </x:c>
      <x:c r="B1313" s="12" t="n">
        <x:v>1442</x:v>
      </x:c>
      <x:c r="C1313" s="14" t="n">
        <x:v>46193</x:v>
      </x:c>
      <x:c r="D1313" s="12" t="str">
        <x:v>Sabtu</x:v>
      </x:c>
      <x:c r="E1313" s="12" t="str">
        <x:v>19:32:00</x:v>
      </x:c>
      <x:c r="F1313" s="12" t="str">
        <x:v>All Shift Night</x:v>
      </x:c>
      <x:c r="G1313" s="12" t="str">
        <x:v>EXVV21G035</x:v>
      </x:c>
      <x:c r="H1313" s="12" t="str">
        <x:v>Excavator</x:v>
      </x:c>
      <x:c r="I1313" s="12" t="str">
        <x:v>EXCAVATOR VOLVO EC210D</x:v>
      </x:c>
      <x:c r="J1313" s="16" t="n">
        <x:v>149</x:v>
      </x:c>
      <x:c r="K1313" s="16" t="n">
        <x:v>8540.7</x:v>
      </x:c>
      <x:c r="L1313" s="16" t="n">
        <x:v>8548.4</x:v>
      </x:c>
      <x:c r="M1313" s="16" t="n">
        <x:v>7.699999999998909</x:v>
      </x:c>
      <x:c r="N1313" s="16" t="n">
        <x:v>19.350649350652095</x:v>
      </x:c>
      <x:c r="O1313" s="12" t="str">
        <x:v>FTRL44G005</x:v>
      </x:c>
      <x:c r="P1313" s="12" t="str">
        <x:v>EXVV21G035</x:v>
      </x:c>
      <x:c r="Q1313" s="12" t="str"/>
      <x:c r="R1313" s="12" t="str"/>
      <x:c r="S1313" s="12" t="str"/>
      <x:c r="T1313" s="12" t="str">
        <x:v>ABM</x:v>
      </x:c>
      <x:c r="U1313" s="12" t="str"/>
      <x:c r="V1313" s="12" t="str"/>
      <x:c r="W1313" s="12" t="str"/>
      <x:c r="X1313" s="12" t="str">
        <x:v>EXVV21</x:v>
      </x:c>
      <x:c r="Y1313" s="12" t="str">
        <x:v>BADRI &amp; KAMRAN</x:v>
      </x:c>
      <x:c r="Z1313" s="12" t="str"/>
      <x:c r="AA1313" s="32" t="n">
        <x:f>IFERROR(VLOOKUP(G1313,Master_Unit!$A$2:$N$78,7,FALSE),"")</x:f>
        <x:v>20</x:v>
      </x:c>
      <x:c r="AB1313" s="32" t="n">
        <x:f>IF(OR(N1313="",AA1313=""),"",N1313-AA1313)</x:f>
        <x:v>-0.6493506493479053</x:v>
      </x:c>
      <x:c r="AC1313" s="20" t="n">
        <x:f>IF(OR(N1313="",AA1313="",AA1313=0),"",AB1313/AA1313)</x:f>
        <x:v>-0.03246753246739527</x:v>
      </x:c>
      <x:c r="AD1313" t="str">
        <x:f>IF(AA1313="","NO STANDARD",IF(AC1313&lt;=Config_Status!$B$2,"EFFICIENT",IF(AC1313&lt;=Config_Status!$B$3,"NORMAL",IF(AC1313&lt;=Config_Status!$B$4,"WARNING","OVER CONSUMPTION"))))</x:f>
        <x:v>NORMAL</x:v>
      </x:c>
      <x:c r="AE1313" t="str">
        <x:f>IFERROR(VLOOKUP(G1313,Master_Unit!$A$2:$N$78,13,FALSE),"UNIT NOT FOUND")</x:f>
        <x:v>Matched</x:v>
      </x:c>
    </x:row>
    <x:row r="1314">
      <x:c r="A1314" s="12" t="str">
        <x:v>FU-20260620-01313</x:v>
      </x:c>
      <x:c r="B1314" s="12" t="n">
        <x:v>1443</x:v>
      </x:c>
      <x:c r="C1314" s="14" t="n">
        <x:v>46193</x:v>
      </x:c>
      <x:c r="D1314" s="12" t="str">
        <x:v>Sabtu</x:v>
      </x:c>
      <x:c r="E1314" s="12" t="str">
        <x:v>19:47:00</x:v>
      </x:c>
      <x:c r="F1314" s="12" t="str">
        <x:v>All Shift Night</x:v>
      </x:c>
      <x:c r="G1314" s="12" t="str">
        <x:v>EXVV35G005</x:v>
      </x:c>
      <x:c r="H1314" s="12" t="str">
        <x:v>Excavator</x:v>
      </x:c>
      <x:c r="I1314" s="12" t="str">
        <x:v>EXCAVATOR VOLVO EC350D</x:v>
      </x:c>
      <x:c r="J1314" s="16" t="n">
        <x:v>219</x:v>
      </x:c>
      <x:c r="K1314" s="16" t="n">
        <x:v>5324.8</x:v>
      </x:c>
      <x:c r="L1314" s="16" t="n">
        <x:v>5329.5</x:v>
      </x:c>
      <x:c r="M1314" s="16" t="n">
        <x:v>4.699999999999818</x:v>
      </x:c>
      <x:c r="N1314" s="16" t="n">
        <x:v>46.59574468085287</x:v>
      </x:c>
      <x:c r="O1314" s="12" t="str">
        <x:v>FTRL44G005</x:v>
      </x:c>
      <x:c r="P1314" s="12" t="str">
        <x:v>EXVV35G005</x:v>
      </x:c>
      <x:c r="Q1314" s="12" t="str"/>
      <x:c r="R1314" s="12" t="str"/>
      <x:c r="S1314" s="12" t="str"/>
      <x:c r="T1314" s="12" t="str">
        <x:v>ABM</x:v>
      </x:c>
      <x:c r="U1314" s="12" t="str"/>
      <x:c r="V1314" s="12" t="str"/>
      <x:c r="W1314" s="12" t="str"/>
      <x:c r="X1314" s="12" t="str">
        <x:v>EXVV35</x:v>
      </x:c>
      <x:c r="Y1314" s="12" t="str">
        <x:v>BADRI &amp; KAMRAN</x:v>
      </x:c>
      <x:c r="Z1314" s="12" t="str"/>
      <x:c r="AA1314" s="32" t="n">
        <x:f>IFERROR(VLOOKUP(G1314,Master_Unit!$A$2:$N$78,7,FALSE),"")</x:f>
        <x:v>25</x:v>
      </x:c>
      <x:c r="AB1314" s="32" t="n">
        <x:f>IF(OR(N1314="",AA1314=""),"",N1314-AA1314)</x:f>
        <x:v>21.595744680852867</x:v>
      </x:c>
      <x:c r="AC1314" s="20" t="n">
        <x:f>IF(OR(N1314="",AA1314="",AA1314=0),"",AB1314/AA1314)</x:f>
        <x:v>0.8638297872341147</x:v>
      </x:c>
      <x:c r="AD1314" t="str">
        <x:f>IF(AA1314="","NO STANDARD",IF(AC1314&lt;=Config_Status!$B$2,"EFFICIENT",IF(AC1314&lt;=Config_Status!$B$3,"NORMAL",IF(AC1314&lt;=Config_Status!$B$4,"WARNING","OVER CONSUMPTION"))))</x:f>
        <x:v>OVER CONSUMPTION</x:v>
      </x:c>
      <x:c r="AE1314" t="str">
        <x:f>IFERROR(VLOOKUP(G1314,Master_Unit!$A$2:$N$78,13,FALSE),"UNIT NOT FOUND")</x:f>
        <x:v>Matched</x:v>
      </x:c>
    </x:row>
    <x:row r="1315">
      <x:c r="A1315" s="12" t="str">
        <x:v>FU-20260620-01314</x:v>
      </x:c>
      <x:c r="B1315" s="12" t="n">
        <x:v>1444</x:v>
      </x:c>
      <x:c r="C1315" s="14" t="n">
        <x:v>46193</x:v>
      </x:c>
      <x:c r="D1315" s="12" t="str">
        <x:v>Sabtu</x:v>
      </x:c>
      <x:c r="E1315" s="12" t="str">
        <x:v>19:53:00</x:v>
      </x:c>
      <x:c r="F1315" s="12" t="str">
        <x:v>All Shift Night</x:v>
      </x:c>
      <x:c r="G1315" s="12" t="str">
        <x:v>MGSD20G006</x:v>
      </x:c>
      <x:c r="H1315" s="12" t="str">
        <x:v>Other</x:v>
      </x:c>
      <x:c r="I1315" s="12" t="str">
        <x:v>MOTOR GRADER SDLG GD9220F</x:v>
      </x:c>
      <x:c r="J1315" s="16" t="n">
        <x:v>100</x:v>
      </x:c>
      <x:c r="K1315" s="16" t="n">
        <x:v>2029.6</x:v>
      </x:c>
      <x:c r="L1315" s="16" t="n">
        <x:v>2040.3</x:v>
      </x:c>
      <x:c r="M1315" s="16" t="n">
        <x:v>10.700000000000045</x:v>
      </x:c>
      <x:c r="N1315" s="16" t="n">
        <x:v>9.345794392523326</x:v>
      </x:c>
      <x:c r="O1315" s="12" t="str">
        <x:v>FTRL44G005</x:v>
      </x:c>
      <x:c r="P1315" s="12" t="str">
        <x:v>MGSD20G006</x:v>
      </x:c>
      <x:c r="Q1315" s="12" t="str"/>
      <x:c r="R1315" s="12" t="str"/>
      <x:c r="S1315" s="12" t="str"/>
      <x:c r="T1315" s="12" t="str">
        <x:v>ABM</x:v>
      </x:c>
      <x:c r="U1315" s="12" t="str"/>
      <x:c r="V1315" s="12" t="str"/>
      <x:c r="W1315" s="12" t="str"/>
      <x:c r="X1315" s="12" t="str">
        <x:v>MGSD20</x:v>
      </x:c>
      <x:c r="Y1315" s="12" t="str">
        <x:v>BADRI &amp; KAMRAN</x:v>
      </x:c>
      <x:c r="Z1315" s="12" t="str"/>
      <x:c r="AA1315" s="32" t="n">
        <x:f>IFERROR(VLOOKUP(G1315,Master_Unit!$A$2:$N$78,7,FALSE),"")</x:f>
        <x:v>20</x:v>
      </x:c>
      <x:c r="AB1315" s="32" t="n">
        <x:f>IF(OR(N1315="",AA1315=""),"",N1315-AA1315)</x:f>
        <x:v>-10.654205607476674</x:v>
      </x:c>
      <x:c r="AC1315" s="20" t="n">
        <x:f>IF(OR(N1315="",AA1315="",AA1315=0),"",AB1315/AA1315)</x:f>
        <x:v>-0.5327102803738337</x:v>
      </x:c>
      <x:c r="AD1315" t="str">
        <x:f>IF(AA1315="","NO STANDARD",IF(AC1315&lt;=Config_Status!$B$2,"EFFICIENT",IF(AC1315&lt;=Config_Status!$B$3,"NORMAL",IF(AC1315&lt;=Config_Status!$B$4,"WARNING","OVER CONSUMPTION"))))</x:f>
        <x:v>EFFICIENT</x:v>
      </x:c>
      <x:c r="AE1315" t="str">
        <x:f>IFERROR(VLOOKUP(G1315,Master_Unit!$A$2:$N$78,13,FALSE),"UNIT NOT FOUND")</x:f>
        <x:v>Matched</x:v>
      </x:c>
    </x:row>
    <x:row r="1316">
      <x:c r="A1316" s="12" t="str">
        <x:v>FU-20260620-01315</x:v>
      </x:c>
      <x:c r="B1316" s="12" t="n">
        <x:v>1445</x:v>
      </x:c>
      <x:c r="C1316" s="14" t="n">
        <x:v>46193</x:v>
      </x:c>
      <x:c r="D1316" s="12" t="str">
        <x:v>Sabtu</x:v>
      </x:c>
      <x:c r="E1316" s="12" t="str">
        <x:v>19:57:00</x:v>
      </x:c>
      <x:c r="F1316" s="12" t="str">
        <x:v>All Shift Night</x:v>
      </x:c>
      <x:c r="G1316" s="12" t="str">
        <x:v>STRL44G135</x:v>
      </x:c>
      <x:c r="H1316" s="12" t="str">
        <x:v>Dump Truck</x:v>
      </x:c>
      <x:c r="I1316" s="12" t="str">
        <x:v>DUMP TRUCK RENAULT KRANGE440-P6X4 A/T</x:v>
      </x:c>
      <x:c r="J1316" s="16" t="n">
        <x:v>114</x:v>
      </x:c>
      <x:c r="K1316" s="16" t="n">
        <x:v>5960</x:v>
      </x:c>
      <x:c r="L1316" s="16" t="n">
        <x:v>5983</x:v>
      </x:c>
      <x:c r="M1316" s="16" t="n">
        <x:v>23</x:v>
      </x:c>
      <x:c r="N1316" s="16" t="n">
        <x:v>4.956521739130435</x:v>
      </x:c>
      <x:c r="O1316" s="12" t="str">
        <x:v>FTRL44G005</x:v>
      </x:c>
      <x:c r="P1316" s="12" t="str">
        <x:v>STRL44G135</x:v>
      </x:c>
      <x:c r="Q1316" s="12" t="str"/>
      <x:c r="R1316" s="12" t="str"/>
      <x:c r="S1316" s="12" t="str"/>
      <x:c r="T1316" s="12" t="str">
        <x:v>ABM</x:v>
      </x:c>
      <x:c r="U1316" s="12" t="str"/>
      <x:c r="V1316" s="12" t="str"/>
      <x:c r="W1316" s="12" t="str"/>
      <x:c r="X1316" s="12" t="str">
        <x:v>STRL44</x:v>
      </x:c>
      <x:c r="Y1316" s="12" t="str">
        <x:v>BADRI &amp; KAMRAN</x:v>
      </x:c>
      <x:c r="Z1316" s="12" t="str"/>
      <x:c r="AA1316" s="32" t="n">
        <x:f>IFERROR(VLOOKUP(G1316,Master_Unit!$A$2:$N$78,7,FALSE),"")</x:f>
        <x:v>20</x:v>
      </x:c>
      <x:c r="AB1316" s="32" t="n">
        <x:f>IF(OR(N1316="",AA1316=""),"",N1316-AA1316)</x:f>
        <x:v>-15.043478260869566</x:v>
      </x:c>
      <x:c r="AC1316" s="20" t="n">
        <x:f>IF(OR(N1316="",AA1316="",AA1316=0),"",AB1316/AA1316)</x:f>
        <x:v>-0.7521739130434784</x:v>
      </x:c>
      <x:c r="AD1316" t="str">
        <x:f>IF(AA1316="","NO STANDARD",IF(AC1316&lt;=Config_Status!$B$2,"EFFICIENT",IF(AC1316&lt;=Config_Status!$B$3,"NORMAL",IF(AC1316&lt;=Config_Status!$B$4,"WARNING","OVER CONSUMPTION"))))</x:f>
        <x:v>EFFICIENT</x:v>
      </x:c>
      <x:c r="AE1316" t="str">
        <x:f>IFERROR(VLOOKUP(G1316,Master_Unit!$A$2:$N$78,13,FALSE),"UNIT NOT FOUND")</x:f>
        <x:v>Matched</x:v>
      </x:c>
    </x:row>
    <x:row r="1317">
      <x:c r="A1317" s="12" t="str">
        <x:v>FU-20260620-01316</x:v>
      </x:c>
      <x:c r="B1317" s="12" t="n">
        <x:v>1446</x:v>
      </x:c>
      <x:c r="C1317" s="14" t="n">
        <x:v>46193</x:v>
      </x:c>
      <x:c r="D1317" s="12" t="str">
        <x:v>Sabtu</x:v>
      </x:c>
      <x:c r="E1317" s="12" t="str">
        <x:v>20:02:00</x:v>
      </x:c>
      <x:c r="F1317" s="12" t="str">
        <x:v>All Shift Night</x:v>
      </x:c>
      <x:c r="G1317" s="12" t="str">
        <x:v>LVTH24R033</x:v>
      </x:c>
      <x:c r="H1317" s="12" t="str">
        <x:v>Light Vehicle</x:v>
      </x:c>
      <x:c r="I1317" s="12" t="str">
        <x:v>LIGHT VEHICLE TOYOTA HILUX</x:v>
      </x:c>
      <x:c r="J1317" s="16" t="n">
        <x:v>14</x:v>
      </x:c>
      <x:c r="K1317" s="16" t="n">
        <x:v>140652</x:v>
      </x:c>
      <x:c r="L1317" s="16" t="n">
        <x:v>140733</x:v>
      </x:c>
      <x:c r="M1317" s="16" t="n">
        <x:v>81</x:v>
      </x:c>
      <x:c r="N1317" s="16" t="n">
        <x:v>0.1728395061728395</x:v>
      </x:c>
      <x:c r="O1317" s="12" t="str">
        <x:v>FTRL44G005</x:v>
      </x:c>
      <x:c r="P1317" s="12" t="str">
        <x:v>LVTH24R033</x:v>
      </x:c>
      <x:c r="Q1317" s="12" t="str"/>
      <x:c r="R1317" s="12" t="str"/>
      <x:c r="S1317" s="12" t="str"/>
      <x:c r="T1317" s="12" t="str">
        <x:v>ABM</x:v>
      </x:c>
      <x:c r="U1317" s="12" t="str"/>
      <x:c r="V1317" s="12" t="str"/>
      <x:c r="W1317" s="12" t="str"/>
      <x:c r="X1317" s="12" t="str">
        <x:v>LVTH24</x:v>
      </x:c>
      <x:c r="Y1317" s="12" t="str">
        <x:v>BADRI &amp; KAMRAN</x:v>
      </x:c>
      <x:c r="Z1317" s="12" t="str"/>
      <x:c r="AA1317" s="32" t="n">
        <x:f>IFERROR(VLOOKUP(G1317,Master_Unit!$A$2:$N$78,7,FALSE),"")</x:f>
        <x:v>0.2</x:v>
      </x:c>
      <x:c r="AB1317" s="32" t="n">
        <x:f>IF(OR(N1317="",AA1317=""),"",N1317-AA1317)</x:f>
        <x:v>-0.027160493827160515</x:v>
      </x:c>
      <x:c r="AC1317" s="20" t="n">
        <x:f>IF(OR(N1317="",AA1317="",AA1317=0),"",AB1317/AA1317)</x:f>
        <x:v>-0.13580246913580257</x:v>
      </x:c>
      <x:c r="AD1317" t="str">
        <x:f>IF(AA1317="","NO STANDARD",IF(AC1317&lt;=Config_Status!$B$2,"EFFICIENT",IF(AC1317&lt;=Config_Status!$B$3,"NORMAL",IF(AC1317&lt;=Config_Status!$B$4,"WARNING","OVER CONSUMPTION"))))</x:f>
        <x:v>EFFICIENT</x:v>
      </x:c>
      <x:c r="AE1317" t="str">
        <x:f>IFERROR(VLOOKUP(G1317,Master_Unit!$A$2:$N$78,13,FALSE),"UNIT NOT FOUND")</x:f>
        <x:v>Matched</x:v>
      </x:c>
    </x:row>
    <x:row r="1318">
      <x:c r="A1318" s="12" t="str">
        <x:v>FU-20260620-01317</x:v>
      </x:c>
      <x:c r="B1318" s="12" t="n">
        <x:v>1447</x:v>
      </x:c>
      <x:c r="C1318" s="14" t="n">
        <x:v>46193</x:v>
      </x:c>
      <x:c r="D1318" s="12" t="str">
        <x:v>Sabtu</x:v>
      </x:c>
      <x:c r="E1318" s="12" t="str">
        <x:v>20:05:00</x:v>
      </x:c>
      <x:c r="F1318" s="12" t="str">
        <x:v>All Shift Night</x:v>
      </x:c>
      <x:c r="G1318" s="12" t="str">
        <x:v>VRVV11G013</x:v>
      </x:c>
      <x:c r="H1318" s="12" t="str">
        <x:v>Compactor</x:v>
      </x:c>
      <x:c r="I1318" s="12" t="str">
        <x:v>VIBRO COMPACTOR VOLVO SD110NE</x:v>
      </x:c>
      <x:c r="J1318" s="16" t="n">
        <x:v>60</x:v>
      </x:c>
      <x:c r="K1318" s="16" t="n">
        <x:v>3278.9</x:v>
      </x:c>
      <x:c r="L1318" s="16" t="n">
        <x:v>3284</x:v>
      </x:c>
      <x:c r="M1318" s="16" t="n">
        <x:v>5.099999999999909</x:v>
      </x:c>
      <x:c r="N1318" s="16" t="n">
        <x:v>11.764705882353152</x:v>
      </x:c>
      <x:c r="O1318" s="12" t="str">
        <x:v>FTRL44G005</x:v>
      </x:c>
      <x:c r="P1318" s="12" t="str">
        <x:v>VRVV11G013</x:v>
      </x:c>
      <x:c r="Q1318" s="12" t="str"/>
      <x:c r="R1318" s="12" t="str"/>
      <x:c r="S1318" s="12" t="str"/>
      <x:c r="T1318" s="12" t="str">
        <x:v>ABM</x:v>
      </x:c>
      <x:c r="U1318" s="12" t="str"/>
      <x:c r="V1318" s="12" t="str"/>
      <x:c r="W1318" s="12" t="str"/>
      <x:c r="X1318" s="12" t="str">
        <x:v>VRVV11</x:v>
      </x:c>
      <x:c r="Y1318" s="12" t="str">
        <x:v>BADRI &amp; KAMRAN</x:v>
      </x:c>
      <x:c r="Z1318" s="12" t="str"/>
      <x:c r="AA1318" s="32" t="n">
        <x:f>IFERROR(VLOOKUP(G1318,Master_Unit!$A$2:$N$78,7,FALSE),"")</x:f>
        <x:v>15</x:v>
      </x:c>
      <x:c r="AB1318" s="32" t="n">
        <x:f>IF(OR(N1318="",AA1318=""),"",N1318-AA1318)</x:f>
        <x:v>-3.2352941176468484</x:v>
      </x:c>
      <x:c r="AC1318" s="20" t="n">
        <x:f>IF(OR(N1318="",AA1318="",AA1318=0),"",AB1318/AA1318)</x:f>
        <x:v>-0.2156862745097899</x:v>
      </x:c>
      <x:c r="AD1318" t="str">
        <x:f>IF(AA1318="","NO STANDARD",IF(AC1318&lt;=Config_Status!$B$2,"EFFICIENT",IF(AC1318&lt;=Config_Status!$B$3,"NORMAL",IF(AC1318&lt;=Config_Status!$B$4,"WARNING","OVER CONSUMPTION"))))</x:f>
        <x:v>EFFICIENT</x:v>
      </x:c>
      <x:c r="AE1318" t="str">
        <x:f>IFERROR(VLOOKUP(G1318,Master_Unit!$A$2:$N$78,13,FALSE),"UNIT NOT FOUND")</x:f>
        <x:v>Matched</x:v>
      </x:c>
    </x:row>
    <x:row r="1319">
      <x:c r="A1319" s="12" t="str">
        <x:v>FU-20260620-01318</x:v>
      </x:c>
      <x:c r="B1319" s="12" t="n">
        <x:v>1448</x:v>
      </x:c>
      <x:c r="C1319" s="14" t="n">
        <x:v>46193</x:v>
      </x:c>
      <x:c r="D1319" s="12" t="str">
        <x:v>Sabtu</x:v>
      </x:c>
      <x:c r="E1319" s="12" t="str">
        <x:v>20:18:00</x:v>
      </x:c>
      <x:c r="F1319" s="12" t="str">
        <x:v>All Shift Night</x:v>
      </x:c>
      <x:c r="G1319" s="12" t="str">
        <x:v>STRL44G138</x:v>
      </x:c>
      <x:c r="H1319" s="12" t="str">
        <x:v>Dump Truck</x:v>
      </x:c>
      <x:c r="I1319" s="12" t="str">
        <x:v>DUMP TRUCK RENAULT KRANGE440-P6X4 A/T</x:v>
      </x:c>
      <x:c r="J1319" s="16" t="n">
        <x:v>158</x:v>
      </x:c>
      <x:c r="K1319" s="16" t="n">
        <x:v>5406</x:v>
      </x:c>
      <x:c r="L1319" s="16" t="n">
        <x:v>5426</x:v>
      </x:c>
      <x:c r="M1319" s="16" t="n">
        <x:v>20</x:v>
      </x:c>
      <x:c r="N1319" s="16" t="n">
        <x:v>7.9</x:v>
      </x:c>
      <x:c r="O1319" s="12" t="str">
        <x:v>FTRL44G005</x:v>
      </x:c>
      <x:c r="P1319" s="12" t="str">
        <x:v>STRL44G138</x:v>
      </x:c>
      <x:c r="Q1319" s="12" t="str"/>
      <x:c r="R1319" s="12" t="str"/>
      <x:c r="S1319" s="12" t="str"/>
      <x:c r="T1319" s="12" t="str">
        <x:v>ABM</x:v>
      </x:c>
      <x:c r="U1319" s="12" t="str"/>
      <x:c r="V1319" s="12" t="str"/>
      <x:c r="W1319" s="12" t="str"/>
      <x:c r="X1319" s="12" t="str">
        <x:v>STRL44</x:v>
      </x:c>
      <x:c r="Y1319" s="12" t="str">
        <x:v>BADRI &amp; KAMRAN</x:v>
      </x:c>
      <x:c r="Z1319" s="12" t="str"/>
      <x:c r="AA1319" s="32" t="n">
        <x:f>IFERROR(VLOOKUP(G1319,Master_Unit!$A$2:$N$78,7,FALSE),"")</x:f>
        <x:v>20</x:v>
      </x:c>
      <x:c r="AB1319" s="32" t="n">
        <x:f>IF(OR(N1319="",AA1319=""),"",N1319-AA1319)</x:f>
        <x:v>-12.1</x:v>
      </x:c>
      <x:c r="AC1319" s="20" t="n">
        <x:f>IF(OR(N1319="",AA1319="",AA1319=0),"",AB1319/AA1319)</x:f>
        <x:v>-0.605</x:v>
      </x:c>
      <x:c r="AD1319" t="str">
        <x:f>IF(AA1319="","NO STANDARD",IF(AC1319&lt;=Config_Status!$B$2,"EFFICIENT",IF(AC1319&lt;=Config_Status!$B$3,"NORMAL",IF(AC1319&lt;=Config_Status!$B$4,"WARNING","OVER CONSUMPTION"))))</x:f>
        <x:v>EFFICIENT</x:v>
      </x:c>
      <x:c r="AE1319" t="str">
        <x:f>IFERROR(VLOOKUP(G1319,Master_Unit!$A$2:$N$78,13,FALSE),"UNIT NOT FOUND")</x:f>
        <x:v>Matched</x:v>
      </x:c>
    </x:row>
    <x:row r="1320">
      <x:c r="A1320" s="12" t="str">
        <x:v>FU-20260621-01319</x:v>
      </x:c>
      <x:c r="B1320" s="12" t="n">
        <x:v>1449</x:v>
      </x:c>
      <x:c r="C1320" s="14" t="n">
        <x:v>46194</x:v>
      </x:c>
      <x:c r="D1320" s="12" t="str">
        <x:v>Minggu</x:v>
      </x:c>
      <x:c r="E1320" s="12" t="str">
        <x:v>06:53:00</x:v>
      </x:c>
      <x:c r="F1320" s="12" t="str">
        <x:v>All Shift Day</x:v>
      </x:c>
      <x:c r="G1320" s="12" t="str">
        <x:v>GSHT40G002</x:v>
      </x:c>
      <x:c r="H1320" s="12" t="str">
        <x:v>Genset</x:v>
      </x:c>
      <x:c r="I1320" s="12" t="str">
        <x:v>GENSET HARTECH HT-400-V</x:v>
      </x:c>
      <x:c r="J1320" s="16" t="n">
        <x:v>181</x:v>
      </x:c>
      <x:c r="K1320" s="16" t="n">
        <x:v>14795.33</x:v>
      </x:c>
      <x:c r="L1320" s="16" t="n">
        <x:v>14819.26</x:v>
      </x:c>
      <x:c r="M1320" s="16" t="n">
        <x:v>23.93000000000029</x:v>
      </x:c>
      <x:c r="N1320" s="16" t="n">
        <x:v>7.563727538654317</x:v>
      </x:c>
      <x:c r="O1320" s="12" t="str">
        <x:v>FTRL44G005</x:v>
      </x:c>
      <x:c r="P1320" s="12" t="str">
        <x:v>GSHT40G002</x:v>
      </x:c>
      <x:c r="Q1320" s="12" t="str"/>
      <x:c r="R1320" s="12" t="str"/>
      <x:c r="S1320" s="12" t="str"/>
      <x:c r="T1320" s="12" t="str">
        <x:v>ABM</x:v>
      </x:c>
      <x:c r="U1320" s="12" t="str"/>
      <x:c r="V1320" s="12" t="str"/>
      <x:c r="W1320" s="12" t="str"/>
      <x:c r="X1320" s="12" t="str">
        <x:v>GSHT40</x:v>
      </x:c>
      <x:c r="Y1320" s="12" t="str">
        <x:v>FANGKI &amp; ACUNG</x:v>
      </x:c>
      <x:c r="Z1320" s="12" t="str"/>
      <x:c r="AA1320" s="32" t="n">
        <x:f>IFERROR(VLOOKUP(G1320,Master_Unit!$A$2:$N$78,7,FALSE),"")</x:f>
        <x:v>25</x:v>
      </x:c>
      <x:c r="AB1320" s="32" t="n">
        <x:f>IF(OR(N1320="",AA1320=""),"",N1320-AA1320)</x:f>
        <x:v>-17.436272461345684</x:v>
      </x:c>
      <x:c r="AC1320" s="20" t="n">
        <x:f>IF(OR(N1320="",AA1320="",AA1320=0),"",AB1320/AA1320)</x:f>
        <x:v>-0.6974508984538274</x:v>
      </x:c>
      <x:c r="AD1320" t="str">
        <x:f>IF(AA1320="","NO STANDARD",IF(AC1320&lt;=Config_Status!$B$2,"EFFICIENT",IF(AC1320&lt;=Config_Status!$B$3,"NORMAL",IF(AC1320&lt;=Config_Status!$B$4,"WARNING","OVER CONSUMPTION"))))</x:f>
        <x:v>EFFICIENT</x:v>
      </x:c>
      <x:c r="AE1320" t="str">
        <x:f>IFERROR(VLOOKUP(G1320,Master_Unit!$A$2:$N$78,13,FALSE),"UNIT NOT FOUND")</x:f>
        <x:v>Matched</x:v>
      </x:c>
    </x:row>
    <x:row r="1321">
      <x:c r="A1321" s="12" t="str">
        <x:v>FU-20260621-01320</x:v>
      </x:c>
      <x:c r="B1321" s="12" t="n">
        <x:v>1450</x:v>
      </x:c>
      <x:c r="C1321" s="14" t="n">
        <x:v>46194</x:v>
      </x:c>
      <x:c r="D1321" s="12" t="str">
        <x:v>Minggu</x:v>
      </x:c>
      <x:c r="E1321" s="12" t="str">
        <x:v>07:00:00</x:v>
      </x:c>
      <x:c r="F1321" s="12" t="str">
        <x:v>All Shift Day</x:v>
      </x:c>
      <x:c r="G1321" s="12" t="str">
        <x:v>CTRL44G004</x:v>
      </x:c>
      <x:c r="H1321" s="12" t="str">
        <x:v>Crane Truck</x:v>
      </x:c>
      <x:c r="I1321" s="12" t="str">
        <x:v>CRANE TRUCK RENAULT KRANGE440-P6X4 A/T</x:v>
      </x:c>
      <x:c r="J1321" s="16" t="n">
        <x:v>91</x:v>
      </x:c>
      <x:c r="K1321" s="16" t="n">
        <x:v>1007</x:v>
      </x:c>
      <x:c r="L1321" s="16" t="n">
        <x:v>1015</x:v>
      </x:c>
      <x:c r="M1321" s="16" t="n">
        <x:v>8</x:v>
      </x:c>
      <x:c r="N1321" s="16" t="n">
        <x:v>11.375</x:v>
      </x:c>
      <x:c r="O1321" s="12" t="str">
        <x:v>FTRL44G005</x:v>
      </x:c>
      <x:c r="P1321" s="12" t="str">
        <x:v>CTRL44G004</x:v>
      </x:c>
      <x:c r="Q1321" s="12" t="str"/>
      <x:c r="R1321" s="12" t="str"/>
      <x:c r="S1321" s="12" t="str"/>
      <x:c r="T1321" s="12" t="str">
        <x:v>ABM</x:v>
      </x:c>
      <x:c r="U1321" s="12" t="str"/>
      <x:c r="V1321" s="12" t="str"/>
      <x:c r="W1321" s="12" t="str"/>
      <x:c r="X1321" s="12" t="str">
        <x:v>CTRL44</x:v>
      </x:c>
      <x:c r="Y1321" s="12" t="str">
        <x:v>FANGKI &amp; ACUNG</x:v>
      </x:c>
      <x:c r="Z1321" s="12" t="str"/>
      <x:c r="AA1321" s="32" t="n">
        <x:f>IFERROR(VLOOKUP(G1321,Master_Unit!$A$2:$N$78,7,FALSE),"")</x:f>
        <x:v>20</x:v>
      </x:c>
      <x:c r="AB1321" s="32" t="n">
        <x:f>IF(OR(N1321="",AA1321=""),"",N1321-AA1321)</x:f>
        <x:v>-8.625</x:v>
      </x:c>
      <x:c r="AC1321" s="20" t="n">
        <x:f>IF(OR(N1321="",AA1321="",AA1321=0),"",AB1321/AA1321)</x:f>
        <x:v>-0.43125</x:v>
      </x:c>
      <x:c r="AD1321" t="str">
        <x:f>IF(AA1321="","NO STANDARD",IF(AC1321&lt;=Config_Status!$B$2,"EFFICIENT",IF(AC1321&lt;=Config_Status!$B$3,"NORMAL",IF(AC1321&lt;=Config_Status!$B$4,"WARNING","OVER CONSUMPTION"))))</x:f>
        <x:v>EFFICIENT</x:v>
      </x:c>
      <x:c r="AE1321" t="str">
        <x:f>IFERROR(VLOOKUP(G1321,Master_Unit!$A$2:$N$78,13,FALSE),"UNIT NOT FOUND")</x:f>
        <x:v>Matched</x:v>
      </x:c>
    </x:row>
    <x:row r="1322">
      <x:c r="A1322" s="12" t="str">
        <x:v>FU-20260621-01321</x:v>
      </x:c>
      <x:c r="B1322" s="12" t="n">
        <x:v>1451</x:v>
      </x:c>
      <x:c r="C1322" s="14" t="n">
        <x:v>46194</x:v>
      </x:c>
      <x:c r="D1322" s="12" t="str">
        <x:v>Minggu</x:v>
      </x:c>
      <x:c r="E1322" s="12" t="str">
        <x:v>07:20:00</x:v>
      </x:c>
      <x:c r="F1322" s="12" t="str">
        <x:v>All Shift Day</x:v>
      </x:c>
      <x:c r="G1322" s="12" t="str">
        <x:v>EXVV21G037</x:v>
      </x:c>
      <x:c r="H1322" s="12" t="str">
        <x:v>Excavator</x:v>
      </x:c>
      <x:c r="I1322" s="12" t="str">
        <x:v>EXCAVATOR VOLVO EC210D</x:v>
      </x:c>
      <x:c r="J1322" s="16" t="n">
        <x:v>70</x:v>
      </x:c>
      <x:c r="K1322" s="16" t="n">
        <x:v>7009.3</x:v>
      </x:c>
      <x:c r="L1322" s="16" t="n">
        <x:v>7012.4</x:v>
      </x:c>
      <x:c r="M1322" s="16" t="n">
        <x:v>3.0999999999994543</x:v>
      </x:c>
      <x:c r="N1322" s="16" t="n">
        <x:v>22.580645161294296</x:v>
      </x:c>
      <x:c r="O1322" s="12" t="str">
        <x:v>FTRL44G005</x:v>
      </x:c>
      <x:c r="P1322" s="12" t="str">
        <x:v>EXVV21G037</x:v>
      </x:c>
      <x:c r="Q1322" s="12" t="str"/>
      <x:c r="R1322" s="12" t="str"/>
      <x:c r="S1322" s="12" t="str"/>
      <x:c r="T1322" s="12" t="str">
        <x:v>ABM</x:v>
      </x:c>
      <x:c r="U1322" s="12" t="str"/>
      <x:c r="V1322" s="12" t="str"/>
      <x:c r="W1322" s="12" t="str"/>
      <x:c r="X1322" s="12" t="str">
        <x:v>EXVV21</x:v>
      </x:c>
      <x:c r="Y1322" s="12" t="str">
        <x:v>FANGKI &amp; ACUNG</x:v>
      </x:c>
      <x:c r="Z1322" s="12" t="str"/>
      <x:c r="AA1322" s="32" t="n">
        <x:f>IFERROR(VLOOKUP(G1322,Master_Unit!$A$2:$N$78,7,FALSE),"")</x:f>
        <x:v>20</x:v>
      </x:c>
      <x:c r="AB1322" s="32" t="n">
        <x:f>IF(OR(N1322="",AA1322=""),"",N1322-AA1322)</x:f>
        <x:v>2.5806451612942958</x:v>
      </x:c>
      <x:c r="AC1322" s="20" t="n">
        <x:f>IF(OR(N1322="",AA1322="",AA1322=0),"",AB1322/AA1322)</x:f>
        <x:v>0.1290322580647148</x:v>
      </x:c>
      <x:c r="AD1322" t="str">
        <x:f>IF(AA1322="","NO STANDARD",IF(AC1322&lt;=Config_Status!$B$2,"EFFICIENT",IF(AC1322&lt;=Config_Status!$B$3,"NORMAL",IF(AC1322&lt;=Config_Status!$B$4,"WARNING","OVER CONSUMPTION"))))</x:f>
        <x:v>WARNING</x:v>
      </x:c>
      <x:c r="AE1322" t="str">
        <x:f>IFERROR(VLOOKUP(G1322,Master_Unit!$A$2:$N$78,13,FALSE),"UNIT NOT FOUND")</x:f>
        <x:v>Matched</x:v>
      </x:c>
    </x:row>
    <x:row r="1323">
      <x:c r="A1323" s="12" t="str">
        <x:v>FU-20260621-01322</x:v>
      </x:c>
      <x:c r="B1323" s="12" t="n">
        <x:v>1452</x:v>
      </x:c>
      <x:c r="C1323" s="14" t="n">
        <x:v>46194</x:v>
      </x:c>
      <x:c r="D1323" s="12" t="str">
        <x:v>Minggu</x:v>
      </x:c>
      <x:c r="E1323" s="12" t="str">
        <x:v>07:28:00</x:v>
      </x:c>
      <x:c r="F1323" s="12" t="str">
        <x:v>All Shift Day</x:v>
      </x:c>
      <x:c r="G1323" s="12" t="str">
        <x:v>EXVV21G043</x:v>
      </x:c>
      <x:c r="H1323" s="12" t="str">
        <x:v>Excavator</x:v>
      </x:c>
      <x:c r="I1323" s="12" t="str">
        <x:v>EXCAVATOR VOLVO EC210D</x:v>
      </x:c>
      <x:c r="J1323" s="16" t="n">
        <x:v>70</x:v>
      </x:c>
      <x:c r="K1323" s="16" t="n">
        <x:v>5443.7</x:v>
      </x:c>
      <x:c r="L1323" s="16" t="n">
        <x:v>5446.9</x:v>
      </x:c>
      <x:c r="M1323" s="16" t="n">
        <x:v>3.199999999999818</x:v>
      </x:c>
      <x:c r="N1323" s="16" t="n">
        <x:v>21.875000000001243</x:v>
      </x:c>
      <x:c r="O1323" s="12" t="str">
        <x:v>FTRL44G005</x:v>
      </x:c>
      <x:c r="P1323" s="12" t="str">
        <x:v>EXVV21G043</x:v>
      </x:c>
      <x:c r="Q1323" s="12" t="str"/>
      <x:c r="R1323" s="12" t="str"/>
      <x:c r="S1323" s="12" t="str"/>
      <x:c r="T1323" s="12" t="str">
        <x:v>ABM</x:v>
      </x:c>
      <x:c r="U1323" s="12" t="str"/>
      <x:c r="V1323" s="12" t="str"/>
      <x:c r="W1323" s="12" t="str"/>
      <x:c r="X1323" s="12" t="str">
        <x:v>EXVV21</x:v>
      </x:c>
      <x:c r="Y1323" s="12" t="str">
        <x:v>FANGKI &amp; ACUNG</x:v>
      </x:c>
      <x:c r="Z1323" s="12" t="str"/>
      <x:c r="AA1323" s="32" t="n">
        <x:f>IFERROR(VLOOKUP(G1323,Master_Unit!$A$2:$N$78,7,FALSE),"")</x:f>
        <x:v>20</x:v>
      </x:c>
      <x:c r="AB1323" s="32" t="n">
        <x:f>IF(OR(N1323="",AA1323=""),"",N1323-AA1323)</x:f>
        <x:v>1.8750000000012434</x:v>
      </x:c>
      <x:c r="AC1323" s="20" t="n">
        <x:f>IF(OR(N1323="",AA1323="",AA1323=0),"",AB1323/AA1323)</x:f>
        <x:v>0.09375000000006217</x:v>
      </x:c>
      <x:c r="AD1323" t="str">
        <x:f>IF(AA1323="","NO STANDARD",IF(AC1323&lt;=Config_Status!$B$2,"EFFICIENT",IF(AC1323&lt;=Config_Status!$B$3,"NORMAL",IF(AC1323&lt;=Config_Status!$B$4,"WARNING","OVER CONSUMPTION"))))</x:f>
        <x:v>NORMAL</x:v>
      </x:c>
      <x:c r="AE1323" t="str">
        <x:f>IFERROR(VLOOKUP(G1323,Master_Unit!$A$2:$N$78,13,FALSE),"UNIT NOT FOUND")</x:f>
        <x:v>Matched</x:v>
      </x:c>
    </x:row>
    <x:row r="1324">
      <x:c r="A1324" s="12" t="str">
        <x:v>FU-20260621-01323</x:v>
      </x:c>
      <x:c r="B1324" s="12" t="n">
        <x:v>1453</x:v>
      </x:c>
      <x:c r="C1324" s="14" t="n">
        <x:v>46194</x:v>
      </x:c>
      <x:c r="D1324" s="12" t="str">
        <x:v>Minggu</x:v>
      </x:c>
      <x:c r="E1324" s="12" t="str">
        <x:v>07:32:00</x:v>
      </x:c>
      <x:c r="F1324" s="12" t="str">
        <x:v>All Shift Day</x:v>
      </x:c>
      <x:c r="G1324" s="12" t="str">
        <x:v>LVTH24R035</x:v>
      </x:c>
      <x:c r="H1324" s="12" t="str">
        <x:v>Light Vehicle</x:v>
      </x:c>
      <x:c r="I1324" s="12" t="str">
        <x:v>LIGHT VEHICLE TOYOTA HILUX</x:v>
      </x:c>
      <x:c r="J1324" s="16" t="n">
        <x:v>21</x:v>
      </x:c>
      <x:c r="K1324" s="16" t="n">
        <x:v>71585</x:v>
      </x:c>
      <x:c r="L1324" s="16" t="n">
        <x:v>71739</x:v>
      </x:c>
      <x:c r="M1324" s="16" t="n">
        <x:v>154</x:v>
      </x:c>
      <x:c r="N1324" s="16" t="n">
        <x:v>0.13636363636363635</x:v>
      </x:c>
      <x:c r="O1324" s="12" t="str">
        <x:v>FTRL44G005</x:v>
      </x:c>
      <x:c r="P1324" s="12" t="str">
        <x:v>LVTH24R035</x:v>
      </x:c>
      <x:c r="Q1324" s="12" t="str"/>
      <x:c r="R1324" s="12" t="str"/>
      <x:c r="S1324" s="12" t="str"/>
      <x:c r="T1324" s="12" t="str">
        <x:v>ABM</x:v>
      </x:c>
      <x:c r="U1324" s="12" t="str"/>
      <x:c r="V1324" s="12" t="str"/>
      <x:c r="W1324" s="12" t="str"/>
      <x:c r="X1324" s="12" t="str">
        <x:v>LVTH24</x:v>
      </x:c>
      <x:c r="Y1324" s="12" t="str">
        <x:v>FANGKI &amp; ACUNG</x:v>
      </x:c>
      <x:c r="Z1324" s="12" t="str"/>
      <x:c r="AA1324" s="32" t="n">
        <x:f>IFERROR(VLOOKUP(G1324,Master_Unit!$A$2:$N$78,7,FALSE),"")</x:f>
        <x:v>0.2</x:v>
      </x:c>
      <x:c r="AB1324" s="32" t="n">
        <x:f>IF(OR(N1324="",AA1324=""),"",N1324-AA1324)</x:f>
        <x:v>-0.06363636363636366</x:v>
      </x:c>
      <x:c r="AC1324" s="20" t="n">
        <x:f>IF(OR(N1324="",AA1324="",AA1324=0),"",AB1324/AA1324)</x:f>
        <x:v>-0.3181818181818183</x:v>
      </x:c>
      <x:c r="AD1324" t="str">
        <x:f>IF(AA1324="","NO STANDARD",IF(AC1324&lt;=Config_Status!$B$2,"EFFICIENT",IF(AC1324&lt;=Config_Status!$B$3,"NORMAL",IF(AC1324&lt;=Config_Status!$B$4,"WARNING","OVER CONSUMPTION"))))</x:f>
        <x:v>EFFICIENT</x:v>
      </x:c>
      <x:c r="AE1324" t="str">
        <x:f>IFERROR(VLOOKUP(G1324,Master_Unit!$A$2:$N$78,13,FALSE),"UNIT NOT FOUND")</x:f>
        <x:v>Matched</x:v>
      </x:c>
    </x:row>
    <x:row r="1325">
      <x:c r="A1325" s="12" t="str">
        <x:v>FU-20260621-01324</x:v>
      </x:c>
      <x:c r="B1325" s="12" t="n">
        <x:v>1454</x:v>
      </x:c>
      <x:c r="C1325" s="14" t="n">
        <x:v>46194</x:v>
      </x:c>
      <x:c r="D1325" s="12" t="str">
        <x:v>Minggu</x:v>
      </x:c>
      <x:c r="E1325" s="12" t="str">
        <x:v>07:36:00</x:v>
      </x:c>
      <x:c r="F1325" s="12" t="str">
        <x:v>All Shift Day</x:v>
      </x:c>
      <x:c r="G1325" s="12" t="str">
        <x:v>WTRL44G007</x:v>
      </x:c>
      <x:c r="H1325" s="12" t="str">
        <x:v>Water Truck</x:v>
      </x:c>
      <x:c r="I1325" s="12" t="str">
        <x:v>WATER TRUCK RENAULT KRANGE440-P6X4 A/T</x:v>
      </x:c>
      <x:c r="J1325" s="16" t="n">
        <x:v>100</x:v>
      </x:c>
      <x:c r="K1325" s="16" t="n">
        <x:v>1644</x:v>
      </x:c>
      <x:c r="L1325" s="16" t="n">
        <x:v>1654</x:v>
      </x:c>
      <x:c r="M1325" s="16" t="n">
        <x:v>10</x:v>
      </x:c>
      <x:c r="N1325" s="16" t="n">
        <x:v>10</x:v>
      </x:c>
      <x:c r="O1325" s="12" t="str">
        <x:v>FTRL44G005</x:v>
      </x:c>
      <x:c r="P1325" s="12" t="str">
        <x:v>WTRL44G007</x:v>
      </x:c>
      <x:c r="Q1325" s="12" t="str"/>
      <x:c r="R1325" s="12" t="str"/>
      <x:c r="S1325" s="12" t="str"/>
      <x:c r="T1325" s="12" t="str">
        <x:v>ABM</x:v>
      </x:c>
      <x:c r="U1325" s="12" t="str"/>
      <x:c r="V1325" s="12" t="str"/>
      <x:c r="W1325" s="12" t="str"/>
      <x:c r="X1325" s="12" t="str">
        <x:v>WTRL44</x:v>
      </x:c>
      <x:c r="Y1325" s="12" t="str">
        <x:v>FANGKI &amp; ACUNG</x:v>
      </x:c>
      <x:c r="Z1325" s="12" t="str"/>
      <x:c r="AA1325" s="32" t="n">
        <x:f>IFERROR(VLOOKUP(G1325,Master_Unit!$A$2:$N$78,7,FALSE),"")</x:f>
        <x:v>20</x:v>
      </x:c>
      <x:c r="AB1325" s="32" t="n">
        <x:f>IF(OR(N1325="",AA1325=""),"",N1325-AA1325)</x:f>
        <x:v>-10</x:v>
      </x:c>
      <x:c r="AC1325" s="20" t="n">
        <x:f>IF(OR(N1325="",AA1325="",AA1325=0),"",AB1325/AA1325)</x:f>
        <x:v>-0.5</x:v>
      </x:c>
      <x:c r="AD1325" t="str">
        <x:f>IF(AA1325="","NO STANDARD",IF(AC1325&lt;=Config_Status!$B$2,"EFFICIENT",IF(AC1325&lt;=Config_Status!$B$3,"NORMAL",IF(AC1325&lt;=Config_Status!$B$4,"WARNING","OVER CONSUMPTION"))))</x:f>
        <x:v>EFFICIENT</x:v>
      </x:c>
      <x:c r="AE1325" t="str">
        <x:f>IFERROR(VLOOKUP(G1325,Master_Unit!$A$2:$N$78,13,FALSE),"UNIT NOT FOUND")</x:f>
        <x:v>Matched</x:v>
      </x:c>
    </x:row>
    <x:row r="1326">
      <x:c r="A1326" s="12" t="str">
        <x:v>FU-20260621-01325</x:v>
      </x:c>
      <x:c r="B1326" s="12" t="n">
        <x:v>1455</x:v>
      </x:c>
      <x:c r="C1326" s="14" t="n">
        <x:v>46194</x:v>
      </x:c>
      <x:c r="D1326" s="12" t="str">
        <x:v>Minggu</x:v>
      </x:c>
      <x:c r="E1326" s="12" t="str">
        <x:v>07:38:00</x:v>
      </x:c>
      <x:c r="F1326" s="12" t="str">
        <x:v>All Shift Day</x:v>
      </x:c>
      <x:c r="G1326" s="12" t="str">
        <x:v>BDKM85G039</x:v>
      </x:c>
      <x:c r="H1326" s="12" t="str">
        <x:v>Dozer</x:v>
      </x:c>
      <x:c r="I1326" s="12" t="str">
        <x:v>BULDOZER KOMATSU D85ESS-2</x:v>
      </x:c>
      <x:c r="J1326" s="16" t="n">
        <x:v>100</x:v>
      </x:c>
      <x:c r="K1326" s="16" t="n">
        <x:v>7182.6</x:v>
      </x:c>
      <x:c r="L1326" s="16" t="n">
        <x:v>7183.1</x:v>
      </x:c>
      <x:c r="M1326" s="16" t="n">
        <x:v>0.5</x:v>
      </x:c>
      <x:c r="N1326" s="16" t="n">
        <x:v>200</x:v>
      </x:c>
      <x:c r="O1326" s="12" t="str">
        <x:v>FTRL44G005</x:v>
      </x:c>
      <x:c r="P1326" s="12" t="str">
        <x:v>BDKM85G039</x:v>
      </x:c>
      <x:c r="Q1326" s="12" t="str"/>
      <x:c r="R1326" s="12" t="str"/>
      <x:c r="S1326" s="12" t="str"/>
      <x:c r="T1326" s="12" t="str">
        <x:v>ABM</x:v>
      </x:c>
      <x:c r="U1326" s="12" t="str"/>
      <x:c r="V1326" s="12" t="str"/>
      <x:c r="W1326" s="12" t="str"/>
      <x:c r="X1326" s="12" t="str">
        <x:v>BDKM85</x:v>
      </x:c>
      <x:c r="Y1326" s="12" t="str">
        <x:v>FANGKI &amp; ACUNG</x:v>
      </x:c>
      <x:c r="Z1326" s="12" t="str"/>
      <x:c r="AA1326" s="32" t="n">
        <x:f>IFERROR(VLOOKUP(G1326,Master_Unit!$A$2:$N$78,7,FALSE),"")</x:f>
        <x:v>30</x:v>
      </x:c>
      <x:c r="AB1326" s="32" t="n">
        <x:f>IF(OR(N1326="",AA1326=""),"",N1326-AA1326)</x:f>
        <x:v>170</x:v>
      </x:c>
      <x:c r="AC1326" s="20" t="n">
        <x:f>IF(OR(N1326="",AA1326="",AA1326=0),"",AB1326/AA1326)</x:f>
        <x:v>5.666666666666667</x:v>
      </x:c>
      <x:c r="AD1326" t="str">
        <x:f>IF(AA1326="","NO STANDARD",IF(AC1326&lt;=Config_Status!$B$2,"EFFICIENT",IF(AC1326&lt;=Config_Status!$B$3,"NORMAL",IF(AC1326&lt;=Config_Status!$B$4,"WARNING","OVER CONSUMPTION"))))</x:f>
        <x:v>OVER CONSUMPTION</x:v>
      </x:c>
      <x:c r="AE1326" t="str">
        <x:f>IFERROR(VLOOKUP(G1326,Master_Unit!$A$2:$N$78,13,FALSE),"UNIT NOT FOUND")</x:f>
        <x:v>Matched</x:v>
      </x:c>
    </x:row>
    <x:row r="1327">
      <x:c r="A1327" s="12" t="str">
        <x:v>FU-20260621-01326</x:v>
      </x:c>
      <x:c r="B1327" s="12" t="n">
        <x:v>1456</x:v>
      </x:c>
      <x:c r="C1327" s="14" t="n">
        <x:v>46194</x:v>
      </x:c>
      <x:c r="D1327" s="12" t="str">
        <x:v>Minggu</x:v>
      </x:c>
      <x:c r="E1327" s="12" t="str">
        <x:v>08:24:00</x:v>
      </x:c>
      <x:c r="F1327" s="12" t="str">
        <x:v>All Shift Day</x:v>
      </x:c>
      <x:c r="G1327" s="12" t="str">
        <x:v>LVTH24R036</x:v>
      </x:c>
      <x:c r="H1327" s="12" t="str">
        <x:v>Light Vehicle</x:v>
      </x:c>
      <x:c r="I1327" s="12" t="str">
        <x:v>LIGHT VEHICLE TOYOTA HILUX</x:v>
      </x:c>
      <x:c r="J1327" s="16" t="n">
        <x:v>20</x:v>
      </x:c>
      <x:c r="K1327" s="16" t="n">
        <x:v>63578</x:v>
      </x:c>
      <x:c r="L1327" s="16" t="n">
        <x:v>63613</x:v>
      </x:c>
      <x:c r="M1327" s="16" t="n">
        <x:v>35</x:v>
      </x:c>
      <x:c r="N1327" s="16" t="n">
        <x:v>0.5714285714285714</x:v>
      </x:c>
      <x:c r="O1327" s="12" t="str">
        <x:v>FTRL44G005</x:v>
      </x:c>
      <x:c r="P1327" s="12" t="str">
        <x:v>LVTH24R036</x:v>
      </x:c>
      <x:c r="Q1327" s="12" t="str"/>
      <x:c r="R1327" s="12" t="str"/>
      <x:c r="S1327" s="12" t="str"/>
      <x:c r="T1327" s="12" t="str">
        <x:v>ABM</x:v>
      </x:c>
      <x:c r="U1327" s="12" t="str"/>
      <x:c r="V1327" s="12" t="str"/>
      <x:c r="W1327" s="12" t="str"/>
      <x:c r="X1327" s="12" t="str">
        <x:v>LVTH24</x:v>
      </x:c>
      <x:c r="Y1327" s="12" t="str">
        <x:v>FANGKI &amp; ACUNG</x:v>
      </x:c>
      <x:c r="Z1327" s="12" t="str"/>
      <x:c r="AA1327" s="32" t="n">
        <x:f>IFERROR(VLOOKUP(G1327,Master_Unit!$A$2:$N$78,7,FALSE),"")</x:f>
        <x:v>0.2</x:v>
      </x:c>
      <x:c r="AB1327" s="32" t="n">
        <x:f>IF(OR(N1327="",AA1327=""),"",N1327-AA1327)</x:f>
        <x:v>0.3714285714285714</x:v>
      </x:c>
      <x:c r="AC1327" s="20" t="n">
        <x:f>IF(OR(N1327="",AA1327="",AA1327=0),"",AB1327/AA1327)</x:f>
        <x:v>1.8571428571428568</x:v>
      </x:c>
      <x:c r="AD1327" t="str">
        <x:f>IF(AA1327="","NO STANDARD",IF(AC1327&lt;=Config_Status!$B$2,"EFFICIENT",IF(AC1327&lt;=Config_Status!$B$3,"NORMAL",IF(AC1327&lt;=Config_Status!$B$4,"WARNING","OVER CONSUMPTION"))))</x:f>
        <x:v>OVER CONSUMPTION</x:v>
      </x:c>
      <x:c r="AE1327" t="str">
        <x:f>IFERROR(VLOOKUP(G1327,Master_Unit!$A$2:$N$78,13,FALSE),"UNIT NOT FOUND")</x:f>
        <x:v>Matched</x:v>
      </x:c>
    </x:row>
    <x:row r="1328">
      <x:c r="A1328" s="12" t="str">
        <x:v>FU-20260621-01327</x:v>
      </x:c>
      <x:c r="B1328" s="12" t="n">
        <x:v>1457</x:v>
      </x:c>
      <x:c r="C1328" s="14" t="n">
        <x:v>46194</x:v>
      </x:c>
      <x:c r="D1328" s="12" t="str">
        <x:v>Minggu</x:v>
      </x:c>
      <x:c r="E1328" s="12" t="str">
        <x:v>08:26:00</x:v>
      </x:c>
      <x:c r="F1328" s="12" t="str">
        <x:v>All Shift Day</x:v>
      </x:c>
      <x:c r="G1328" s="12" t="str">
        <x:v>LVTH24R023</x:v>
      </x:c>
      <x:c r="H1328" s="12" t="str">
        <x:v>Light Vehicle</x:v>
      </x:c>
      <x:c r="I1328" s="12" t="str">
        <x:v>LIGHT VEHICLE TOYOTA HILUX</x:v>
      </x:c>
      <x:c r="J1328" s="16" t="n">
        <x:v>21</x:v>
      </x:c>
      <x:c r="K1328" s="16" t="n">
        <x:v>49624</x:v>
      </x:c>
      <x:c r="L1328" s="16" t="n">
        <x:v>49641</x:v>
      </x:c>
      <x:c r="M1328" s="16" t="n">
        <x:v>17</x:v>
      </x:c>
      <x:c r="N1328" s="16" t="n">
        <x:v>1.2352941176470589</x:v>
      </x:c>
      <x:c r="O1328" s="12" t="str">
        <x:v>FTRL44G005</x:v>
      </x:c>
      <x:c r="P1328" s="12" t="str">
        <x:v>LVTH24R023</x:v>
      </x:c>
      <x:c r="Q1328" s="12" t="str"/>
      <x:c r="R1328" s="12" t="str"/>
      <x:c r="S1328" s="12" t="str"/>
      <x:c r="T1328" s="12" t="str">
        <x:v>ABM</x:v>
      </x:c>
      <x:c r="U1328" s="12" t="str"/>
      <x:c r="V1328" s="12" t="str"/>
      <x:c r="W1328" s="12" t="str"/>
      <x:c r="X1328" s="12" t="str">
        <x:v>LVTH24</x:v>
      </x:c>
      <x:c r="Y1328" s="12" t="str">
        <x:v>FANGKI &amp; ACUNG</x:v>
      </x:c>
      <x:c r="Z1328" s="12" t="str"/>
      <x:c r="AA1328" s="32" t="n">
        <x:f>IFERROR(VLOOKUP(G1328,Master_Unit!$A$2:$N$78,7,FALSE),"")</x:f>
        <x:v>0.2</x:v>
      </x:c>
      <x:c r="AB1328" s="32" t="n">
        <x:f>IF(OR(N1328="",AA1328=""),"",N1328-AA1328)</x:f>
        <x:v>1.035294117647059</x:v>
      </x:c>
      <x:c r="AC1328" s="20" t="n">
        <x:f>IF(OR(N1328="",AA1328="",AA1328=0),"",AB1328/AA1328)</x:f>
        <x:v>5.176470588235294</x:v>
      </x:c>
      <x:c r="AD1328" t="str">
        <x:f>IF(AA1328="","NO STANDARD",IF(AC1328&lt;=Config_Status!$B$2,"EFFICIENT",IF(AC1328&lt;=Config_Status!$B$3,"NORMAL",IF(AC1328&lt;=Config_Status!$B$4,"WARNING","OVER CONSUMPTION"))))</x:f>
        <x:v>OVER CONSUMPTION</x:v>
      </x:c>
      <x:c r="AE1328" t="str">
        <x:f>IFERROR(VLOOKUP(G1328,Master_Unit!$A$2:$N$78,13,FALSE),"UNIT NOT FOUND")</x:f>
        <x:v>Matched</x:v>
      </x:c>
    </x:row>
    <x:row r="1329">
      <x:c r="A1329" s="12" t="str">
        <x:v>FU-20260621-01328</x:v>
      </x:c>
      <x:c r="B1329" s="12" t="n">
        <x:v>1458</x:v>
      </x:c>
      <x:c r="C1329" s="14" t="n">
        <x:v>46194</x:v>
      </x:c>
      <x:c r="D1329" s="12" t="str">
        <x:v>Minggu</x:v>
      </x:c>
      <x:c r="E1329" s="12" t="str">
        <x:v>09:12:00</x:v>
      </x:c>
      <x:c r="F1329" s="12" t="str">
        <x:v>All Shift Day</x:v>
      </x:c>
      <x:c r="G1329" s="12" t="str">
        <x:v>LVTH24R024</x:v>
      </x:c>
      <x:c r="H1329" s="12" t="str">
        <x:v>Light Vehicle</x:v>
      </x:c>
      <x:c r="I1329" s="12" t="str">
        <x:v>LIGHT VEHICLE TOYOTA HILUX</x:v>
      </x:c>
      <x:c r="J1329" s="16" t="n">
        <x:v>22</x:v>
      </x:c>
      <x:c r="K1329" s="16" t="n">
        <x:v>47175</x:v>
      </x:c>
      <x:c r="L1329" s="16" t="n">
        <x:v>47270</x:v>
      </x:c>
      <x:c r="M1329" s="16" t="n">
        <x:v>95</x:v>
      </x:c>
      <x:c r="N1329" s="16" t="n">
        <x:v>0.23157894736842105</x:v>
      </x:c>
      <x:c r="O1329" s="12" t="str">
        <x:v>FTRL44G005</x:v>
      </x:c>
      <x:c r="P1329" s="12" t="str">
        <x:v>LVTH24R024</x:v>
      </x:c>
      <x:c r="Q1329" s="12" t="str"/>
      <x:c r="R1329" s="12" t="str"/>
      <x:c r="S1329" s="12" t="str"/>
      <x:c r="T1329" s="12" t="str">
        <x:v>ABM</x:v>
      </x:c>
      <x:c r="U1329" s="12" t="str"/>
      <x:c r="V1329" s="12" t="str"/>
      <x:c r="W1329" s="12" t="str"/>
      <x:c r="X1329" s="12" t="str">
        <x:v>LVTH24</x:v>
      </x:c>
      <x:c r="Y1329" s="12" t="str">
        <x:v>FANGKI &amp; ACUNG</x:v>
      </x:c>
      <x:c r="Z1329" s="12" t="str"/>
      <x:c r="AA1329" s="32" t="n">
        <x:f>IFERROR(VLOOKUP(G1329,Master_Unit!$A$2:$N$78,7,FALSE),"")</x:f>
        <x:v>0.2</x:v>
      </x:c>
      <x:c r="AB1329" s="32" t="n">
        <x:f>IF(OR(N1329="",AA1329=""),"",N1329-AA1329)</x:f>
        <x:v>0.03157894736842104</x:v>
      </x:c>
      <x:c r="AC1329" s="20" t="n">
        <x:f>IF(OR(N1329="",AA1329="",AA1329=0),"",AB1329/AA1329)</x:f>
        <x:v>0.1578947368421052</x:v>
      </x:c>
      <x:c r="AD1329" t="str">
        <x:f>IF(AA1329="","NO STANDARD",IF(AC1329&lt;=Config_Status!$B$2,"EFFICIENT",IF(AC1329&lt;=Config_Status!$B$3,"NORMAL",IF(AC1329&lt;=Config_Status!$B$4,"WARNING","OVER CONSUMPTION"))))</x:f>
        <x:v>WARNING</x:v>
      </x:c>
      <x:c r="AE1329" t="str">
        <x:f>IFERROR(VLOOKUP(G1329,Master_Unit!$A$2:$N$78,13,FALSE),"UNIT NOT FOUND")</x:f>
        <x:v>Matched</x:v>
      </x:c>
    </x:row>
    <x:row r="1330">
      <x:c r="A1330" s="12" t="str">
        <x:v>FU-20260621-01329</x:v>
      </x:c>
      <x:c r="B1330" s="12" t="n">
        <x:v>1459</x:v>
      </x:c>
      <x:c r="C1330" s="14" t="n">
        <x:v>46194</x:v>
      </x:c>
      <x:c r="D1330" s="12" t="str">
        <x:v>Minggu</x:v>
      </x:c>
      <x:c r="E1330" s="12" t="str">
        <x:v>09:17:00</x:v>
      </x:c>
      <x:c r="F1330" s="12" t="str">
        <x:v>All Shift Day</x:v>
      </x:c>
      <x:c r="G1330" s="12" t="str">
        <x:v>GSHT10G002</x:v>
      </x:c>
      <x:c r="H1330" s="12" t="str">
        <x:v>Genset</x:v>
      </x:c>
      <x:c r="I1330" s="12" t="str">
        <x:v>GENSET HARTECH HT-10</x:v>
      </x:c>
      <x:c r="J1330" s="16" t="n">
        <x:v>9</x:v>
      </x:c>
      <x:c r="K1330" s="16" t="n">
        <x:v>8650.36</x:v>
      </x:c>
      <x:c r="L1330" s="16" t="n">
        <x:v>8658.28</x:v>
      </x:c>
      <x:c r="M1330" s="16" t="n">
        <x:v>7.920000000000073</x:v>
      </x:c>
      <x:c r="N1330" s="16" t="n">
        <x:v>1.136363636363626</x:v>
      </x:c>
      <x:c r="O1330" s="12" t="str">
        <x:v>FTRL44G005</x:v>
      </x:c>
      <x:c r="P1330" s="12" t="str">
        <x:v>GSHT10G002</x:v>
      </x:c>
      <x:c r="Q1330" s="12" t="str"/>
      <x:c r="R1330" s="12" t="str"/>
      <x:c r="S1330" s="12" t="str"/>
      <x:c r="T1330" s="12" t="str">
        <x:v>ABM</x:v>
      </x:c>
      <x:c r="U1330" s="12" t="str"/>
      <x:c r="V1330" s="12" t="str"/>
      <x:c r="W1330" s="12" t="str"/>
      <x:c r="X1330" s="12" t="str">
        <x:v>GSHT10</x:v>
      </x:c>
      <x:c r="Y1330" s="12" t="str">
        <x:v>FANGKI &amp; ACUNG</x:v>
      </x:c>
      <x:c r="Z1330" s="12" t="str"/>
      <x:c r="AA1330" s="32" t="n">
        <x:f>IFERROR(VLOOKUP(G1330,Master_Unit!$A$2:$N$78,7,FALSE),"")</x:f>
        <x:v>3</x:v>
      </x:c>
      <x:c r="AB1330" s="32" t="n">
        <x:f>IF(OR(N1330="",AA1330=""),"",N1330-AA1330)</x:f>
        <x:v>-1.863636363636374</x:v>
      </x:c>
      <x:c r="AC1330" s="20" t="n">
        <x:f>IF(OR(N1330="",AA1330="",AA1330=0),"",AB1330/AA1330)</x:f>
        <x:v>-0.6212121212121247</x:v>
      </x:c>
      <x:c r="AD1330" t="str">
        <x:f>IF(AA1330="","NO STANDARD",IF(AC1330&lt;=Config_Status!$B$2,"EFFICIENT",IF(AC1330&lt;=Config_Status!$B$3,"NORMAL",IF(AC1330&lt;=Config_Status!$B$4,"WARNING","OVER CONSUMPTION"))))</x:f>
        <x:v>EFFICIENT</x:v>
      </x:c>
      <x:c r="AE1330" t="str">
        <x:f>IFERROR(VLOOKUP(G1330,Master_Unit!$A$2:$N$78,13,FALSE),"UNIT NOT FOUND")</x:f>
        <x:v>Matched</x:v>
      </x:c>
    </x:row>
    <x:row r="1331">
      <x:c r="A1331" s="12" t="str">
        <x:v>FU-20260622-01330</x:v>
      </x:c>
      <x:c r="B1331" s="12" t="n">
        <x:v>1460</x:v>
      </x:c>
      <x:c r="C1331" s="14" t="n">
        <x:v>46195</x:v>
      </x:c>
      <x:c r="D1331" s="12" t="str">
        <x:v>Senin</x:v>
      </x:c>
      <x:c r="E1331" s="12" t="str">
        <x:v>07:02:00</x:v>
      </x:c>
      <x:c r="F1331" s="12" t="str">
        <x:v>All Shift Day</x:v>
      </x:c>
      <x:c r="G1331" s="12" t="str">
        <x:v>GSHT40G002</x:v>
      </x:c>
      <x:c r="H1331" s="12" t="str">
        <x:v>Genset</x:v>
      </x:c>
      <x:c r="I1331" s="12" t="str">
        <x:v>GENSET HARTECH HT-400-V</x:v>
      </x:c>
      <x:c r="J1331" s="16" t="n">
        <x:v>389</x:v>
      </x:c>
      <x:c r="K1331" s="16" t="n">
        <x:v>14819.26</x:v>
      </x:c>
      <x:c r="L1331" s="16" t="n">
        <x:v>14819.49</x:v>
      </x:c>
      <x:c r="M1331" s="16" t="n">
        <x:v>0.22999999999956344</x:v>
      </x:c>
      <x:c r="N1331" s="16" t="n">
        <x:v>1691.3043478292973</x:v>
      </x:c>
      <x:c r="O1331" s="12" t="str">
        <x:v>FTRL44G005</x:v>
      </x:c>
      <x:c r="P1331" s="12" t="str">
        <x:v>GSHT40G002</x:v>
      </x:c>
      <x:c r="Q1331" s="12" t="str"/>
      <x:c r="R1331" s="12" t="str"/>
      <x:c r="S1331" s="12" t="str"/>
      <x:c r="T1331" s="12" t="str">
        <x:v>ABM</x:v>
      </x:c>
      <x:c r="U1331" s="12" t="str"/>
      <x:c r="V1331" s="12" t="str"/>
      <x:c r="W1331" s="12" t="str"/>
      <x:c r="X1331" s="12" t="str">
        <x:v>GSHT40</x:v>
      </x:c>
      <x:c r="Y1331" s="12" t="str">
        <x:v>RAFIF &amp; YOGI</x:v>
      </x:c>
      <x:c r="Z1331" s="12" t="str"/>
      <x:c r="AA1331" s="32" t="n">
        <x:f>IFERROR(VLOOKUP(G1331,Master_Unit!$A$2:$N$78,7,FALSE),"")</x:f>
        <x:v>25</x:v>
      </x:c>
      <x:c r="AB1331" s="32" t="n">
        <x:f>IF(OR(N1331="",AA1331=""),"",N1331-AA1331)</x:f>
        <x:v>1666.3043478292973</x:v>
      </x:c>
      <x:c r="AC1331" s="20" t="n">
        <x:f>IF(OR(N1331="",AA1331="",AA1331=0),"",AB1331/AA1331)</x:f>
        <x:v>66.6521739131719</x:v>
      </x:c>
      <x:c r="AD1331" t="str">
        <x:f>IF(AA1331="","NO STANDARD",IF(AC1331&lt;=Config_Status!$B$2,"EFFICIENT",IF(AC1331&lt;=Config_Status!$B$3,"NORMAL",IF(AC1331&lt;=Config_Status!$B$4,"WARNING","OVER CONSUMPTION"))))</x:f>
        <x:v>OVER CONSUMPTION</x:v>
      </x:c>
      <x:c r="AE1331" t="str">
        <x:f>IFERROR(VLOOKUP(G1331,Master_Unit!$A$2:$N$78,13,FALSE),"UNIT NOT FOUND")</x:f>
        <x:v>Matched</x:v>
      </x:c>
    </x:row>
    <x:row r="1332">
      <x:c r="A1332" s="12" t="str">
        <x:v>FU-20260622-01331</x:v>
      </x:c>
      <x:c r="B1332" s="12" t="n">
        <x:v>1461</x:v>
      </x:c>
      <x:c r="C1332" s="14" t="n">
        <x:v>46195</x:v>
      </x:c>
      <x:c r="D1332" s="12" t="str">
        <x:v>Senin</x:v>
      </x:c>
      <x:c r="E1332" s="12" t="str">
        <x:v>07:06:00</x:v>
      </x:c>
      <x:c r="F1332" s="12" t="str">
        <x:v>All Shift Day</x:v>
      </x:c>
      <x:c r="G1332" s="12" t="str">
        <x:v>LVTH24R053</x:v>
      </x:c>
      <x:c r="H1332" s="12" t="str">
        <x:v>Light Vehicle</x:v>
      </x:c>
      <x:c r="I1332" s="12" t="str">
        <x:v>LIGHT VEHICLE TOYOTA HILUX</x:v>
      </x:c>
      <x:c r="J1332" s="16" t="n">
        <x:v>38</x:v>
      </x:c>
      <x:c r="K1332" s="16" t="n">
        <x:v>25795</x:v>
      </x:c>
      <x:c r="L1332" s="16" t="n">
        <x:v>26071</x:v>
      </x:c>
      <x:c r="M1332" s="16" t="n">
        <x:v>276</x:v>
      </x:c>
      <x:c r="N1332" s="16" t="n">
        <x:v>0.13768115942028986</x:v>
      </x:c>
      <x:c r="O1332" s="12" t="str">
        <x:v>FTRL44G005</x:v>
      </x:c>
      <x:c r="P1332" s="12" t="str">
        <x:v>LVTH24R053</x:v>
      </x:c>
      <x:c r="Q1332" s="12" t="str"/>
      <x:c r="R1332" s="12" t="str"/>
      <x:c r="S1332" s="12" t="str"/>
      <x:c r="T1332" s="12" t="str">
        <x:v>ABM</x:v>
      </x:c>
      <x:c r="U1332" s="12" t="str"/>
      <x:c r="V1332" s="12" t="str"/>
      <x:c r="W1332" s="12" t="str"/>
      <x:c r="X1332" s="12" t="str">
        <x:v>LVTH24</x:v>
      </x:c>
      <x:c r="Y1332" s="12" t="str">
        <x:v>RAFIF &amp; YOGI</x:v>
      </x:c>
      <x:c r="Z1332" s="12" t="str"/>
      <x:c r="AA1332" s="32" t="n">
        <x:f>IFERROR(VLOOKUP(G1332,Master_Unit!$A$2:$N$78,7,FALSE),"")</x:f>
        <x:v>0.2</x:v>
      </x:c>
      <x:c r="AB1332" s="32" t="n">
        <x:f>IF(OR(N1332="",AA1332=""),"",N1332-AA1332)</x:f>
        <x:v>-0.062318840579710155</x:v>
      </x:c>
      <x:c r="AC1332" s="20" t="n">
        <x:f>IF(OR(N1332="",AA1332="",AA1332=0),"",AB1332/AA1332)</x:f>
        <x:v>-0.3115942028985508</x:v>
      </x:c>
      <x:c r="AD1332" t="str">
        <x:f>IF(AA1332="","NO STANDARD",IF(AC1332&lt;=Config_Status!$B$2,"EFFICIENT",IF(AC1332&lt;=Config_Status!$B$3,"NORMAL",IF(AC1332&lt;=Config_Status!$B$4,"WARNING","OVER CONSUMPTION"))))</x:f>
        <x:v>EFFICIENT</x:v>
      </x:c>
      <x:c r="AE1332" t="str">
        <x:f>IFERROR(VLOOKUP(G1332,Master_Unit!$A$2:$N$78,13,FALSE),"UNIT NOT FOUND")</x:f>
        <x:v>Matched</x:v>
      </x:c>
    </x:row>
    <x:row r="1333">
      <x:c r="A1333" s="12" t="str">
        <x:v>FU-20260622-01332</x:v>
      </x:c>
      <x:c r="B1333" s="12" t="n">
        <x:v>1462</x:v>
      </x:c>
      <x:c r="C1333" s="14" t="n">
        <x:v>46195</x:v>
      </x:c>
      <x:c r="D1333" s="12" t="str">
        <x:v>Senin</x:v>
      </x:c>
      <x:c r="E1333" s="12" t="str">
        <x:v>07:07:00</x:v>
      </x:c>
      <x:c r="F1333" s="12" t="str">
        <x:v>All Shift Day</x:v>
      </x:c>
      <x:c r="G1333" s="12" t="str">
        <x:v>GSHT25G001</x:v>
      </x:c>
      <x:c r="H1333" s="12" t="str">
        <x:v>Genset</x:v>
      </x:c>
      <x:c r="I1333" s="12" t="str">
        <x:v>GENSET HARTECH HT-250-V</x:v>
      </x:c>
      <x:c r="J1333" s="16" t="n">
        <x:v>400</x:v>
      </x:c>
      <x:c r="K1333" s="16" t="n">
        <x:v>1921.49</x:v>
      </x:c>
      <x:c r="L1333" s="16" t="n">
        <x:v>1946.1</x:v>
      </x:c>
      <x:c r="M1333" s="16" t="n">
        <x:v>24.6099999999999</x:v>
      </x:c>
      <x:c r="N1333" s="16" t="n">
        <x:v>16.253555465258092</x:v>
      </x:c>
      <x:c r="O1333" s="12" t="str">
        <x:v>FTRL44G005</x:v>
      </x:c>
      <x:c r="P1333" s="12" t="str">
        <x:v>GSHT25G001</x:v>
      </x:c>
      <x:c r="Q1333" s="12" t="str"/>
      <x:c r="R1333" s="12" t="str"/>
      <x:c r="S1333" s="12" t="str"/>
      <x:c r="T1333" s="12" t="str">
        <x:v>ABM</x:v>
      </x:c>
      <x:c r="U1333" s="12" t="str"/>
      <x:c r="V1333" s="12" t="str"/>
      <x:c r="W1333" s="12" t="str"/>
      <x:c r="X1333" s="12" t="str">
        <x:v>GSHT25</x:v>
      </x:c>
      <x:c r="Y1333" s="12" t="str">
        <x:v>RAFIF &amp; YOGI</x:v>
      </x:c>
      <x:c r="Z1333" s="12" t="str"/>
      <x:c r="AA1333" s="32" t="n">
        <x:f>IFERROR(VLOOKUP(G1333,Master_Unit!$A$2:$N$78,7,FALSE),"")</x:f>
        <x:v>15</x:v>
      </x:c>
      <x:c r="AB1333" s="32" t="n">
        <x:f>IF(OR(N1333="",AA1333=""),"",N1333-AA1333)</x:f>
        <x:v>1.253555465258092</x:v>
      </x:c>
      <x:c r="AC1333" s="20" t="n">
        <x:f>IF(OR(N1333="",AA1333="",AA1333=0),"",AB1333/AA1333)</x:f>
        <x:v>0.08357036435053947</x:v>
      </x:c>
      <x:c r="AD1333" t="str">
        <x:f>IF(AA1333="","NO STANDARD",IF(AC1333&lt;=Config_Status!$B$2,"EFFICIENT",IF(AC1333&lt;=Config_Status!$B$3,"NORMAL",IF(AC1333&lt;=Config_Status!$B$4,"WARNING","OVER CONSUMPTION"))))</x:f>
        <x:v>NORMAL</x:v>
      </x:c>
      <x:c r="AE1333" t="str">
        <x:f>IFERROR(VLOOKUP(G1333,Master_Unit!$A$2:$N$78,13,FALSE),"UNIT NOT FOUND")</x:f>
        <x:v>Matched</x:v>
      </x:c>
    </x:row>
    <x:row r="1334">
      <x:c r="A1334" s="12" t="str">
        <x:v>FU-20260622-01333</x:v>
      </x:c>
      <x:c r="B1334" s="12" t="n">
        <x:v>1463</x:v>
      </x:c>
      <x:c r="C1334" s="14" t="n">
        <x:v>46195</x:v>
      </x:c>
      <x:c r="D1334" s="12" t="str">
        <x:v>Senin</x:v>
      </x:c>
      <x:c r="E1334" s="12" t="str">
        <x:v>07:15:00</x:v>
      </x:c>
      <x:c r="F1334" s="12" t="str">
        <x:v>All Shift Day</x:v>
      </x:c>
      <x:c r="G1334" s="12" t="str">
        <x:v>FTRL44G005</x:v>
      </x:c>
      <x:c r="H1334" s="12" t="str">
        <x:v>Fuel Truck</x:v>
      </x:c>
      <x:c r="I1334" s="12" t="str">
        <x:v>FUEL TRUCK RENAULT KRANGE440-P6X4 A/T</x:v>
      </x:c>
      <x:c r="J1334" s="16" t="n">
        <x:v>81</x:v>
      </x:c>
      <x:c r="K1334" s="16" t="n">
        <x:v>3719</x:v>
      </x:c>
      <x:c r="L1334" s="16" t="n">
        <x:v>3733</x:v>
      </x:c>
      <x:c r="M1334" s="16" t="n">
        <x:v>14</x:v>
      </x:c>
      <x:c r="N1334" s="16" t="n">
        <x:v>5.785714285714286</x:v>
      </x:c>
      <x:c r="O1334" s="12" t="str">
        <x:v>FTRL44G005</x:v>
      </x:c>
      <x:c r="P1334" s="12" t="str">
        <x:v>FTRL44G005</x:v>
      </x:c>
      <x:c r="Q1334" s="12" t="str"/>
      <x:c r="R1334" s="12" t="str"/>
      <x:c r="S1334" s="12" t="str"/>
      <x:c r="T1334" s="12" t="str">
        <x:v>ABM</x:v>
      </x:c>
      <x:c r="U1334" s="12" t="str"/>
      <x:c r="V1334" s="12" t="str"/>
      <x:c r="W1334" s="12" t="str"/>
      <x:c r="X1334" s="12" t="str">
        <x:v>FTRL44</x:v>
      </x:c>
      <x:c r="Y1334" s="12" t="str">
        <x:v>RAFIF &amp; YOGI</x:v>
      </x:c>
      <x:c r="Z1334" s="12" t="str"/>
      <x:c r="AA1334" s="32" t="n">
        <x:f>IFERROR(VLOOKUP(G1334,Master_Unit!$A$2:$N$78,7,FALSE),"")</x:f>
        <x:v>13</x:v>
      </x:c>
      <x:c r="AB1334" s="32" t="n">
        <x:f>IF(OR(N1334="",AA1334=""),"",N1334-AA1334)</x:f>
        <x:v>-7.214285714285714</x:v>
      </x:c>
      <x:c r="AC1334" s="20" t="n">
        <x:f>IF(OR(N1334="",AA1334="",AA1334=0),"",AB1334/AA1334)</x:f>
        <x:v>-0.554945054945055</x:v>
      </x:c>
      <x:c r="AD1334" t="str">
        <x:f>IF(AA1334="","NO STANDARD",IF(AC1334&lt;=Config_Status!$B$2,"EFFICIENT",IF(AC1334&lt;=Config_Status!$B$3,"NORMAL",IF(AC1334&lt;=Config_Status!$B$4,"WARNING","OVER CONSUMPTION"))))</x:f>
        <x:v>EFFICIENT</x:v>
      </x:c>
      <x:c r="AE1334" t="str">
        <x:f>IFERROR(VLOOKUP(G1334,Master_Unit!$A$2:$N$78,13,FALSE),"UNIT NOT FOUND")</x:f>
        <x:v>Matched</x:v>
      </x:c>
    </x:row>
    <x:row r="1335">
      <x:c r="A1335" s="12" t="str">
        <x:v>FU-20260622-01334</x:v>
      </x:c>
      <x:c r="B1335" s="12" t="n">
        <x:v>1464</x:v>
      </x:c>
      <x:c r="C1335" s="14" t="n">
        <x:v>46195</x:v>
      </x:c>
      <x:c r="D1335" s="12" t="str">
        <x:v>Senin</x:v>
      </x:c>
      <x:c r="E1335" s="12" t="str">
        <x:v>07:25:00</x:v>
      </x:c>
      <x:c r="F1335" s="12" t="str">
        <x:v>All Shift Day</x:v>
      </x:c>
      <x:c r="G1335" s="12" t="str">
        <x:v>LVTH24R034</x:v>
      </x:c>
      <x:c r="H1335" s="12" t="str">
        <x:v>Light Vehicle</x:v>
      </x:c>
      <x:c r="I1335" s="12" t="str">
        <x:v>LIGHT VEHICLE TOYOTA HILUX</x:v>
      </x:c>
      <x:c r="J1335" s="16" t="n">
        <x:v>20</x:v>
      </x:c>
      <x:c r="K1335" s="16" t="n">
        <x:v>49962</x:v>
      </x:c>
      <x:c r="L1335" s="16" t="n">
        <x:v>50153</x:v>
      </x:c>
      <x:c r="M1335" s="16" t="n">
        <x:v>191</x:v>
      </x:c>
      <x:c r="N1335" s="16" t="n">
        <x:v>0.10471204188481675</x:v>
      </x:c>
      <x:c r="O1335" s="12" t="str">
        <x:v>FTRL44G005</x:v>
      </x:c>
      <x:c r="P1335" s="12" t="str">
        <x:v>LVTH24R034</x:v>
      </x:c>
      <x:c r="Q1335" s="12" t="str"/>
      <x:c r="R1335" s="12" t="str"/>
      <x:c r="S1335" s="12" t="str"/>
      <x:c r="T1335" s="12" t="str">
        <x:v>ABM</x:v>
      </x:c>
      <x:c r="U1335" s="12" t="str"/>
      <x:c r="V1335" s="12" t="str"/>
      <x:c r="W1335" s="12" t="str"/>
      <x:c r="X1335" s="12" t="str">
        <x:v>LVTH24</x:v>
      </x:c>
      <x:c r="Y1335" s="12" t="str">
        <x:v>RAFIF &amp; YOGI</x:v>
      </x:c>
      <x:c r="Z1335" s="12" t="str"/>
      <x:c r="AA1335" s="32" t="n">
        <x:f>IFERROR(VLOOKUP(G1335,Master_Unit!$A$2:$N$78,7,FALSE),"")</x:f>
        <x:v>0.2</x:v>
      </x:c>
      <x:c r="AB1335" s="32" t="n">
        <x:f>IF(OR(N1335="",AA1335=""),"",N1335-AA1335)</x:f>
        <x:v>-0.09528795811518326</x:v>
      </x:c>
      <x:c r="AC1335" s="20" t="n">
        <x:f>IF(OR(N1335="",AA1335="",AA1335=0),"",AB1335/AA1335)</x:f>
        <x:v>-0.4764397905759163</x:v>
      </x:c>
      <x:c r="AD1335" t="str">
        <x:f>IF(AA1335="","NO STANDARD",IF(AC1335&lt;=Config_Status!$B$2,"EFFICIENT",IF(AC1335&lt;=Config_Status!$B$3,"NORMAL",IF(AC1335&lt;=Config_Status!$B$4,"WARNING","OVER CONSUMPTION"))))</x:f>
        <x:v>EFFICIENT</x:v>
      </x:c>
      <x:c r="AE1335" t="str">
        <x:f>IFERROR(VLOOKUP(G1335,Master_Unit!$A$2:$N$78,13,FALSE),"UNIT NOT FOUND")</x:f>
        <x:v>Matched</x:v>
      </x:c>
    </x:row>
    <x:row r="1336">
      <x:c r="A1336" s="12" t="str">
        <x:v>FU-20260622-01335</x:v>
      </x:c>
      <x:c r="B1336" s="12" t="n">
        <x:v>1465</x:v>
      </x:c>
      <x:c r="C1336" s="14" t="n">
        <x:v>46195</x:v>
      </x:c>
      <x:c r="D1336" s="12" t="str">
        <x:v>Senin</x:v>
      </x:c>
      <x:c r="E1336" s="12" t="str">
        <x:v>07:47:00</x:v>
      </x:c>
      <x:c r="F1336" s="12" t="str">
        <x:v>All Shift Day</x:v>
      </x:c>
      <x:c r="G1336" s="12" t="str">
        <x:v>LVTH24R052</x:v>
      </x:c>
      <x:c r="H1336" s="12" t="str">
        <x:v>Light Vehicle</x:v>
      </x:c>
      <x:c r="I1336" s="12" t="str">
        <x:v>LIGHT VEHICLE TOYOTA HILUX</x:v>
      </x:c>
      <x:c r="J1336" s="16" t="n">
        <x:v>21</x:v>
      </x:c>
      <x:c r="K1336" s="16" t="n">
        <x:v>13704</x:v>
      </x:c>
      <x:c r="L1336" s="16" t="n">
        <x:v>13835</x:v>
      </x:c>
      <x:c r="M1336" s="16" t="n">
        <x:v>131</x:v>
      </x:c>
      <x:c r="N1336" s="16" t="n">
        <x:v>0.16030534351145037</x:v>
      </x:c>
      <x:c r="O1336" s="12" t="str">
        <x:v>FTRL44G005</x:v>
      </x:c>
      <x:c r="P1336" s="12" t="str">
        <x:v>LVTH24R052</x:v>
      </x:c>
      <x:c r="Q1336" s="12" t="str"/>
      <x:c r="R1336" s="12" t="str"/>
      <x:c r="S1336" s="12" t="str"/>
      <x:c r="T1336" s="12" t="str">
        <x:v>ABM</x:v>
      </x:c>
      <x:c r="U1336" s="12" t="str"/>
      <x:c r="V1336" s="12" t="str"/>
      <x:c r="W1336" s="12" t="str"/>
      <x:c r="X1336" s="12" t="str">
        <x:v>LVTH24</x:v>
      </x:c>
      <x:c r="Y1336" s="12" t="str">
        <x:v>RAFIF &amp; YOGI</x:v>
      </x:c>
      <x:c r="Z1336" s="12" t="str"/>
      <x:c r="AA1336" s="32" t="n">
        <x:f>IFERROR(VLOOKUP(G1336,Master_Unit!$A$2:$N$78,7,FALSE),"")</x:f>
        <x:v>0.2</x:v>
      </x:c>
      <x:c r="AB1336" s="32" t="n">
        <x:f>IF(OR(N1336="",AA1336=""),"",N1336-AA1336)</x:f>
        <x:v>-0.03969465648854964</x:v>
      </x:c>
      <x:c r="AC1336" s="20" t="n">
        <x:f>IF(OR(N1336="",AA1336="",AA1336=0),"",AB1336/AA1336)</x:f>
        <x:v>-0.1984732824427482</x:v>
      </x:c>
      <x:c r="AD1336" t="str">
        <x:f>IF(AA1336="","NO STANDARD",IF(AC1336&lt;=Config_Status!$B$2,"EFFICIENT",IF(AC1336&lt;=Config_Status!$B$3,"NORMAL",IF(AC1336&lt;=Config_Status!$B$4,"WARNING","OVER CONSUMPTION"))))</x:f>
        <x:v>EFFICIENT</x:v>
      </x:c>
      <x:c r="AE1336" t="str">
        <x:f>IFERROR(VLOOKUP(G1336,Master_Unit!$A$2:$N$78,13,FALSE),"UNIT NOT FOUND")</x:f>
        <x:v>Matched</x:v>
      </x:c>
    </x:row>
    <x:row r="1337">
      <x:c r="A1337" s="12" t="str">
        <x:v>FU-20260622-01336</x:v>
      </x:c>
      <x:c r="B1337" s="12" t="n">
        <x:v>1466</x:v>
      </x:c>
      <x:c r="C1337" s="14" t="n">
        <x:v>46195</x:v>
      </x:c>
      <x:c r="D1337" s="12" t="str">
        <x:v>Senin</x:v>
      </x:c>
      <x:c r="E1337" s="12" t="str">
        <x:v>07:50:00</x:v>
      </x:c>
      <x:c r="F1337" s="12" t="str">
        <x:v>All Shift Day</x:v>
      </x:c>
      <x:c r="G1337" s="12" t="str">
        <x:v>LVTH24R035</x:v>
      </x:c>
      <x:c r="H1337" s="12" t="str">
        <x:v>Light Vehicle</x:v>
      </x:c>
      <x:c r="I1337" s="12" t="str">
        <x:v>LIGHT VEHICLE TOYOTA HILUX</x:v>
      </x:c>
      <x:c r="J1337" s="16" t="n">
        <x:v>20</x:v>
      </x:c>
      <x:c r="K1337" s="16" t="n">
        <x:v>71739</x:v>
      </x:c>
      <x:c r="L1337" s="16" t="n">
        <x:v>71934</x:v>
      </x:c>
      <x:c r="M1337" s="16" t="n">
        <x:v>195</x:v>
      </x:c>
      <x:c r="N1337" s="16" t="n">
        <x:v>0.10256410256410256</x:v>
      </x:c>
      <x:c r="O1337" s="12" t="str">
        <x:v>FTRL44G005</x:v>
      </x:c>
      <x:c r="P1337" s="12" t="str">
        <x:v>LVTH24R035</x:v>
      </x:c>
      <x:c r="Q1337" s="12" t="str"/>
      <x:c r="R1337" s="12" t="str"/>
      <x:c r="S1337" s="12" t="str"/>
      <x:c r="T1337" s="12" t="str">
        <x:v>ABM</x:v>
      </x:c>
      <x:c r="U1337" s="12" t="str"/>
      <x:c r="V1337" s="12" t="str"/>
      <x:c r="W1337" s="12" t="str"/>
      <x:c r="X1337" s="12" t="str">
        <x:v>LVTH24</x:v>
      </x:c>
      <x:c r="Y1337" s="12" t="str">
        <x:v>RAFIF &amp; YOGI</x:v>
      </x:c>
      <x:c r="Z1337" s="12" t="str"/>
      <x:c r="AA1337" s="32" t="n">
        <x:f>IFERROR(VLOOKUP(G1337,Master_Unit!$A$2:$N$78,7,FALSE),"")</x:f>
        <x:v>0.2</x:v>
      </x:c>
      <x:c r="AB1337" s="32" t="n">
        <x:f>IF(OR(N1337="",AA1337=""),"",N1337-AA1337)</x:f>
        <x:v>-0.09743589743589745</x:v>
      </x:c>
      <x:c r="AC1337" s="20" t="n">
        <x:f>IF(OR(N1337="",AA1337="",AA1337=0),"",AB1337/AA1337)</x:f>
        <x:v>-0.4871794871794872</x:v>
      </x:c>
      <x:c r="AD1337" t="str">
        <x:f>IF(AA1337="","NO STANDARD",IF(AC1337&lt;=Config_Status!$B$2,"EFFICIENT",IF(AC1337&lt;=Config_Status!$B$3,"NORMAL",IF(AC1337&lt;=Config_Status!$B$4,"WARNING","OVER CONSUMPTION"))))</x:f>
        <x:v>EFFICIENT</x:v>
      </x:c>
      <x:c r="AE1337" t="str">
        <x:f>IFERROR(VLOOKUP(G1337,Master_Unit!$A$2:$N$78,13,FALSE),"UNIT NOT FOUND")</x:f>
        <x:v>Matched</x:v>
      </x:c>
    </x:row>
    <x:row r="1338">
      <x:c r="A1338" s="12" t="str">
        <x:v>FU-20260622-01337</x:v>
      </x:c>
      <x:c r="B1338" s="12" t="n">
        <x:v>1467</x:v>
      </x:c>
      <x:c r="C1338" s="14" t="n">
        <x:v>46195</x:v>
      </x:c>
      <x:c r="D1338" s="12" t="str">
        <x:v>Senin</x:v>
      </x:c>
      <x:c r="E1338" s="12" t="str">
        <x:v>08:00:00</x:v>
      </x:c>
      <x:c r="F1338" s="12" t="str">
        <x:v>All Shift Day</x:v>
      </x:c>
      <x:c r="G1338" s="12" t="str">
        <x:v>LVTH24R024</x:v>
      </x:c>
      <x:c r="H1338" s="12" t="str">
        <x:v>Light Vehicle</x:v>
      </x:c>
      <x:c r="I1338" s="12" t="str">
        <x:v>LIGHT VEHICLE TOYOTA HILUX</x:v>
      </x:c>
      <x:c r="J1338" s="16" t="n">
        <x:v>23</x:v>
      </x:c>
      <x:c r="K1338" s="16" t="n">
        <x:v>47270</x:v>
      </x:c>
      <x:c r="L1338" s="16" t="n">
        <x:v>47313</x:v>
      </x:c>
      <x:c r="M1338" s="16" t="n">
        <x:v>43</x:v>
      </x:c>
      <x:c r="N1338" s="16" t="n">
        <x:v>0.5348837209302325</x:v>
      </x:c>
      <x:c r="O1338" s="12" t="str">
        <x:v>FTRL44G005</x:v>
      </x:c>
      <x:c r="P1338" s="12" t="str">
        <x:v>LVTH24R024</x:v>
      </x:c>
      <x:c r="Q1338" s="12" t="str"/>
      <x:c r="R1338" s="12" t="str"/>
      <x:c r="S1338" s="12" t="str"/>
      <x:c r="T1338" s="12" t="str">
        <x:v>ABM</x:v>
      </x:c>
      <x:c r="U1338" s="12" t="str"/>
      <x:c r="V1338" s="12" t="str"/>
      <x:c r="W1338" s="12" t="str"/>
      <x:c r="X1338" s="12" t="str">
        <x:v>LVTH24</x:v>
      </x:c>
      <x:c r="Y1338" s="12" t="str">
        <x:v>RAFIF &amp; YOGI</x:v>
      </x:c>
      <x:c r="Z1338" s="12" t="str"/>
      <x:c r="AA1338" s="32" t="n">
        <x:f>IFERROR(VLOOKUP(G1338,Master_Unit!$A$2:$N$78,7,FALSE),"")</x:f>
        <x:v>0.2</x:v>
      </x:c>
      <x:c r="AB1338" s="32" t="n">
        <x:f>IF(OR(N1338="",AA1338=""),"",N1338-AA1338)</x:f>
        <x:v>0.3348837209302325</x:v>
      </x:c>
      <x:c r="AC1338" s="20" t="n">
        <x:f>IF(OR(N1338="",AA1338="",AA1338=0),"",AB1338/AA1338)</x:f>
        <x:v>1.6744186046511624</x:v>
      </x:c>
      <x:c r="AD1338" t="str">
        <x:f>IF(AA1338="","NO STANDARD",IF(AC1338&lt;=Config_Status!$B$2,"EFFICIENT",IF(AC1338&lt;=Config_Status!$B$3,"NORMAL",IF(AC1338&lt;=Config_Status!$B$4,"WARNING","OVER CONSUMPTION"))))</x:f>
        <x:v>OVER CONSUMPTION</x:v>
      </x:c>
      <x:c r="AE1338" t="str">
        <x:f>IFERROR(VLOOKUP(G1338,Master_Unit!$A$2:$N$78,13,FALSE),"UNIT NOT FOUND")</x:f>
        <x:v>Matched</x:v>
      </x:c>
    </x:row>
    <x:row r="1339">
      <x:c r="A1339" s="12" t="str">
        <x:v>FU-20260622-01338</x:v>
      </x:c>
      <x:c r="B1339" s="12" t="n">
        <x:v>1468</x:v>
      </x:c>
      <x:c r="C1339" s="14" t="n">
        <x:v>46195</x:v>
      </x:c>
      <x:c r="D1339" s="12" t="str">
        <x:v>Senin</x:v>
      </x:c>
      <x:c r="E1339" s="12" t="str">
        <x:v>08:37:00</x:v>
      </x:c>
      <x:c r="F1339" s="12" t="str">
        <x:v>All Shift Day</x:v>
      </x:c>
      <x:c r="G1339" s="12" t="str">
        <x:v>GSHT10G002</x:v>
      </x:c>
      <x:c r="H1339" s="12" t="str">
        <x:v>Genset</x:v>
      </x:c>
      <x:c r="I1339" s="12" t="str">
        <x:v>GENSET HARTECH HT-10</x:v>
      </x:c>
      <x:c r="J1339" s="16" t="n">
        <x:v>3</x:v>
      </x:c>
      <x:c r="K1339" s="16" t="n">
        <x:v>8658.28</x:v>
      </x:c>
      <x:c r="L1339" s="16" t="n">
        <x:v>8661.4</x:v>
      </x:c>
      <x:c r="M1339" s="16" t="n">
        <x:v>3.1199999999989814</x:v>
      </x:c>
      <x:c r="N1339" s="16" t="n">
        <x:v>0.9615384615387754</x:v>
      </x:c>
      <x:c r="O1339" s="12" t="str">
        <x:v>FTRL44G005</x:v>
      </x:c>
      <x:c r="P1339" s="12" t="str">
        <x:v>GSHT10G002</x:v>
      </x:c>
      <x:c r="Q1339" s="12" t="str"/>
      <x:c r="R1339" s="12" t="str"/>
      <x:c r="S1339" s="12" t="str"/>
      <x:c r="T1339" s="12" t="str">
        <x:v>ABM</x:v>
      </x:c>
      <x:c r="U1339" s="12" t="str"/>
      <x:c r="V1339" s="12" t="str"/>
      <x:c r="W1339" s="12" t="str"/>
      <x:c r="X1339" s="12" t="str">
        <x:v>GSHT10</x:v>
      </x:c>
      <x:c r="Y1339" s="12" t="str">
        <x:v>RAFIF &amp; YOGI</x:v>
      </x:c>
      <x:c r="Z1339" s="12" t="str"/>
      <x:c r="AA1339" s="32" t="n">
        <x:f>IFERROR(VLOOKUP(G1339,Master_Unit!$A$2:$N$78,7,FALSE),"")</x:f>
        <x:v>3</x:v>
      </x:c>
      <x:c r="AB1339" s="32" t="n">
        <x:f>IF(OR(N1339="",AA1339=""),"",N1339-AA1339)</x:f>
        <x:v>-2.038461538461225</x:v>
      </x:c>
      <x:c r="AC1339" s="20" t="n">
        <x:f>IF(OR(N1339="",AA1339="",AA1339=0),"",AB1339/AA1339)</x:f>
        <x:v>-0.6794871794870749</x:v>
      </x:c>
      <x:c r="AD1339" t="str">
        <x:f>IF(AA1339="","NO STANDARD",IF(AC1339&lt;=Config_Status!$B$2,"EFFICIENT",IF(AC1339&lt;=Config_Status!$B$3,"NORMAL",IF(AC1339&lt;=Config_Status!$B$4,"WARNING","OVER CONSUMPTION"))))</x:f>
        <x:v>EFFICIENT</x:v>
      </x:c>
      <x:c r="AE1339" t="str">
        <x:f>IFERROR(VLOOKUP(G1339,Master_Unit!$A$2:$N$78,13,FALSE),"UNIT NOT FOUND")</x:f>
        <x:v>Matched</x:v>
      </x:c>
    </x:row>
    <x:row r="1340">
      <x:c r="A1340" s="12" t="str">
        <x:v>FU-20260622-01339</x:v>
      </x:c>
      <x:c r="B1340" s="12" t="n">
        <x:v>1469</x:v>
      </x:c>
      <x:c r="C1340" s="14" t="n">
        <x:v>46195</x:v>
      </x:c>
      <x:c r="D1340" s="12" t="str">
        <x:v>Senin</x:v>
      </x:c>
      <x:c r="E1340" s="12" t="str">
        <x:v>08:39:00</x:v>
      </x:c>
      <x:c r="F1340" s="12" t="str">
        <x:v>All Shift Day</x:v>
      </x:c>
      <x:c r="G1340" s="12" t="str">
        <x:v>CTRL44G004</x:v>
      </x:c>
      <x:c r="H1340" s="12" t="str">
        <x:v>Crane Truck</x:v>
      </x:c>
      <x:c r="I1340" s="12" t="str">
        <x:v>CRANE TRUCK RENAULT KRANGE440-P6X4 A/T</x:v>
      </x:c>
      <x:c r="J1340" s="16" t="n">
        <x:v>80</x:v>
      </x:c>
      <x:c r="K1340" s="16" t="n">
        <x:v>1015</x:v>
      </x:c>
      <x:c r="L1340" s="16" t="n">
        <x:v>1022</x:v>
      </x:c>
      <x:c r="M1340" s="16" t="n">
        <x:v>7</x:v>
      </x:c>
      <x:c r="N1340" s="16" t="n">
        <x:v>11.428571428571429</x:v>
      </x:c>
      <x:c r="O1340" s="12" t="str">
        <x:v>FTRL44G005</x:v>
      </x:c>
      <x:c r="P1340" s="12" t="str">
        <x:v>CTRL44G004</x:v>
      </x:c>
      <x:c r="Q1340" s="12" t="str"/>
      <x:c r="R1340" s="12" t="str"/>
      <x:c r="S1340" s="12" t="str"/>
      <x:c r="T1340" s="12" t="str">
        <x:v>ABM</x:v>
      </x:c>
      <x:c r="U1340" s="12" t="str"/>
      <x:c r="V1340" s="12" t="str"/>
      <x:c r="W1340" s="12" t="str"/>
      <x:c r="X1340" s="12" t="str">
        <x:v>CTRL44</x:v>
      </x:c>
      <x:c r="Y1340" s="12" t="str">
        <x:v>RAFIF &amp; YOGI</x:v>
      </x:c>
      <x:c r="Z1340" s="12" t="str"/>
      <x:c r="AA1340" s="32" t="n">
        <x:f>IFERROR(VLOOKUP(G1340,Master_Unit!$A$2:$N$78,7,FALSE),"")</x:f>
        <x:v>20</x:v>
      </x:c>
      <x:c r="AB1340" s="32" t="n">
        <x:f>IF(OR(N1340="",AA1340=""),"",N1340-AA1340)</x:f>
        <x:v>-8.571428571428571</x:v>
      </x:c>
      <x:c r="AC1340" s="20" t="n">
        <x:f>IF(OR(N1340="",AA1340="",AA1340=0),"",AB1340/AA1340)</x:f>
        <x:v>-0.42857142857142855</x:v>
      </x:c>
      <x:c r="AD1340" t="str">
        <x:f>IF(AA1340="","NO STANDARD",IF(AC1340&lt;=Config_Status!$B$2,"EFFICIENT",IF(AC1340&lt;=Config_Status!$B$3,"NORMAL",IF(AC1340&lt;=Config_Status!$B$4,"WARNING","OVER CONSUMPTION"))))</x:f>
        <x:v>EFFICIENT</x:v>
      </x:c>
      <x:c r="AE1340" t="str">
        <x:f>IFERROR(VLOOKUP(G1340,Master_Unit!$A$2:$N$78,13,FALSE),"UNIT NOT FOUND")</x:f>
        <x:v>Matched</x:v>
      </x:c>
    </x:row>
    <x:row r="1341">
      <x:c r="A1341" s="12" t="str">
        <x:v>FU-20260622-01340</x:v>
      </x:c>
      <x:c r="B1341" s="12" t="n">
        <x:v>1470</x:v>
      </x:c>
      <x:c r="C1341" s="14" t="n">
        <x:v>46195</x:v>
      </x:c>
      <x:c r="D1341" s="12" t="str">
        <x:v>Senin</x:v>
      </x:c>
      <x:c r="E1341" s="12" t="str">
        <x:v>08:56:00</x:v>
      </x:c>
      <x:c r="F1341" s="12" t="str">
        <x:v>All Shift Day</x:v>
      </x:c>
      <x:c r="G1341" s="12" t="str">
        <x:v>WTRL44G007</x:v>
      </x:c>
      <x:c r="H1341" s="12" t="str">
        <x:v>Water Truck</x:v>
      </x:c>
      <x:c r="I1341" s="12" t="str">
        <x:v>WATER TRUCK RENAULT KRANGE440-P6X4 A/T</x:v>
      </x:c>
      <x:c r="J1341" s="16" t="n">
        <x:v>78</x:v>
      </x:c>
      <x:c r="K1341" s="16" t="n">
        <x:v>1654</x:v>
      </x:c>
      <x:c r="L1341" s="16" t="n">
        <x:v>1655</x:v>
      </x:c>
      <x:c r="M1341" s="16" t="n">
        <x:v>1</x:v>
      </x:c>
      <x:c r="N1341" s="16" t="n">
        <x:v>78</x:v>
      </x:c>
      <x:c r="O1341" s="12" t="str">
        <x:v>FTRL44G005</x:v>
      </x:c>
      <x:c r="P1341" s="12" t="str">
        <x:v>WTRL44G007</x:v>
      </x:c>
      <x:c r="Q1341" s="12" t="str"/>
      <x:c r="R1341" s="12" t="str"/>
      <x:c r="S1341" s="12" t="str"/>
      <x:c r="T1341" s="12" t="str">
        <x:v>ABM</x:v>
      </x:c>
      <x:c r="U1341" s="12" t="str"/>
      <x:c r="V1341" s="12" t="str"/>
      <x:c r="W1341" s="12" t="str"/>
      <x:c r="X1341" s="12" t="str">
        <x:v>WTRL44</x:v>
      </x:c>
      <x:c r="Y1341" s="12" t="str">
        <x:v>RAFIF &amp; YOGI</x:v>
      </x:c>
      <x:c r="Z1341" s="12" t="str"/>
      <x:c r="AA1341" s="32" t="n">
        <x:f>IFERROR(VLOOKUP(G1341,Master_Unit!$A$2:$N$78,7,FALSE),"")</x:f>
        <x:v>20</x:v>
      </x:c>
      <x:c r="AB1341" s="32" t="n">
        <x:f>IF(OR(N1341="",AA1341=""),"",N1341-AA1341)</x:f>
        <x:v>58</x:v>
      </x:c>
      <x:c r="AC1341" s="20" t="n">
        <x:f>IF(OR(N1341="",AA1341="",AA1341=0),"",AB1341/AA1341)</x:f>
        <x:v>2.9</x:v>
      </x:c>
      <x:c r="AD1341" t="str">
        <x:f>IF(AA1341="","NO STANDARD",IF(AC1341&lt;=Config_Status!$B$2,"EFFICIENT",IF(AC1341&lt;=Config_Status!$B$3,"NORMAL",IF(AC1341&lt;=Config_Status!$B$4,"WARNING","OVER CONSUMPTION"))))</x:f>
        <x:v>OVER CONSUMPTION</x:v>
      </x:c>
      <x:c r="AE1341" t="str">
        <x:f>IFERROR(VLOOKUP(G1341,Master_Unit!$A$2:$N$78,13,FALSE),"UNIT NOT FOUND")</x:f>
        <x:v>Matched</x:v>
      </x:c>
    </x:row>
    <x:row r="1342">
      <x:c r="A1342" s="12" t="str">
        <x:v>FU-20260622-01341</x:v>
      </x:c>
      <x:c r="B1342" s="12" t="n">
        <x:v>1471</x:v>
      </x:c>
      <x:c r="C1342" s="14" t="n">
        <x:v>46195</x:v>
      </x:c>
      <x:c r="D1342" s="12" t="str">
        <x:v>Senin</x:v>
      </x:c>
      <x:c r="E1342" s="12" t="str">
        <x:v>09:01:00</x:v>
      </x:c>
      <x:c r="F1342" s="12" t="str">
        <x:v>All Shift Day</x:v>
      </x:c>
      <x:c r="G1342" s="12" t="str">
        <x:v>LVTH24R033</x:v>
      </x:c>
      <x:c r="H1342" s="12" t="str">
        <x:v>Light Vehicle</x:v>
      </x:c>
      <x:c r="I1342" s="12" t="str">
        <x:v>LIGHT VEHICLE TOYOTA HILUX</x:v>
      </x:c>
      <x:c r="J1342" s="16" t="n">
        <x:v>20</x:v>
      </x:c>
      <x:c r="K1342" s="16" t="n">
        <x:v>140733</x:v>
      </x:c>
      <x:c r="L1342" s="16" t="n">
        <x:v>140897</x:v>
      </x:c>
      <x:c r="M1342" s="16" t="n">
        <x:v>164</x:v>
      </x:c>
      <x:c r="N1342" s="16" t="n">
        <x:v>0.12195121951219512</x:v>
      </x:c>
      <x:c r="O1342" s="12" t="str">
        <x:v>FTRL44G005</x:v>
      </x:c>
      <x:c r="P1342" s="12" t="str">
        <x:v>LVTH24R033</x:v>
      </x:c>
      <x:c r="Q1342" s="12" t="str"/>
      <x:c r="R1342" s="12" t="str"/>
      <x:c r="S1342" s="12" t="str"/>
      <x:c r="T1342" s="12" t="str">
        <x:v>ABM</x:v>
      </x:c>
      <x:c r="U1342" s="12" t="str"/>
      <x:c r="V1342" s="12" t="str"/>
      <x:c r="W1342" s="12" t="str"/>
      <x:c r="X1342" s="12" t="str">
        <x:v>LVTH24</x:v>
      </x:c>
      <x:c r="Y1342" s="12" t="str">
        <x:v>RAFIF &amp; YOGI</x:v>
      </x:c>
      <x:c r="Z1342" s="12" t="str"/>
      <x:c r="AA1342" s="32" t="n">
        <x:f>IFERROR(VLOOKUP(G1342,Master_Unit!$A$2:$N$78,7,FALSE),"")</x:f>
        <x:v>0.2</x:v>
      </x:c>
      <x:c r="AB1342" s="32" t="n">
        <x:f>IF(OR(N1342="",AA1342=""),"",N1342-AA1342)</x:f>
        <x:v>-0.07804878048780489</x:v>
      </x:c>
      <x:c r="AC1342" s="20" t="n">
        <x:f>IF(OR(N1342="",AA1342="",AA1342=0),"",AB1342/AA1342)</x:f>
        <x:v>-0.39024390243902446</x:v>
      </x:c>
      <x:c r="AD1342" t="str">
        <x:f>IF(AA1342="","NO STANDARD",IF(AC1342&lt;=Config_Status!$B$2,"EFFICIENT",IF(AC1342&lt;=Config_Status!$B$3,"NORMAL",IF(AC1342&lt;=Config_Status!$B$4,"WARNING","OVER CONSUMPTION"))))</x:f>
        <x:v>EFFICIENT</x:v>
      </x:c>
      <x:c r="AE1342" t="str">
        <x:f>IFERROR(VLOOKUP(G1342,Master_Unit!$A$2:$N$78,13,FALSE),"UNIT NOT FOUND")</x:f>
        <x:v>Matched</x:v>
      </x:c>
    </x:row>
    <x:row r="1343">
      <x:c r="A1343" s="12" t="str">
        <x:v>FU-20260622-01342</x:v>
      </x:c>
      <x:c r="B1343" s="12" t="n">
        <x:v>1472</x:v>
      </x:c>
      <x:c r="C1343" s="14" t="n">
        <x:v>46195</x:v>
      </x:c>
      <x:c r="D1343" s="12" t="str">
        <x:v>Senin</x:v>
      </x:c>
      <x:c r="E1343" s="12" t="str">
        <x:v>09:04:00</x:v>
      </x:c>
      <x:c r="F1343" s="12" t="str">
        <x:v>All Shift Day</x:v>
      </x:c>
      <x:c r="G1343" s="12" t="str">
        <x:v>WTRL44G006</x:v>
      </x:c>
      <x:c r="H1343" s="12" t="str">
        <x:v>Water Truck</x:v>
      </x:c>
      <x:c r="I1343" s="12" t="str">
        <x:v>WATER TRUCK RENAULT KRANGE440-P6X4 A/T</x:v>
      </x:c>
      <x:c r="J1343" s="16" t="n">
        <x:v>78</x:v>
      </x:c>
      <x:c r="K1343" s="16" t="n">
        <x:v>2081</x:v>
      </x:c>
      <x:c r="L1343" s="16" t="n">
        <x:v>2086</x:v>
      </x:c>
      <x:c r="M1343" s="16" t="n">
        <x:v>5</x:v>
      </x:c>
      <x:c r="N1343" s="16" t="n">
        <x:v>15.6</x:v>
      </x:c>
      <x:c r="O1343" s="12" t="str">
        <x:v>FTRL44G005</x:v>
      </x:c>
      <x:c r="P1343" s="12" t="str">
        <x:v>WTRL44G006</x:v>
      </x:c>
      <x:c r="Q1343" s="12" t="str"/>
      <x:c r="R1343" s="12" t="str"/>
      <x:c r="S1343" s="12" t="str"/>
      <x:c r="T1343" s="12" t="str">
        <x:v>ABM</x:v>
      </x:c>
      <x:c r="U1343" s="12" t="str"/>
      <x:c r="V1343" s="12" t="str"/>
      <x:c r="W1343" s="12" t="str"/>
      <x:c r="X1343" s="12" t="str">
        <x:v>WTRL44</x:v>
      </x:c>
      <x:c r="Y1343" s="12" t="str">
        <x:v>RAFIF &amp; YOGI</x:v>
      </x:c>
      <x:c r="Z1343" s="12" t="str"/>
      <x:c r="AA1343" s="32" t="n">
        <x:f>IFERROR(VLOOKUP(G1343,Master_Unit!$A$2:$N$78,7,FALSE),"")</x:f>
        <x:v>20</x:v>
      </x:c>
      <x:c r="AB1343" s="32" t="n">
        <x:f>IF(OR(N1343="",AA1343=""),"",N1343-AA1343)</x:f>
        <x:v>-4.4</x:v>
      </x:c>
      <x:c r="AC1343" s="20" t="n">
        <x:f>IF(OR(N1343="",AA1343="",AA1343=0),"",AB1343/AA1343)</x:f>
        <x:v>-0.22000000000000003</x:v>
      </x:c>
      <x:c r="AD1343" t="str">
        <x:f>IF(AA1343="","NO STANDARD",IF(AC1343&lt;=Config_Status!$B$2,"EFFICIENT",IF(AC1343&lt;=Config_Status!$B$3,"NORMAL",IF(AC1343&lt;=Config_Status!$B$4,"WARNING","OVER CONSUMPTION"))))</x:f>
        <x:v>EFFICIENT</x:v>
      </x:c>
      <x:c r="AE1343" t="str">
        <x:f>IFERROR(VLOOKUP(G1343,Master_Unit!$A$2:$N$78,13,FALSE),"UNIT NOT FOUND")</x:f>
        <x:v>Matched</x:v>
      </x:c>
    </x:row>
    <x:row r="1344">
      <x:c r="A1344" s="12" t="str">
        <x:v>FU-20260623-01343</x:v>
      </x:c>
      <x:c r="B1344" s="12" t="n">
        <x:v>1473</x:v>
      </x:c>
      <x:c r="C1344" s="14" t="n">
        <x:v>46196</x:v>
      </x:c>
      <x:c r="D1344" s="12" t="str">
        <x:v>Selasa</x:v>
      </x:c>
      <x:c r="E1344" s="12" t="str">
        <x:v>07:28:00</x:v>
      </x:c>
      <x:c r="F1344" s="12" t="str">
        <x:v>All Shift Day</x:v>
      </x:c>
      <x:c r="G1344" s="12" t="str">
        <x:v>WTRL44G007</x:v>
      </x:c>
      <x:c r="H1344" s="12" t="str">
        <x:v>Water Truck</x:v>
      </x:c>
      <x:c r="I1344" s="12" t="str">
        <x:v>WATER TRUCK RENAULT KRANGE440-P6X4 A/T</x:v>
      </x:c>
      <x:c r="J1344" s="16" t="n">
        <x:v>85</x:v>
      </x:c>
      <x:c r="K1344" s="16" t="n">
        <x:v>1655</x:v>
      </x:c>
      <x:c r="L1344" s="16" t="n">
        <x:v>1659</x:v>
      </x:c>
      <x:c r="M1344" s="16" t="n">
        <x:v>4</x:v>
      </x:c>
      <x:c r="N1344" s="16" t="n">
        <x:v>21.25</x:v>
      </x:c>
      <x:c r="O1344" s="12" t="str">
        <x:v>FTRL44G005</x:v>
      </x:c>
      <x:c r="P1344" s="12" t="str">
        <x:v>WTRL44G007</x:v>
      </x:c>
      <x:c r="Q1344" s="12" t="str"/>
      <x:c r="R1344" s="12" t="str"/>
      <x:c r="S1344" s="12" t="str"/>
      <x:c r="T1344" s="12" t="str">
        <x:v>ABM</x:v>
      </x:c>
      <x:c r="U1344" s="12" t="str"/>
      <x:c r="V1344" s="12" t="str"/>
      <x:c r="W1344" s="12" t="str"/>
      <x:c r="X1344" s="12" t="str">
        <x:v>WTRL44</x:v>
      </x:c>
      <x:c r="Y1344" s="12" t="str">
        <x:v>FANGKI &amp; KAMRAN</x:v>
      </x:c>
      <x:c r="Z1344" s="12" t="str"/>
      <x:c r="AA1344" s="32" t="n">
        <x:f>IFERROR(VLOOKUP(G1344,Master_Unit!$A$2:$N$78,7,FALSE),"")</x:f>
        <x:v>20</x:v>
      </x:c>
      <x:c r="AB1344" s="32" t="n">
        <x:f>IF(OR(N1344="",AA1344=""),"",N1344-AA1344)</x:f>
        <x:v>1.25</x:v>
      </x:c>
      <x:c r="AC1344" s="20" t="n">
        <x:f>IF(OR(N1344="",AA1344="",AA1344=0),"",AB1344/AA1344)</x:f>
        <x:v>0.0625</x:v>
      </x:c>
      <x:c r="AD1344" t="str">
        <x:f>IF(AA1344="","NO STANDARD",IF(AC1344&lt;=Config_Status!$B$2,"EFFICIENT",IF(AC1344&lt;=Config_Status!$B$3,"NORMAL",IF(AC1344&lt;=Config_Status!$B$4,"WARNING","OVER CONSUMPTION"))))</x:f>
        <x:v>NORMAL</x:v>
      </x:c>
      <x:c r="AE1344" t="str">
        <x:f>IFERROR(VLOOKUP(G1344,Master_Unit!$A$2:$N$78,13,FALSE),"UNIT NOT FOUND")</x:f>
        <x:v>Matched</x:v>
      </x:c>
    </x:row>
    <x:row r="1345">
      <x:c r="A1345" s="12" t="str">
        <x:v>FU-20260623-01344</x:v>
      </x:c>
      <x:c r="B1345" s="12" t="n">
        <x:v>1474</x:v>
      </x:c>
      <x:c r="C1345" s="14" t="n">
        <x:v>46196</x:v>
      </x:c>
      <x:c r="D1345" s="12" t="str">
        <x:v>Selasa</x:v>
      </x:c>
      <x:c r="E1345" s="12" t="str">
        <x:v>07:38:00</x:v>
      </x:c>
      <x:c r="F1345" s="12" t="str">
        <x:v>All Shift Day</x:v>
      </x:c>
      <x:c r="G1345" s="12" t="str">
        <x:v>GSHT40G002</x:v>
      </x:c>
      <x:c r="H1345" s="12" t="str">
        <x:v>Genset</x:v>
      </x:c>
      <x:c r="I1345" s="12" t="str">
        <x:v>GENSET HARTECH HT-400-V</x:v>
      </x:c>
      <x:c r="J1345" s="16" t="n">
        <x:v>400</x:v>
      </x:c>
      <x:c r="K1345" s="16" t="n">
        <x:v>14819.49</x:v>
      </x:c>
      <x:c r="L1345" s="16" t="n">
        <x:v>14842.46</x:v>
      </x:c>
      <x:c r="M1345" s="16" t="n">
        <x:v>22.969999999999345</x:v>
      </x:c>
      <x:c r="N1345" s="16" t="n">
        <x:v>17.414018284719695</x:v>
      </x:c>
      <x:c r="O1345" s="12" t="str">
        <x:v>FTRL44G005</x:v>
      </x:c>
      <x:c r="P1345" s="12" t="str">
        <x:v>GSHT40G002</x:v>
      </x:c>
      <x:c r="Q1345" s="12" t="str"/>
      <x:c r="R1345" s="12" t="str"/>
      <x:c r="S1345" s="12" t="str"/>
      <x:c r="T1345" s="12" t="str">
        <x:v>ABM</x:v>
      </x:c>
      <x:c r="U1345" s="12" t="str"/>
      <x:c r="V1345" s="12" t="str"/>
      <x:c r="W1345" s="12" t="str"/>
      <x:c r="X1345" s="12" t="str">
        <x:v>GSHT40</x:v>
      </x:c>
      <x:c r="Y1345" s="12" t="str">
        <x:v>FANGKI &amp; KAMRAN</x:v>
      </x:c>
      <x:c r="Z1345" s="12" t="str"/>
      <x:c r="AA1345" s="32" t="n">
        <x:f>IFERROR(VLOOKUP(G1345,Master_Unit!$A$2:$N$78,7,FALSE),"")</x:f>
        <x:v>25</x:v>
      </x:c>
      <x:c r="AB1345" s="32" t="n">
        <x:f>IF(OR(N1345="",AA1345=""),"",N1345-AA1345)</x:f>
        <x:v>-7.585981715280305</x:v>
      </x:c>
      <x:c r="AC1345" s="20" t="n">
        <x:f>IF(OR(N1345="",AA1345="",AA1345=0),"",AB1345/AA1345)</x:f>
        <x:v>-0.3034392686112122</x:v>
      </x:c>
      <x:c r="AD1345" t="str">
        <x:f>IF(AA1345="","NO STANDARD",IF(AC1345&lt;=Config_Status!$B$2,"EFFICIENT",IF(AC1345&lt;=Config_Status!$B$3,"NORMAL",IF(AC1345&lt;=Config_Status!$B$4,"WARNING","OVER CONSUMPTION"))))</x:f>
        <x:v>EFFICIENT</x:v>
      </x:c>
      <x:c r="AE1345" t="str">
        <x:f>IFERROR(VLOOKUP(G1345,Master_Unit!$A$2:$N$78,13,FALSE),"UNIT NOT FOUND")</x:f>
        <x:v>Matched</x:v>
      </x:c>
    </x:row>
    <x:row r="1346">
      <x:c r="A1346" s="12" t="str">
        <x:v>FU-20260623-01345</x:v>
      </x:c>
      <x:c r="B1346" s="12" t="n">
        <x:v>1475</x:v>
      </x:c>
      <x:c r="C1346" s="14" t="n">
        <x:v>46196</x:v>
      </x:c>
      <x:c r="D1346" s="12" t="str">
        <x:v>Selasa</x:v>
      </x:c>
      <x:c r="E1346" s="12" t="str">
        <x:v>07:50:00</x:v>
      </x:c>
      <x:c r="F1346" s="12" t="str">
        <x:v>All Shift Day</x:v>
      </x:c>
      <x:c r="G1346" s="12" t="str">
        <x:v>LVTH24R033</x:v>
      </x:c>
      <x:c r="H1346" s="12" t="str">
        <x:v>Light Vehicle</x:v>
      </x:c>
      <x:c r="I1346" s="12" t="str">
        <x:v>LIGHT VEHICLE TOYOTA HILUX</x:v>
      </x:c>
      <x:c r="J1346" s="16" t="n">
        <x:v>20</x:v>
      </x:c>
      <x:c r="K1346" s="16" t="n">
        <x:v>140897</x:v>
      </x:c>
      <x:c r="L1346" s="16" t="n">
        <x:v>141012</x:v>
      </x:c>
      <x:c r="M1346" s="16" t="n">
        <x:v>115</x:v>
      </x:c>
      <x:c r="N1346" s="16" t="n">
        <x:v>0.17391304347826086</x:v>
      </x:c>
      <x:c r="O1346" s="12" t="str">
        <x:v>FTRL44G005</x:v>
      </x:c>
      <x:c r="P1346" s="12" t="str">
        <x:v>LVTH24R033</x:v>
      </x:c>
      <x:c r="Q1346" s="12" t="str"/>
      <x:c r="R1346" s="12" t="str"/>
      <x:c r="S1346" s="12" t="str"/>
      <x:c r="T1346" s="12" t="str">
        <x:v>ABM</x:v>
      </x:c>
      <x:c r="U1346" s="12" t="str"/>
      <x:c r="V1346" s="12" t="str"/>
      <x:c r="W1346" s="12" t="str"/>
      <x:c r="X1346" s="12" t="str">
        <x:v>LVTH24</x:v>
      </x:c>
      <x:c r="Y1346" s="12" t="str">
        <x:v>FANGKI &amp; KAMRAN</x:v>
      </x:c>
      <x:c r="Z1346" s="12" t="str"/>
      <x:c r="AA1346" s="32" t="n">
        <x:f>IFERROR(VLOOKUP(G1346,Master_Unit!$A$2:$N$78,7,FALSE),"")</x:f>
        <x:v>0.2</x:v>
      </x:c>
      <x:c r="AB1346" s="32" t="n">
        <x:f>IF(OR(N1346="",AA1346=""),"",N1346-AA1346)</x:f>
        <x:v>-0.026086956521739146</x:v>
      </x:c>
      <x:c r="AC1346" s="20" t="n">
        <x:f>IF(OR(N1346="",AA1346="",AA1346=0),"",AB1346/AA1346)</x:f>
        <x:v>-0.13043478260869573</x:v>
      </x:c>
      <x:c r="AD1346" t="str">
        <x:f>IF(AA1346="","NO STANDARD",IF(AC1346&lt;=Config_Status!$B$2,"EFFICIENT",IF(AC1346&lt;=Config_Status!$B$3,"NORMAL",IF(AC1346&lt;=Config_Status!$B$4,"WARNING","OVER CONSUMPTION"))))</x:f>
        <x:v>EFFICIENT</x:v>
      </x:c>
      <x:c r="AE1346" t="str">
        <x:f>IFERROR(VLOOKUP(G1346,Master_Unit!$A$2:$N$78,13,FALSE),"UNIT NOT FOUND")</x:f>
        <x:v>Matched</x:v>
      </x:c>
    </x:row>
    <x:row r="1347">
      <x:c r="A1347" s="12" t="str">
        <x:v>FU-20260623-01346</x:v>
      </x:c>
      <x:c r="B1347" s="12" t="n">
        <x:v>1476</x:v>
      </x:c>
      <x:c r="C1347" s="14" t="n">
        <x:v>46196</x:v>
      </x:c>
      <x:c r="D1347" s="12" t="str">
        <x:v>Selasa</x:v>
      </x:c>
      <x:c r="E1347" s="12" t="str">
        <x:v>07:57:00</x:v>
      </x:c>
      <x:c r="F1347" s="12" t="str">
        <x:v>All Shift Day</x:v>
      </x:c>
      <x:c r="G1347" s="12" t="str">
        <x:v>LVTH24R026</x:v>
      </x:c>
      <x:c r="H1347" s="12" t="str">
        <x:v>Light Vehicle</x:v>
      </x:c>
      <x:c r="I1347" s="12" t="str">
        <x:v>LIGHT VEHICLE TOYOTA HILUX</x:v>
      </x:c>
      <x:c r="J1347" s="16" t="n">
        <x:v>20</x:v>
      </x:c>
      <x:c r="K1347" s="16" t="n">
        <x:v>60316</x:v>
      </x:c>
      <x:c r="L1347" s="16" t="n">
        <x:v>60505</x:v>
      </x:c>
      <x:c r="M1347" s="16" t="n">
        <x:v>189</x:v>
      </x:c>
      <x:c r="N1347" s="16" t="n">
        <x:v>0.10582010582010581</x:v>
      </x:c>
      <x:c r="O1347" s="12" t="str">
        <x:v>FTRL44G005</x:v>
      </x:c>
      <x:c r="P1347" s="12" t="str">
        <x:v>LVTH24R026</x:v>
      </x:c>
      <x:c r="Q1347" s="12" t="str"/>
      <x:c r="R1347" s="12" t="str"/>
      <x:c r="S1347" s="12" t="str"/>
      <x:c r="T1347" s="12" t="str">
        <x:v>ABM</x:v>
      </x:c>
      <x:c r="U1347" s="12" t="str"/>
      <x:c r="V1347" s="12" t="str"/>
      <x:c r="W1347" s="12" t="str"/>
      <x:c r="X1347" s="12" t="str">
        <x:v>LVTH24</x:v>
      </x:c>
      <x:c r="Y1347" s="12" t="str">
        <x:v>FANGKI &amp; KAMRAN</x:v>
      </x:c>
      <x:c r="Z1347" s="12" t="str"/>
      <x:c r="AA1347" s="32" t="n">
        <x:f>IFERROR(VLOOKUP(G1347,Master_Unit!$A$2:$N$78,7,FALSE),"")</x:f>
        <x:v>0.2</x:v>
      </x:c>
      <x:c r="AB1347" s="32" t="n">
        <x:f>IF(OR(N1347="",AA1347=""),"",N1347-AA1347)</x:f>
        <x:v>-0.0941798941798942</x:v>
      </x:c>
      <x:c r="AC1347" s="20" t="n">
        <x:f>IF(OR(N1347="",AA1347="",AA1347=0),"",AB1347/AA1347)</x:f>
        <x:v>-0.470899470899471</x:v>
      </x:c>
      <x:c r="AD1347" t="str">
        <x:f>IF(AA1347="","NO STANDARD",IF(AC1347&lt;=Config_Status!$B$2,"EFFICIENT",IF(AC1347&lt;=Config_Status!$B$3,"NORMAL",IF(AC1347&lt;=Config_Status!$B$4,"WARNING","OVER CONSUMPTION"))))</x:f>
        <x:v>EFFICIENT</x:v>
      </x:c>
      <x:c r="AE1347" t="str">
        <x:f>IFERROR(VLOOKUP(G1347,Master_Unit!$A$2:$N$78,13,FALSE),"UNIT NOT FOUND")</x:f>
        <x:v>Matched</x:v>
      </x:c>
    </x:row>
    <x:row r="1348">
      <x:c r="A1348" s="12" t="str">
        <x:v>FU-20260623-01347</x:v>
      </x:c>
      <x:c r="B1348" s="12" t="n">
        <x:v>1477</x:v>
      </x:c>
      <x:c r="C1348" s="14" t="n">
        <x:v>46196</x:v>
      </x:c>
      <x:c r="D1348" s="12" t="str">
        <x:v>Selasa</x:v>
      </x:c>
      <x:c r="E1348" s="12" t="str">
        <x:v>08:36:00</x:v>
      </x:c>
      <x:c r="F1348" s="12" t="str">
        <x:v>All Shift Day</x:v>
      </x:c>
      <x:c r="G1348" s="12" t="str">
        <x:v>LVTH24R036</x:v>
      </x:c>
      <x:c r="H1348" s="12" t="str">
        <x:v>Light Vehicle</x:v>
      </x:c>
      <x:c r="I1348" s="12" t="str">
        <x:v>LIGHT VEHICLE TOYOTA HILUX</x:v>
      </x:c>
      <x:c r="J1348" s="16" t="n">
        <x:v>20</x:v>
      </x:c>
      <x:c r="K1348" s="16" t="n">
        <x:v>63613</x:v>
      </x:c>
      <x:c r="L1348" s="16" t="n">
        <x:v>63912</x:v>
      </x:c>
      <x:c r="M1348" s="16" t="n">
        <x:v>299</x:v>
      </x:c>
      <x:c r="N1348" s="16" t="n">
        <x:v>0.06688963210702341</x:v>
      </x:c>
      <x:c r="O1348" s="12" t="str">
        <x:v>FTRL44G005</x:v>
      </x:c>
      <x:c r="P1348" s="12" t="str">
        <x:v>LVTH24R036</x:v>
      </x:c>
      <x:c r="Q1348" s="12" t="str"/>
      <x:c r="R1348" s="12" t="str"/>
      <x:c r="S1348" s="12" t="str"/>
      <x:c r="T1348" s="12" t="str">
        <x:v>ABM</x:v>
      </x:c>
      <x:c r="U1348" s="12" t="str"/>
      <x:c r="V1348" s="12" t="str"/>
      <x:c r="W1348" s="12" t="str"/>
      <x:c r="X1348" s="12" t="str">
        <x:v>LVTH24</x:v>
      </x:c>
      <x:c r="Y1348" s="12" t="str">
        <x:v>FANGKI &amp; KAMRAN</x:v>
      </x:c>
      <x:c r="Z1348" s="12" t="str"/>
      <x:c r="AA1348" s="32" t="n">
        <x:f>IFERROR(VLOOKUP(G1348,Master_Unit!$A$2:$N$78,7,FALSE),"")</x:f>
        <x:v>0.2</x:v>
      </x:c>
      <x:c r="AB1348" s="32" t="n">
        <x:f>IF(OR(N1348="",AA1348=""),"",N1348-AA1348)</x:f>
        <x:v>-0.1331103678929766</x:v>
      </x:c>
      <x:c r="AC1348" s="20" t="n">
        <x:f>IF(OR(N1348="",AA1348="",AA1348=0),"",AB1348/AA1348)</x:f>
        <x:v>-0.6655518394648829</x:v>
      </x:c>
      <x:c r="AD1348" t="str">
        <x:f>IF(AA1348="","NO STANDARD",IF(AC1348&lt;=Config_Status!$B$2,"EFFICIENT",IF(AC1348&lt;=Config_Status!$B$3,"NORMAL",IF(AC1348&lt;=Config_Status!$B$4,"WARNING","OVER CONSUMPTION"))))</x:f>
        <x:v>EFFICIENT</x:v>
      </x:c>
      <x:c r="AE1348" t="str">
        <x:f>IFERROR(VLOOKUP(G1348,Master_Unit!$A$2:$N$78,13,FALSE),"UNIT NOT FOUND")</x:f>
        <x:v>Matched</x:v>
      </x:c>
    </x:row>
    <x:row r="1349">
      <x:c r="A1349" s="12" t="str">
        <x:v>FU-20260623-01348</x:v>
      </x:c>
      <x:c r="B1349" s="12" t="n">
        <x:v>1478</x:v>
      </x:c>
      <x:c r="C1349" s="14" t="n">
        <x:v>46196</x:v>
      </x:c>
      <x:c r="D1349" s="12" t="str">
        <x:v>Selasa</x:v>
      </x:c>
      <x:c r="E1349" s="12" t="str">
        <x:v>08:40:00</x:v>
      </x:c>
      <x:c r="F1349" s="12" t="str">
        <x:v>All Shift Day</x:v>
      </x:c>
      <x:c r="G1349" s="12" t="str">
        <x:v>LVTH24R035</x:v>
      </x:c>
      <x:c r="H1349" s="12" t="str">
        <x:v>Light Vehicle</x:v>
      </x:c>
      <x:c r="I1349" s="12" t="str">
        <x:v>LIGHT VEHICLE TOYOTA HILUX</x:v>
      </x:c>
      <x:c r="J1349" s="16" t="n">
        <x:v>20</x:v>
      </x:c>
      <x:c r="K1349" s="16" t="n">
        <x:v>71934</x:v>
      </x:c>
      <x:c r="L1349" s="16" t="n">
        <x:v>72048</x:v>
      </x:c>
      <x:c r="M1349" s="16" t="n">
        <x:v>114</x:v>
      </x:c>
      <x:c r="N1349" s="16" t="n">
        <x:v>0.17543859649122806</x:v>
      </x:c>
      <x:c r="O1349" s="12" t="str">
        <x:v>FTRL44G005</x:v>
      </x:c>
      <x:c r="P1349" s="12" t="str">
        <x:v>LVTH24R035</x:v>
      </x:c>
      <x:c r="Q1349" s="12" t="str"/>
      <x:c r="R1349" s="12" t="str"/>
      <x:c r="S1349" s="12" t="str"/>
      <x:c r="T1349" s="12" t="str">
        <x:v>ABM</x:v>
      </x:c>
      <x:c r="U1349" s="12" t="str"/>
      <x:c r="V1349" s="12" t="str"/>
      <x:c r="W1349" s="12" t="str"/>
      <x:c r="X1349" s="12" t="str">
        <x:v>LVTH24</x:v>
      </x:c>
      <x:c r="Y1349" s="12" t="str">
        <x:v>FANGKI &amp; KAMRAN</x:v>
      </x:c>
      <x:c r="Z1349" s="12" t="str"/>
      <x:c r="AA1349" s="32" t="n">
        <x:f>IFERROR(VLOOKUP(G1349,Master_Unit!$A$2:$N$78,7,FALSE),"")</x:f>
        <x:v>0.2</x:v>
      </x:c>
      <x:c r="AB1349" s="32" t="n">
        <x:f>IF(OR(N1349="",AA1349=""),"",N1349-AA1349)</x:f>
        <x:v>-0.02456140350877195</x:v>
      </x:c>
      <x:c r="AC1349" s="20" t="n">
        <x:f>IF(OR(N1349="",AA1349="",AA1349=0),"",AB1349/AA1349)</x:f>
        <x:v>-0.12280701754385975</x:v>
      </x:c>
      <x:c r="AD1349" t="str">
        <x:f>IF(AA1349="","NO STANDARD",IF(AC1349&lt;=Config_Status!$B$2,"EFFICIENT",IF(AC1349&lt;=Config_Status!$B$3,"NORMAL",IF(AC1349&lt;=Config_Status!$B$4,"WARNING","OVER CONSUMPTION"))))</x:f>
        <x:v>EFFICIENT</x:v>
      </x:c>
      <x:c r="AE1349" t="str">
        <x:f>IFERROR(VLOOKUP(G1349,Master_Unit!$A$2:$N$78,13,FALSE),"UNIT NOT FOUND")</x:f>
        <x:v>Matched</x:v>
      </x:c>
    </x:row>
    <x:row r="1350">
      <x:c r="A1350" s="12" t="str">
        <x:v>FU-20260623-01349</x:v>
      </x:c>
      <x:c r="B1350" s="12" t="n">
        <x:v>1479</x:v>
      </x:c>
      <x:c r="C1350" s="14" t="n">
        <x:v>46196</x:v>
      </x:c>
      <x:c r="D1350" s="12" t="str">
        <x:v>Selasa</x:v>
      </x:c>
      <x:c r="E1350" s="12" t="str">
        <x:v>08:44:00</x:v>
      </x:c>
      <x:c r="F1350" s="12" t="str">
        <x:v>All Shift Day</x:v>
      </x:c>
      <x:c r="G1350" s="12" t="str">
        <x:v>LVMP25R005</x:v>
      </x:c>
      <x:c r="H1350" s="12" t="str">
        <x:v>Light Vehicle</x:v>
      </x:c>
      <x:c r="I1350" s="12" t="str">
        <x:v>LIGHT VEHICLE MITSUBISHI PAJERO</x:v>
      </x:c>
      <x:c r="J1350" s="16" t="n">
        <x:v>40</x:v>
      </x:c>
      <x:c r="K1350" s="16" t="n">
        <x:v>61077.7</x:v>
      </x:c>
      <x:c r="L1350" s="16" t="n">
        <x:v>61430</x:v>
      </x:c>
      <x:c r="M1350" s="16" t="n">
        <x:v>352.3000000000029</x:v>
      </x:c>
      <x:c r="N1350" s="16" t="n">
        <x:v>0.11353959693442994</x:v>
      </x:c>
      <x:c r="O1350" s="12" t="str">
        <x:v>FTRL44G005</x:v>
      </x:c>
      <x:c r="P1350" s="12" t="str">
        <x:v>LVMP25R005</x:v>
      </x:c>
      <x:c r="Q1350" s="12" t="str"/>
      <x:c r="R1350" s="12" t="str"/>
      <x:c r="S1350" s="12" t="str"/>
      <x:c r="T1350" s="12" t="str">
        <x:v>ABM</x:v>
      </x:c>
      <x:c r="U1350" s="12" t="str"/>
      <x:c r="V1350" s="12" t="str"/>
      <x:c r="W1350" s="12" t="str"/>
      <x:c r="X1350" s="12" t="str">
        <x:v>LVMP25</x:v>
      </x:c>
      <x:c r="Y1350" s="12" t="str">
        <x:v>FANGKI &amp; KAMRAN</x:v>
      </x:c>
      <x:c r="Z1350" s="12" t="str"/>
      <x:c r="AA1350" s="32" t="str">
        <x:f>IFERROR(VLOOKUP(G1350,Master_Unit!$A$2:$N$78,7,FALSE),"")</x:f>
      </x:c>
      <x:c r="AB1350" s="32" t="str">
        <x:f>IF(OR(N1350="",AA1350=""),"",N1350-AA1350)</x:f>
      </x:c>
      <x:c r="AC1350" s="20" t="str">
        <x:f>IF(OR(N1350="",AA1350="",AA1350=0),"",AB1350/AA1350)</x:f>
      </x:c>
      <x:c r="AD1350" t="str">
        <x:f>IF(AA1350="","NO STANDARD",IF(AC1350&lt;=Config_Status!$B$2,"EFFICIENT",IF(AC1350&lt;=Config_Status!$B$3,"NORMAL",IF(AC1350&lt;=Config_Status!$B$4,"WARNING","OVER CONSUMPTION"))))</x:f>
        <x:v>NO STANDARD</x:v>
      </x:c>
      <x:c r="AE1350" t="str">
        <x:f>IFERROR(VLOOKUP(G1350,Master_Unit!$A$2:$N$78,13,FALSE),"UNIT NOT FOUND")</x:f>
        <x:v>No Standard</x:v>
      </x:c>
    </x:row>
    <x:row r="1351">
      <x:c r="A1351" s="12" t="str">
        <x:v>FU-20260623-01350</x:v>
      </x:c>
      <x:c r="B1351" s="12" t="n">
        <x:v>1480</x:v>
      </x:c>
      <x:c r="C1351" s="14" t="n">
        <x:v>46196</x:v>
      </x:c>
      <x:c r="D1351" s="12" t="str">
        <x:v>Selasa</x:v>
      </x:c>
      <x:c r="E1351" s="12" t="str">
        <x:v>08:50:00</x:v>
      </x:c>
      <x:c r="F1351" s="12" t="str">
        <x:v>All Shift Day</x:v>
      </x:c>
      <x:c r="G1351" s="12" t="str">
        <x:v>GSHT10G001</x:v>
      </x:c>
      <x:c r="H1351" s="12" t="str">
        <x:v>Genset</x:v>
      </x:c>
      <x:c r="I1351" s="12" t="str">
        <x:v>GENSET HARTECH HT-10</x:v>
      </x:c>
      <x:c r="J1351" s="16" t="n">
        <x:v>15</x:v>
      </x:c>
      <x:c r="K1351" s="16" t="n">
        <x:v>6034.23</x:v>
      </x:c>
      <x:c r="L1351" s="16" t="n">
        <x:v>6044.23</x:v>
      </x:c>
      <x:c r="M1351" s="16" t="n">
        <x:v>10</x:v>
      </x:c>
      <x:c r="N1351" s="16" t="n">
        <x:v>1.5</x:v>
      </x:c>
      <x:c r="O1351" s="12" t="str">
        <x:v>FTRL44G004</x:v>
      </x:c>
      <x:c r="P1351" s="12" t="str">
        <x:v>GSHT10G001</x:v>
      </x:c>
      <x:c r="Q1351" s="12" t="str"/>
      <x:c r="R1351" s="12" t="str"/>
      <x:c r="S1351" s="12" t="str"/>
      <x:c r="T1351" s="12" t="str">
        <x:v>ABM</x:v>
      </x:c>
      <x:c r="U1351" s="12" t="str"/>
      <x:c r="V1351" s="12" t="str"/>
      <x:c r="W1351" s="12" t="str"/>
      <x:c r="X1351" s="12" t="str">
        <x:v>GSHT10</x:v>
      </x:c>
      <x:c r="Y1351" s="12" t="str">
        <x:v>FANGKI &amp; KAMRAN</x:v>
      </x:c>
      <x:c r="Z1351" s="12" t="str"/>
      <x:c r="AA1351" s="32" t="n">
        <x:f>IFERROR(VLOOKUP(G1351,Master_Unit!$A$2:$N$78,7,FALSE),"")</x:f>
        <x:v>3</x:v>
      </x:c>
      <x:c r="AB1351" s="32" t="n">
        <x:f>IF(OR(N1351="",AA1351=""),"",N1351-AA1351)</x:f>
        <x:v>-1.5</x:v>
      </x:c>
      <x:c r="AC1351" s="20" t="n">
        <x:f>IF(OR(N1351="",AA1351="",AA1351=0),"",AB1351/AA1351)</x:f>
        <x:v>-0.5</x:v>
      </x:c>
      <x:c r="AD1351" t="str">
        <x:f>IF(AA1351="","NO STANDARD",IF(AC1351&lt;=Config_Status!$B$2,"EFFICIENT",IF(AC1351&lt;=Config_Status!$B$3,"NORMAL",IF(AC1351&lt;=Config_Status!$B$4,"WARNING","OVER CONSUMPTION"))))</x:f>
        <x:v>EFFICIENT</x:v>
      </x:c>
      <x:c r="AE1351" t="str">
        <x:f>IFERROR(VLOOKUP(G1351,Master_Unit!$A$2:$N$78,13,FALSE),"UNIT NOT FOUND")</x:f>
        <x:v>Matched</x:v>
      </x:c>
    </x:row>
    <x:row r="1352">
      <x:c r="A1352" s="12" t="str">
        <x:v>FU-20260624-01351</x:v>
      </x:c>
      <x:c r="B1352" s="12" t="n">
        <x:v>1481</x:v>
      </x:c>
      <x:c r="C1352" s="14" t="n">
        <x:v>46197</x:v>
      </x:c>
      <x:c r="D1352" s="12" t="str">
        <x:v>Rabu</x:v>
      </x:c>
      <x:c r="E1352" s="12" t="str">
        <x:v>07:45:00</x:v>
      </x:c>
      <x:c r="F1352" s="12" t="str">
        <x:v>All Shift Day</x:v>
      </x:c>
      <x:c r="G1352" s="12" t="str">
        <x:v>LVTH24R052</x:v>
      </x:c>
      <x:c r="H1352" s="12" t="str">
        <x:v>Light Vehicle</x:v>
      </x:c>
      <x:c r="I1352" s="12" t="str">
        <x:v>LIGHT VEHICLE TOYOTA HILUX</x:v>
      </x:c>
      <x:c r="J1352" s="16" t="n">
        <x:v>24</x:v>
      </x:c>
      <x:c r="K1352" s="16" t="n">
        <x:v>13835</x:v>
      </x:c>
      <x:c r="L1352" s="16" t="n">
        <x:v>14033</x:v>
      </x:c>
      <x:c r="M1352" s="16" t="n">
        <x:v>198</x:v>
      </x:c>
      <x:c r="N1352" s="16" t="n">
        <x:v>0.12121212121212122</x:v>
      </x:c>
      <x:c r="O1352" s="12" t="str">
        <x:v>FTRL44G005</x:v>
      </x:c>
      <x:c r="P1352" s="12" t="str">
        <x:v>LVTH24R052</x:v>
      </x:c>
      <x:c r="Q1352" s="12" t="str"/>
      <x:c r="R1352" s="12" t="str"/>
      <x:c r="S1352" s="12" t="str"/>
      <x:c r="T1352" s="12" t="str">
        <x:v>ABM</x:v>
      </x:c>
      <x:c r="U1352" s="12" t="str"/>
      <x:c r="V1352" s="12" t="str"/>
      <x:c r="W1352" s="12" t="str"/>
      <x:c r="X1352" s="12" t="str">
        <x:v>LVTH24</x:v>
      </x:c>
      <x:c r="Y1352" s="12" t="str">
        <x:v>FANGKI &amp; ANGGI</x:v>
      </x:c>
      <x:c r="Z1352" s="12" t="str"/>
      <x:c r="AA1352" s="32" t="n">
        <x:f>IFERROR(VLOOKUP(G1352,Master_Unit!$A$2:$N$78,7,FALSE),"")</x:f>
        <x:v>0.2</x:v>
      </x:c>
      <x:c r="AB1352" s="32" t="n">
        <x:f>IF(OR(N1352="",AA1352=""),"",N1352-AA1352)</x:f>
        <x:v>-0.0787878787878788</x:v>
      </x:c>
      <x:c r="AC1352" s="20" t="n">
        <x:f>IF(OR(N1352="",AA1352="",AA1352=0),"",AB1352/AA1352)</x:f>
        <x:v>-0.393939393939394</x:v>
      </x:c>
      <x:c r="AD1352" t="str">
        <x:f>IF(AA1352="","NO STANDARD",IF(AC1352&lt;=Config_Status!$B$2,"EFFICIENT",IF(AC1352&lt;=Config_Status!$B$3,"NORMAL",IF(AC1352&lt;=Config_Status!$B$4,"WARNING","OVER CONSUMPTION"))))</x:f>
        <x:v>EFFICIENT</x:v>
      </x:c>
      <x:c r="AE1352" t="str">
        <x:f>IFERROR(VLOOKUP(G1352,Master_Unit!$A$2:$N$78,13,FALSE),"UNIT NOT FOUND")</x:f>
        <x:v>Matched</x:v>
      </x:c>
    </x:row>
    <x:row r="1353">
      <x:c r="A1353" s="12" t="str">
        <x:v>FU-20260624-01352</x:v>
      </x:c>
      <x:c r="B1353" s="12" t="n">
        <x:v>1482</x:v>
      </x:c>
      <x:c r="C1353" s="14" t="n">
        <x:v>46197</x:v>
      </x:c>
      <x:c r="D1353" s="12" t="str">
        <x:v>Rabu</x:v>
      </x:c>
      <x:c r="E1353" s="12" t="str">
        <x:v>08:05:00</x:v>
      </x:c>
      <x:c r="F1353" s="12" t="str">
        <x:v>All Shift Day</x:v>
      </x:c>
      <x:c r="G1353" s="12" t="str">
        <x:v>LVTH24R033</x:v>
      </x:c>
      <x:c r="H1353" s="12" t="str">
        <x:v>Light Vehicle</x:v>
      </x:c>
      <x:c r="I1353" s="12" t="str">
        <x:v>LIGHT VEHICLE TOYOTA HILUX</x:v>
      </x:c>
      <x:c r="J1353" s="16" t="n">
        <x:v>24</x:v>
      </x:c>
      <x:c r="K1353" s="16" t="n">
        <x:v>141012</x:v>
      </x:c>
      <x:c r="L1353" s="16" t="n">
        <x:v>141181</x:v>
      </x:c>
      <x:c r="M1353" s="16" t="n">
        <x:v>169</x:v>
      </x:c>
      <x:c r="N1353" s="16" t="n">
        <x:v>0.14201183431952663</x:v>
      </x:c>
      <x:c r="O1353" s="12" t="str">
        <x:v>FTRL44G005</x:v>
      </x:c>
      <x:c r="P1353" s="12" t="str">
        <x:v>LVTH24R033</x:v>
      </x:c>
      <x:c r="Q1353" s="12" t="str"/>
      <x:c r="R1353" s="12" t="str"/>
      <x:c r="S1353" s="12" t="str"/>
      <x:c r="T1353" s="12" t="str">
        <x:v>ABM</x:v>
      </x:c>
      <x:c r="U1353" s="12" t="str"/>
      <x:c r="V1353" s="12" t="str"/>
      <x:c r="W1353" s="12" t="str"/>
      <x:c r="X1353" s="12" t="str">
        <x:v>LVTH24</x:v>
      </x:c>
      <x:c r="Y1353" s="12" t="str">
        <x:v>FANGKI &amp; ANGGI</x:v>
      </x:c>
      <x:c r="Z1353" s="12" t="str"/>
      <x:c r="AA1353" s="32" t="n">
        <x:f>IFERROR(VLOOKUP(G1353,Master_Unit!$A$2:$N$78,7,FALSE),"")</x:f>
        <x:v>0.2</x:v>
      </x:c>
      <x:c r="AB1353" s="32" t="n">
        <x:f>IF(OR(N1353="",AA1353=""),"",N1353-AA1353)</x:f>
        <x:v>-0.05798816568047338</x:v>
      </x:c>
      <x:c r="AC1353" s="20" t="n">
        <x:f>IF(OR(N1353="",AA1353="",AA1353=0),"",AB1353/AA1353)</x:f>
        <x:v>-0.2899408284023669</x:v>
      </x:c>
      <x:c r="AD1353" t="str">
        <x:f>IF(AA1353="","NO STANDARD",IF(AC1353&lt;=Config_Status!$B$2,"EFFICIENT",IF(AC1353&lt;=Config_Status!$B$3,"NORMAL",IF(AC1353&lt;=Config_Status!$B$4,"WARNING","OVER CONSUMPTION"))))</x:f>
        <x:v>EFFICIENT</x:v>
      </x:c>
      <x:c r="AE1353" t="str">
        <x:f>IFERROR(VLOOKUP(G1353,Master_Unit!$A$2:$N$78,13,FALSE),"UNIT NOT FOUND")</x:f>
        <x:v>Matched</x:v>
      </x:c>
    </x:row>
    <x:row r="1354">
      <x:c r="A1354" s="12" t="str">
        <x:v>FU-20260624-01353</x:v>
      </x:c>
      <x:c r="B1354" s="12" t="n">
        <x:v>1483</x:v>
      </x:c>
      <x:c r="C1354" s="14" t="n">
        <x:v>46197</x:v>
      </x:c>
      <x:c r="D1354" s="12" t="str">
        <x:v>Rabu</x:v>
      </x:c>
      <x:c r="E1354" s="12" t="str">
        <x:v>08:06:00</x:v>
      </x:c>
      <x:c r="F1354" s="12" t="str">
        <x:v>All Shift Day</x:v>
      </x:c>
      <x:c r="G1354" s="12" t="str">
        <x:v>GSHT25G001</x:v>
      </x:c>
      <x:c r="H1354" s="12" t="str">
        <x:v>Genset</x:v>
      </x:c>
      <x:c r="I1354" s="12" t="str">
        <x:v>GENSET HARTECH HT-250-V</x:v>
      </x:c>
      <x:c r="J1354" s="16" t="n">
        <x:v>400</x:v>
      </x:c>
      <x:c r="K1354" s="16" t="n">
        <x:v>1946.1</x:v>
      </x:c>
      <x:c r="L1354" s="16" t="n">
        <x:v>1970.14</x:v>
      </x:c>
      <x:c r="M1354" s="16" t="n">
        <x:v>24.04000000000019</x:v>
      </x:c>
      <x:c r="N1354" s="16" t="n">
        <x:v>16.638935108152946</x:v>
      </x:c>
      <x:c r="O1354" s="12" t="str">
        <x:v>FTRL44G005</x:v>
      </x:c>
      <x:c r="P1354" s="12" t="str">
        <x:v>GSHT25G001</x:v>
      </x:c>
      <x:c r="Q1354" s="12" t="str"/>
      <x:c r="R1354" s="12" t="str"/>
      <x:c r="S1354" s="12" t="str"/>
      <x:c r="T1354" s="12" t="str">
        <x:v>ABM</x:v>
      </x:c>
      <x:c r="U1354" s="12" t="str"/>
      <x:c r="V1354" s="12" t="str"/>
      <x:c r="W1354" s="12" t="str"/>
      <x:c r="X1354" s="12" t="str">
        <x:v>GSHT25</x:v>
      </x:c>
      <x:c r="Y1354" s="12" t="str">
        <x:v>FANGKI &amp; ANGGI</x:v>
      </x:c>
      <x:c r="Z1354" s="12" t="str"/>
      <x:c r="AA1354" s="32" t="n">
        <x:f>IFERROR(VLOOKUP(G1354,Master_Unit!$A$2:$N$78,7,FALSE),"")</x:f>
        <x:v>15</x:v>
      </x:c>
      <x:c r="AB1354" s="32" t="n">
        <x:f>IF(OR(N1354="",AA1354=""),"",N1354-AA1354)</x:f>
        <x:v>1.6389351081529462</x:v>
      </x:c>
      <x:c r="AC1354" s="20" t="n">
        <x:f>IF(OR(N1354="",AA1354="",AA1354=0),"",AB1354/AA1354)</x:f>
        <x:v>0.10926234054352975</x:v>
      </x:c>
      <x:c r="AD1354" t="str">
        <x:f>IF(AA1354="","NO STANDARD",IF(AC1354&lt;=Config_Status!$B$2,"EFFICIENT",IF(AC1354&lt;=Config_Status!$B$3,"NORMAL",IF(AC1354&lt;=Config_Status!$B$4,"WARNING","OVER CONSUMPTION"))))</x:f>
        <x:v>WARNING</x:v>
      </x:c>
      <x:c r="AE1354" t="str">
        <x:f>IFERROR(VLOOKUP(G1354,Master_Unit!$A$2:$N$78,13,FALSE),"UNIT NOT FOUND")</x:f>
        <x:v>Matched</x:v>
      </x:c>
    </x:row>
    <x:row r="1355">
      <x:c r="A1355" s="12" t="str">
        <x:v>FU-20260624-01354</x:v>
      </x:c>
      <x:c r="B1355" s="12" t="n">
        <x:v>1484</x:v>
      </x:c>
      <x:c r="C1355" s="14" t="n">
        <x:v>46197</x:v>
      </x:c>
      <x:c r="D1355" s="12" t="str">
        <x:v>Rabu</x:v>
      </x:c>
      <x:c r="E1355" s="12" t="str">
        <x:v>10:51:00</x:v>
      </x:c>
      <x:c r="F1355" s="12" t="str">
        <x:v>All Shift Day</x:v>
      </x:c>
      <x:c r="G1355" s="12" t="str">
        <x:v>LVTH24R036</x:v>
      </x:c>
      <x:c r="H1355" s="12" t="str">
        <x:v>Light Vehicle</x:v>
      </x:c>
      <x:c r="I1355" s="12" t="str">
        <x:v>LIGHT VEHICLE TOYOTA HILUX</x:v>
      </x:c>
      <x:c r="J1355" s="16" t="n">
        <x:v>24</x:v>
      </x:c>
      <x:c r="K1355" s="16" t="n">
        <x:v>63912</x:v>
      </x:c>
      <x:c r="L1355" s="16" t="n">
        <x:v>63967</x:v>
      </x:c>
      <x:c r="M1355" s="16" t="n">
        <x:v>55</x:v>
      </x:c>
      <x:c r="N1355" s="16" t="n">
        <x:v>0.43636363636363634</x:v>
      </x:c>
      <x:c r="O1355" s="12" t="str">
        <x:v>FTRL44G005</x:v>
      </x:c>
      <x:c r="P1355" s="12" t="str">
        <x:v>LVTH24R036</x:v>
      </x:c>
      <x:c r="Q1355" s="12" t="str"/>
      <x:c r="R1355" s="12" t="str"/>
      <x:c r="S1355" s="12" t="str"/>
      <x:c r="T1355" s="12" t="str">
        <x:v>ABM</x:v>
      </x:c>
      <x:c r="U1355" s="12" t="str"/>
      <x:c r="V1355" s="12" t="str"/>
      <x:c r="W1355" s="12" t="str"/>
      <x:c r="X1355" s="12" t="str">
        <x:v>LVTH24</x:v>
      </x:c>
      <x:c r="Y1355" s="12" t="str">
        <x:v>FANGKI &amp; ANGGI</x:v>
      </x:c>
      <x:c r="Z1355" s="12" t="str"/>
      <x:c r="AA1355" s="32" t="n">
        <x:f>IFERROR(VLOOKUP(G1355,Master_Unit!$A$2:$N$78,7,FALSE),"")</x:f>
        <x:v>0.2</x:v>
      </x:c>
      <x:c r="AB1355" s="32" t="n">
        <x:f>IF(OR(N1355="",AA1355=""),"",N1355-AA1355)</x:f>
        <x:v>0.23636363636363633</x:v>
      </x:c>
      <x:c r="AC1355" s="20" t="n">
        <x:f>IF(OR(N1355="",AA1355="",AA1355=0),"",AB1355/AA1355)</x:f>
        <x:v>1.1818181818181817</x:v>
      </x:c>
      <x:c r="AD1355" t="str">
        <x:f>IF(AA1355="","NO STANDARD",IF(AC1355&lt;=Config_Status!$B$2,"EFFICIENT",IF(AC1355&lt;=Config_Status!$B$3,"NORMAL",IF(AC1355&lt;=Config_Status!$B$4,"WARNING","OVER CONSUMPTION"))))</x:f>
        <x:v>OVER CONSUMPTION</x:v>
      </x:c>
      <x:c r="AE1355" t="str">
        <x:f>IFERROR(VLOOKUP(G1355,Master_Unit!$A$2:$N$78,13,FALSE),"UNIT NOT FOUND")</x:f>
        <x:v>Matched</x:v>
      </x:c>
    </x:row>
    <x:row r="1356">
      <x:c r="A1356" s="12" t="str">
        <x:v>FU-20260624-01355</x:v>
      </x:c>
      <x:c r="B1356" s="12" t="n">
        <x:v>1485</x:v>
      </x:c>
      <x:c r="C1356" s="14" t="n">
        <x:v>46197</x:v>
      </x:c>
      <x:c r="D1356" s="12" t="str">
        <x:v>Rabu</x:v>
      </x:c>
      <x:c r="E1356" s="12" t="str">
        <x:v>10:54:00</x:v>
      </x:c>
      <x:c r="F1356" s="12" t="str">
        <x:v>All Shift Day</x:v>
      </x:c>
      <x:c r="G1356" s="12" t="str">
        <x:v>LVTH24R034</x:v>
      </x:c>
      <x:c r="H1356" s="12" t="str">
        <x:v>Light Vehicle</x:v>
      </x:c>
      <x:c r="I1356" s="12" t="str">
        <x:v>LIGHT VEHICLE TOYOTA HILUX</x:v>
      </x:c>
      <x:c r="J1356" s="16" t="n">
        <x:v>24</x:v>
      </x:c>
      <x:c r="K1356" s="16" t="n">
        <x:v>50153</x:v>
      </x:c>
      <x:c r="L1356" s="16" t="n">
        <x:v>50333</x:v>
      </x:c>
      <x:c r="M1356" s="16" t="n">
        <x:v>180</x:v>
      </x:c>
      <x:c r="N1356" s="16" t="n">
        <x:v>0.13333333333333333</x:v>
      </x:c>
      <x:c r="O1356" s="12" t="str">
        <x:v>FTRL44G005</x:v>
      </x:c>
      <x:c r="P1356" s="12" t="str">
        <x:v>LVTH24R034</x:v>
      </x:c>
      <x:c r="Q1356" s="12" t="str"/>
      <x:c r="R1356" s="12" t="str"/>
      <x:c r="S1356" s="12" t="str"/>
      <x:c r="T1356" s="12" t="str">
        <x:v>ABM</x:v>
      </x:c>
      <x:c r="U1356" s="12" t="str"/>
      <x:c r="V1356" s="12" t="str"/>
      <x:c r="W1356" s="12" t="str"/>
      <x:c r="X1356" s="12" t="str">
        <x:v>LVTH24</x:v>
      </x:c>
      <x:c r="Y1356" s="12" t="str">
        <x:v>FANGKI &amp; ANGGI</x:v>
      </x:c>
      <x:c r="Z1356" s="12" t="str"/>
      <x:c r="AA1356" s="32" t="n">
        <x:f>IFERROR(VLOOKUP(G1356,Master_Unit!$A$2:$N$78,7,FALSE),"")</x:f>
        <x:v>0.2</x:v>
      </x:c>
      <x:c r="AB1356" s="32" t="n">
        <x:f>IF(OR(N1356="",AA1356=""),"",N1356-AA1356)</x:f>
        <x:v>-0.06666666666666668</x:v>
      </x:c>
      <x:c r="AC1356" s="20" t="n">
        <x:f>IF(OR(N1356="",AA1356="",AA1356=0),"",AB1356/AA1356)</x:f>
        <x:v>-0.33333333333333337</x:v>
      </x:c>
      <x:c r="AD1356" t="str">
        <x:f>IF(AA1356="","NO STANDARD",IF(AC1356&lt;=Config_Status!$B$2,"EFFICIENT",IF(AC1356&lt;=Config_Status!$B$3,"NORMAL",IF(AC1356&lt;=Config_Status!$B$4,"WARNING","OVER CONSUMPTION"))))</x:f>
        <x:v>EFFICIENT</x:v>
      </x:c>
      <x:c r="AE1356" t="str">
        <x:f>IFERROR(VLOOKUP(G1356,Master_Unit!$A$2:$N$78,13,FALSE),"UNIT NOT FOUND")</x:f>
        <x:v>Matched</x:v>
      </x:c>
    </x:row>
    <x:row r="1357">
      <x:c r="A1357" s="12" t="str">
        <x:v>FU-20260624-01356</x:v>
      </x:c>
      <x:c r="B1357" s="12" t="n">
        <x:v>1486</x:v>
      </x:c>
      <x:c r="C1357" s="14" t="n">
        <x:v>46197</x:v>
      </x:c>
      <x:c r="D1357" s="12" t="str">
        <x:v>Rabu</x:v>
      </x:c>
      <x:c r="E1357" s="12" t="str">
        <x:v>10:55:00</x:v>
      </x:c>
      <x:c r="F1357" s="12" t="str">
        <x:v>All Shift Day</x:v>
      </x:c>
      <x:c r="G1357" s="12" t="str">
        <x:v>LVTH24R035</x:v>
      </x:c>
      <x:c r="H1357" s="12" t="str">
        <x:v>Light Vehicle</x:v>
      </x:c>
      <x:c r="I1357" s="12" t="str">
        <x:v>LIGHT VEHICLE TOYOTA HILUX</x:v>
      </x:c>
      <x:c r="J1357" s="16" t="n">
        <x:v>23</x:v>
      </x:c>
      <x:c r="K1357" s="16" t="n">
        <x:v>72048</x:v>
      </x:c>
      <x:c r="L1357" s="16" t="n">
        <x:v>72198</x:v>
      </x:c>
      <x:c r="M1357" s="16" t="n">
        <x:v>150</x:v>
      </x:c>
      <x:c r="N1357" s="16" t="n">
        <x:v>0.15333333333333332</x:v>
      </x:c>
      <x:c r="O1357" s="12" t="str">
        <x:v>FTRL44G005</x:v>
      </x:c>
      <x:c r="P1357" s="12" t="str">
        <x:v>LVTH24R035</x:v>
      </x:c>
      <x:c r="Q1357" s="12" t="str"/>
      <x:c r="R1357" s="12" t="str"/>
      <x:c r="S1357" s="12" t="str"/>
      <x:c r="T1357" s="12" t="str">
        <x:v>ABM</x:v>
      </x:c>
      <x:c r="U1357" s="12" t="str"/>
      <x:c r="V1357" s="12" t="str"/>
      <x:c r="W1357" s="12" t="str"/>
      <x:c r="X1357" s="12" t="str">
        <x:v>LVTH24</x:v>
      </x:c>
      <x:c r="Y1357" s="12" t="str">
        <x:v>FANGKI &amp; ANGGI</x:v>
      </x:c>
      <x:c r="Z1357" s="12" t="str"/>
      <x:c r="AA1357" s="32" t="n">
        <x:f>IFERROR(VLOOKUP(G1357,Master_Unit!$A$2:$N$78,7,FALSE),"")</x:f>
        <x:v>0.2</x:v>
      </x:c>
      <x:c r="AB1357" s="32" t="n">
        <x:f>IF(OR(N1357="",AA1357=""),"",N1357-AA1357)</x:f>
        <x:v>-0.04666666666666669</x:v>
      </x:c>
      <x:c r="AC1357" s="20" t="n">
        <x:f>IF(OR(N1357="",AA1357="",AA1357=0),"",AB1357/AA1357)</x:f>
        <x:v>-0.23333333333333345</x:v>
      </x:c>
      <x:c r="AD1357" t="str">
        <x:f>IF(AA1357="","NO STANDARD",IF(AC1357&lt;=Config_Status!$B$2,"EFFICIENT",IF(AC1357&lt;=Config_Status!$B$3,"NORMAL",IF(AC1357&lt;=Config_Status!$B$4,"WARNING","OVER CONSUMPTION"))))</x:f>
        <x:v>EFFICIENT</x:v>
      </x:c>
      <x:c r="AE1357" t="str">
        <x:f>IFERROR(VLOOKUP(G1357,Master_Unit!$A$2:$N$78,13,FALSE),"UNIT NOT FOUND")</x:f>
        <x:v>Matched</x:v>
      </x:c>
    </x:row>
    <x:row r="1358">
      <x:c r="A1358" s="12" t="str">
        <x:v>FU-20260624-01357</x:v>
      </x:c>
      <x:c r="B1358" s="12" t="n">
        <x:v>1487</x:v>
      </x:c>
      <x:c r="C1358" s="14" t="n">
        <x:v>46197</x:v>
      </x:c>
      <x:c r="D1358" s="12" t="str">
        <x:v>Rabu</x:v>
      </x:c>
      <x:c r="E1358" s="12" t="str">
        <x:v>11:02:00</x:v>
      </x:c>
      <x:c r="F1358" s="12" t="str">
        <x:v>All Shift Day</x:v>
      </x:c>
      <x:c r="G1358" s="12" t="str">
        <x:v>LVTH24R024</x:v>
      </x:c>
      <x:c r="H1358" s="12" t="str">
        <x:v>Light Vehicle</x:v>
      </x:c>
      <x:c r="I1358" s="12" t="str">
        <x:v>LIGHT VEHICLE TOYOTA HILUX</x:v>
      </x:c>
      <x:c r="J1358" s="16" t="n">
        <x:v>22</x:v>
      </x:c>
      <x:c r="K1358" s="16" t="n">
        <x:v>47313</x:v>
      </x:c>
      <x:c r="L1358" s="16" t="n">
        <x:v>47442</x:v>
      </x:c>
      <x:c r="M1358" s="16" t="n">
        <x:v>129</x:v>
      </x:c>
      <x:c r="N1358" s="16" t="n">
        <x:v>0.17054263565891473</x:v>
      </x:c>
      <x:c r="O1358" s="12" t="str">
        <x:v>FTRL44G005</x:v>
      </x:c>
      <x:c r="P1358" s="12" t="str">
        <x:v>LVTH24R024</x:v>
      </x:c>
      <x:c r="Q1358" s="12" t="str"/>
      <x:c r="R1358" s="12" t="str"/>
      <x:c r="S1358" s="12" t="str"/>
      <x:c r="T1358" s="12" t="str">
        <x:v>ABM</x:v>
      </x:c>
      <x:c r="U1358" s="12" t="str"/>
      <x:c r="V1358" s="12" t="str"/>
      <x:c r="W1358" s="12" t="str"/>
      <x:c r="X1358" s="12" t="str">
        <x:v>LVTH24</x:v>
      </x:c>
      <x:c r="Y1358" s="12" t="str">
        <x:v>FANGKI &amp; ANGGI</x:v>
      </x:c>
      <x:c r="Z1358" s="12" t="str"/>
      <x:c r="AA1358" s="32" t="n">
        <x:f>IFERROR(VLOOKUP(G1358,Master_Unit!$A$2:$N$78,7,FALSE),"")</x:f>
        <x:v>0.2</x:v>
      </x:c>
      <x:c r="AB1358" s="32" t="n">
        <x:f>IF(OR(N1358="",AA1358=""),"",N1358-AA1358)</x:f>
        <x:v>-0.029457364341085285</x:v>
      </x:c>
      <x:c r="AC1358" s="20" t="n">
        <x:f>IF(OR(N1358="",AA1358="",AA1358=0),"",AB1358/AA1358)</x:f>
        <x:v>-0.14728682170542642</x:v>
      </x:c>
      <x:c r="AD1358" t="str">
        <x:f>IF(AA1358="","NO STANDARD",IF(AC1358&lt;=Config_Status!$B$2,"EFFICIENT",IF(AC1358&lt;=Config_Status!$B$3,"NORMAL",IF(AC1358&lt;=Config_Status!$B$4,"WARNING","OVER CONSUMPTION"))))</x:f>
        <x:v>EFFICIENT</x:v>
      </x:c>
      <x:c r="AE1358" t="str">
        <x:f>IFERROR(VLOOKUP(G1358,Master_Unit!$A$2:$N$78,13,FALSE),"UNIT NOT FOUND")</x:f>
        <x:v>Matched</x:v>
      </x:c>
    </x:row>
    <x:row r="1359">
      <x:c r="A1359" s="12" t="str">
        <x:v>FU-20260624-01358</x:v>
      </x:c>
      <x:c r="B1359" s="12" t="n">
        <x:v>1488</x:v>
      </x:c>
      <x:c r="C1359" s="14" t="n">
        <x:v>46197</x:v>
      </x:c>
      <x:c r="D1359" s="12" t="str">
        <x:v>Rabu</x:v>
      </x:c>
      <x:c r="E1359" s="12" t="str">
        <x:v>14:21:00</x:v>
      </x:c>
      <x:c r="F1359" s="12" t="str">
        <x:v>All Shift Day</x:v>
      </x:c>
      <x:c r="G1359" s="12" t="str">
        <x:v>LVTH24R026</x:v>
      </x:c>
      <x:c r="H1359" s="12" t="str">
        <x:v>Light Vehicle</x:v>
      </x:c>
      <x:c r="I1359" s="12" t="str">
        <x:v>LIGHT VEHICLE TOYOTA HILUX</x:v>
      </x:c>
      <x:c r="J1359" s="16" t="n">
        <x:v>23</x:v>
      </x:c>
      <x:c r="K1359" s="16" t="n">
        <x:v>60505</x:v>
      </x:c>
      <x:c r="L1359" s="16" t="n">
        <x:v>60545</x:v>
      </x:c>
      <x:c r="M1359" s="16" t="n">
        <x:v>40</x:v>
      </x:c>
      <x:c r="N1359" s="16" t="n">
        <x:v>0.575</x:v>
      </x:c>
      <x:c r="O1359" s="12" t="str">
        <x:v>FTRL44G005</x:v>
      </x:c>
      <x:c r="P1359" s="12" t="str">
        <x:v>LVTH24R026</x:v>
      </x:c>
      <x:c r="Q1359" s="12" t="str"/>
      <x:c r="R1359" s="12" t="str"/>
      <x:c r="S1359" s="12" t="str"/>
      <x:c r="T1359" s="12" t="str">
        <x:v>ABM</x:v>
      </x:c>
      <x:c r="U1359" s="12" t="str"/>
      <x:c r="V1359" s="12" t="str"/>
      <x:c r="W1359" s="12" t="str"/>
      <x:c r="X1359" s="12" t="str">
        <x:v>LVTH24</x:v>
      </x:c>
      <x:c r="Y1359" s="12" t="str">
        <x:v>FANGKI &amp; ANGGI</x:v>
      </x:c>
      <x:c r="Z1359" s="12" t="str"/>
      <x:c r="AA1359" s="32" t="n">
        <x:f>IFERROR(VLOOKUP(G1359,Master_Unit!$A$2:$N$78,7,FALSE),"")</x:f>
        <x:v>0.2</x:v>
      </x:c>
      <x:c r="AB1359" s="32" t="n">
        <x:f>IF(OR(N1359="",AA1359=""),"",N1359-AA1359)</x:f>
        <x:v>0.37499999999999994</x:v>
      </x:c>
      <x:c r="AC1359" s="20" t="n">
        <x:f>IF(OR(N1359="",AA1359="",AA1359=0),"",AB1359/AA1359)</x:f>
        <x:v>1.8749999999999996</x:v>
      </x:c>
      <x:c r="AD1359" t="str">
        <x:f>IF(AA1359="","NO STANDARD",IF(AC1359&lt;=Config_Status!$B$2,"EFFICIENT",IF(AC1359&lt;=Config_Status!$B$3,"NORMAL",IF(AC1359&lt;=Config_Status!$B$4,"WARNING","OVER CONSUMPTION"))))</x:f>
        <x:v>OVER CONSUMPTION</x:v>
      </x:c>
      <x:c r="AE1359" t="str">
        <x:f>IFERROR(VLOOKUP(G1359,Master_Unit!$A$2:$N$78,13,FALSE),"UNIT NOT FOUND")</x:f>
        <x:v>Matched</x:v>
      </x:c>
    </x:row>
    <x:row r="1360">
      <x:c r="A1360" s="12" t="str">
        <x:v>FU-20260625-01359</x:v>
      </x:c>
      <x:c r="B1360" s="12" t="n">
        <x:v>1489</x:v>
      </x:c>
      <x:c r="C1360" s="14" t="n">
        <x:v>46198</x:v>
      </x:c>
      <x:c r="D1360" s="12" t="str">
        <x:v>Kamis</x:v>
      </x:c>
      <x:c r="E1360" s="12" t="str">
        <x:v>06:43:00</x:v>
      </x:c>
      <x:c r="F1360" s="12" t="str">
        <x:v>All Shift Day</x:v>
      </x:c>
      <x:c r="G1360" s="12" t="str">
        <x:v>LVTH24R023</x:v>
      </x:c>
      <x:c r="H1360" s="12" t="str">
        <x:v>Light Vehicle</x:v>
      </x:c>
      <x:c r="I1360" s="12" t="str">
        <x:v>LIGHT VEHICLE TOYOTA HILUX</x:v>
      </x:c>
      <x:c r="J1360" s="16" t="n">
        <x:v>20</x:v>
      </x:c>
      <x:c r="K1360" s="16" t="n">
        <x:v>49641</x:v>
      </x:c>
      <x:c r="L1360" s="16" t="n">
        <x:v>49757</x:v>
      </x:c>
      <x:c r="M1360" s="16" t="n">
        <x:v>116</x:v>
      </x:c>
      <x:c r="N1360" s="16" t="n">
        <x:v>0.1724137931034483</x:v>
      </x:c>
      <x:c r="O1360" s="12" t="str">
        <x:v>FTRL44G005</x:v>
      </x:c>
      <x:c r="P1360" s="12" t="str">
        <x:v>LVTH24R023</x:v>
      </x:c>
      <x:c r="Q1360" s="12" t="str"/>
      <x:c r="R1360" s="12" t="str"/>
      <x:c r="S1360" s="12" t="str"/>
      <x:c r="T1360" s="12" t="str">
        <x:v>ABM</x:v>
      </x:c>
      <x:c r="U1360" s="12" t="str"/>
      <x:c r="V1360" s="12" t="str"/>
      <x:c r="W1360" s="12" t="str"/>
      <x:c r="X1360" s="12" t="str">
        <x:v>LVTH24</x:v>
      </x:c>
      <x:c r="Y1360" s="12" t="str">
        <x:v>FANGKI &amp; RAFIF</x:v>
      </x:c>
      <x:c r="Z1360" s="12" t="str"/>
      <x:c r="AA1360" s="32" t="n">
        <x:f>IFERROR(VLOOKUP(G1360,Master_Unit!$A$2:$N$78,7,FALSE),"")</x:f>
        <x:v>0.2</x:v>
      </x:c>
      <x:c r="AB1360" s="32" t="n">
        <x:f>IF(OR(N1360="",AA1360=""),"",N1360-AA1360)</x:f>
        <x:v>-0.027586206896551724</x:v>
      </x:c>
      <x:c r="AC1360" s="20" t="n">
        <x:f>IF(OR(N1360="",AA1360="",AA1360=0),"",AB1360/AA1360)</x:f>
        <x:v>-0.13793103448275862</x:v>
      </x:c>
      <x:c r="AD1360" t="str">
        <x:f>IF(AA1360="","NO STANDARD",IF(AC1360&lt;=Config_Status!$B$2,"EFFICIENT",IF(AC1360&lt;=Config_Status!$B$3,"NORMAL",IF(AC1360&lt;=Config_Status!$B$4,"WARNING","OVER CONSUMPTION"))))</x:f>
        <x:v>EFFICIENT</x:v>
      </x:c>
      <x:c r="AE1360" t="str">
        <x:f>IFERROR(VLOOKUP(G1360,Master_Unit!$A$2:$N$78,13,FALSE),"UNIT NOT FOUND")</x:f>
        <x:v>Matched</x:v>
      </x:c>
    </x:row>
    <x:row r="1361">
      <x:c r="A1361" s="12" t="str">
        <x:v>FU-20260625-01360</x:v>
      </x:c>
      <x:c r="B1361" s="12" t="n">
        <x:v>1490</x:v>
      </x:c>
      <x:c r="C1361" s="14" t="n">
        <x:v>46198</x:v>
      </x:c>
      <x:c r="D1361" s="12" t="str">
        <x:v>Kamis</x:v>
      </x:c>
      <x:c r="E1361" s="12" t="str">
        <x:v>06:45:00</x:v>
      </x:c>
      <x:c r="F1361" s="12" t="str">
        <x:v>All Shift Day</x:v>
      </x:c>
      <x:c r="G1361" s="12" t="str">
        <x:v>LVTH24R035</x:v>
      </x:c>
      <x:c r="H1361" s="12" t="str">
        <x:v>Light Vehicle</x:v>
      </x:c>
      <x:c r="I1361" s="12" t="str">
        <x:v>LIGHT VEHICLE TOYOTA HILUX</x:v>
      </x:c>
      <x:c r="J1361" s="16" t="n">
        <x:v>30</x:v>
      </x:c>
      <x:c r="K1361" s="16" t="n">
        <x:v>72198</x:v>
      </x:c>
      <x:c r="L1361" s="16" t="n">
        <x:v>72307</x:v>
      </x:c>
      <x:c r="M1361" s="16" t="n">
        <x:v>109</x:v>
      </x:c>
      <x:c r="N1361" s="16" t="n">
        <x:v>0.27522935779816515</x:v>
      </x:c>
      <x:c r="O1361" s="12" t="str">
        <x:v>FTRL44G005</x:v>
      </x:c>
      <x:c r="P1361" s="12" t="str">
        <x:v>LVTH24R035</x:v>
      </x:c>
      <x:c r="Q1361" s="12" t="str"/>
      <x:c r="R1361" s="12" t="str"/>
      <x:c r="S1361" s="12" t="str"/>
      <x:c r="T1361" s="12" t="str">
        <x:v>ABM</x:v>
      </x:c>
      <x:c r="U1361" s="12" t="str"/>
      <x:c r="V1361" s="12" t="str"/>
      <x:c r="W1361" s="12" t="str"/>
      <x:c r="X1361" s="12" t="str">
        <x:v>LVTH24</x:v>
      </x:c>
      <x:c r="Y1361" s="12" t="str">
        <x:v>FANGKI &amp; RAFIF</x:v>
      </x:c>
      <x:c r="Z1361" s="12" t="str"/>
      <x:c r="AA1361" s="32" t="n">
        <x:f>IFERROR(VLOOKUP(G1361,Master_Unit!$A$2:$N$78,7,FALSE),"")</x:f>
        <x:v>0.2</x:v>
      </x:c>
      <x:c r="AB1361" s="32" t="n">
        <x:f>IF(OR(N1361="",AA1361=""),"",N1361-AA1361)</x:f>
        <x:v>0.07522935779816514</x:v>
      </x:c>
      <x:c r="AC1361" s="20" t="n">
        <x:f>IF(OR(N1361="",AA1361="",AA1361=0),"",AB1361/AA1361)</x:f>
        <x:v>0.3761467889908257</x:v>
      </x:c>
      <x:c r="AD1361" t="str">
        <x:f>IF(AA1361="","NO STANDARD",IF(AC1361&lt;=Config_Status!$B$2,"EFFICIENT",IF(AC1361&lt;=Config_Status!$B$3,"NORMAL",IF(AC1361&lt;=Config_Status!$B$4,"WARNING","OVER CONSUMPTION"))))</x:f>
        <x:v>OVER CONSUMPTION</x:v>
      </x:c>
      <x:c r="AE1361" t="str">
        <x:f>IFERROR(VLOOKUP(G1361,Master_Unit!$A$2:$N$78,13,FALSE),"UNIT NOT FOUND")</x:f>
        <x:v>Matched</x:v>
      </x:c>
    </x:row>
    <x:row r="1362">
      <x:c r="A1362" s="12" t="str">
        <x:v>FU-20260625-01361</x:v>
      </x:c>
      <x:c r="B1362" s="12" t="n">
        <x:v>1491</x:v>
      </x:c>
      <x:c r="C1362" s="14" t="n">
        <x:v>46198</x:v>
      </x:c>
      <x:c r="D1362" s="12" t="str">
        <x:v>Kamis</x:v>
      </x:c>
      <x:c r="E1362" s="12" t="str">
        <x:v>06:48:00</x:v>
      </x:c>
      <x:c r="F1362" s="12" t="str">
        <x:v>All Shift Day</x:v>
      </x:c>
      <x:c r="G1362" s="12" t="str">
        <x:v>LVTH24R052</x:v>
      </x:c>
      <x:c r="H1362" s="12" t="str">
        <x:v>Light Vehicle</x:v>
      </x:c>
      <x:c r="I1362" s="12" t="str">
        <x:v>LIGHT VEHICLE TOYOTA HILUX</x:v>
      </x:c>
      <x:c r="J1362" s="16" t="n">
        <x:v>28</x:v>
      </x:c>
      <x:c r="K1362" s="16" t="n">
        <x:v>14033</x:v>
      </x:c>
      <x:c r="L1362" s="16" t="n">
        <x:v>14195</x:v>
      </x:c>
      <x:c r="M1362" s="16" t="n">
        <x:v>162</x:v>
      </x:c>
      <x:c r="N1362" s="16" t="n">
        <x:v>0.1728395061728395</x:v>
      </x:c>
      <x:c r="O1362" s="12" t="str">
        <x:v>FTRL44G005</x:v>
      </x:c>
      <x:c r="P1362" s="12" t="str">
        <x:v>LVTH24R052</x:v>
      </x:c>
      <x:c r="Q1362" s="12" t="str"/>
      <x:c r="R1362" s="12" t="str"/>
      <x:c r="S1362" s="12" t="str"/>
      <x:c r="T1362" s="12" t="str">
        <x:v>ABM</x:v>
      </x:c>
      <x:c r="U1362" s="12" t="str"/>
      <x:c r="V1362" s="12" t="str"/>
      <x:c r="W1362" s="12" t="str"/>
      <x:c r="X1362" s="12" t="str">
        <x:v>LVTH24</x:v>
      </x:c>
      <x:c r="Y1362" s="12" t="str">
        <x:v>FANGKI &amp; RAFIF</x:v>
      </x:c>
      <x:c r="Z1362" s="12" t="str"/>
      <x:c r="AA1362" s="32" t="n">
        <x:f>IFERROR(VLOOKUP(G1362,Master_Unit!$A$2:$N$78,7,FALSE),"")</x:f>
        <x:v>0.2</x:v>
      </x:c>
      <x:c r="AB1362" s="32" t="n">
        <x:f>IF(OR(N1362="",AA1362=""),"",N1362-AA1362)</x:f>
        <x:v>-0.027160493827160515</x:v>
      </x:c>
      <x:c r="AC1362" s="20" t="n">
        <x:f>IF(OR(N1362="",AA1362="",AA1362=0),"",AB1362/AA1362)</x:f>
        <x:v>-0.13580246913580257</x:v>
      </x:c>
      <x:c r="AD1362" t="str">
        <x:f>IF(AA1362="","NO STANDARD",IF(AC1362&lt;=Config_Status!$B$2,"EFFICIENT",IF(AC1362&lt;=Config_Status!$B$3,"NORMAL",IF(AC1362&lt;=Config_Status!$B$4,"WARNING","OVER CONSUMPTION"))))</x:f>
        <x:v>EFFICIENT</x:v>
      </x:c>
      <x:c r="AE1362" t="str">
        <x:f>IFERROR(VLOOKUP(G1362,Master_Unit!$A$2:$N$78,13,FALSE),"UNIT NOT FOUND")</x:f>
        <x:v>Matched</x:v>
      </x:c>
    </x:row>
    <x:row r="1363">
      <x:c r="A1363" s="12" t="str">
        <x:v>FU-20260625-01362</x:v>
      </x:c>
      <x:c r="B1363" s="12" t="n">
        <x:v>1492</x:v>
      </x:c>
      <x:c r="C1363" s="14" t="n">
        <x:v>46198</x:v>
      </x:c>
      <x:c r="D1363" s="12" t="str">
        <x:v>Kamis</x:v>
      </x:c>
      <x:c r="E1363" s="12" t="str">
        <x:v>06:51:00</x:v>
      </x:c>
      <x:c r="F1363" s="12" t="str">
        <x:v>All Shift Day</x:v>
      </x:c>
      <x:c r="G1363" s="12" t="str">
        <x:v>LVMP25R005</x:v>
      </x:c>
      <x:c r="H1363" s="12" t="str">
        <x:v>Light Vehicle</x:v>
      </x:c>
      <x:c r="I1363" s="12" t="str">
        <x:v>LIGHT VEHICLE MITSUBISHI PAJERO</x:v>
      </x:c>
      <x:c r="J1363" s="16" t="n">
        <x:v>30</x:v>
      </x:c>
      <x:c r="K1363" s="16" t="n">
        <x:v>61430</x:v>
      </x:c>
      <x:c r="L1363" s="16" t="n">
        <x:v>61774</x:v>
      </x:c>
      <x:c r="M1363" s="16" t="n">
        <x:v>344</x:v>
      </x:c>
      <x:c r="N1363" s="16" t="n">
        <x:v>0.0872093023255814</x:v>
      </x:c>
      <x:c r="O1363" s="12" t="str">
        <x:v>FTRL44G005</x:v>
      </x:c>
      <x:c r="P1363" s="12" t="str">
        <x:v>LVMP25R005</x:v>
      </x:c>
      <x:c r="Q1363" s="12" t="str"/>
      <x:c r="R1363" s="12" t="str"/>
      <x:c r="S1363" s="12" t="str"/>
      <x:c r="T1363" s="12" t="str">
        <x:v>ABM</x:v>
      </x:c>
      <x:c r="U1363" s="12" t="str"/>
      <x:c r="V1363" s="12" t="str"/>
      <x:c r="W1363" s="12" t="str"/>
      <x:c r="X1363" s="12" t="str">
        <x:v>LVMP25</x:v>
      </x:c>
      <x:c r="Y1363" s="12" t="str">
        <x:v>FANGKI &amp; RAFIF</x:v>
      </x:c>
      <x:c r="Z1363" s="12" t="str"/>
      <x:c r="AA1363" s="32" t="str">
        <x:f>IFERROR(VLOOKUP(G1363,Master_Unit!$A$2:$N$78,7,FALSE),"")</x:f>
      </x:c>
      <x:c r="AB1363" s="32" t="str">
        <x:f>IF(OR(N1363="",AA1363=""),"",N1363-AA1363)</x:f>
      </x:c>
      <x:c r="AC1363" s="20" t="str">
        <x:f>IF(OR(N1363="",AA1363="",AA1363=0),"",AB1363/AA1363)</x:f>
      </x:c>
      <x:c r="AD1363" t="str">
        <x:f>IF(AA1363="","NO STANDARD",IF(AC1363&lt;=Config_Status!$B$2,"EFFICIENT",IF(AC1363&lt;=Config_Status!$B$3,"NORMAL",IF(AC1363&lt;=Config_Status!$B$4,"WARNING","OVER CONSUMPTION"))))</x:f>
        <x:v>NO STANDARD</x:v>
      </x:c>
      <x:c r="AE1363" t="str">
        <x:f>IFERROR(VLOOKUP(G1363,Master_Unit!$A$2:$N$78,13,FALSE),"UNIT NOT FOUND")</x:f>
        <x:v>No Standard</x:v>
      </x:c>
    </x:row>
    <x:row r="1364">
      <x:c r="A1364" s="12" t="str">
        <x:v>FU-20260625-01363</x:v>
      </x:c>
      <x:c r="B1364" s="12" t="n">
        <x:v>1493</x:v>
      </x:c>
      <x:c r="C1364" s="14" t="n">
        <x:v>46198</x:v>
      </x:c>
      <x:c r="D1364" s="12" t="str">
        <x:v>Kamis</x:v>
      </x:c>
      <x:c r="E1364" s="12" t="str">
        <x:v>06:55:00</x:v>
      </x:c>
      <x:c r="F1364" s="12" t="str">
        <x:v>All Shift Day</x:v>
      </x:c>
      <x:c r="G1364" s="12" t="str">
        <x:v>LVTH24R034</x:v>
      </x:c>
      <x:c r="H1364" s="12" t="str">
        <x:v>Light Vehicle</x:v>
      </x:c>
      <x:c r="I1364" s="12" t="str">
        <x:v>LIGHT VEHICLE TOYOTA HILUX</x:v>
      </x:c>
      <x:c r="J1364" s="16" t="n">
        <x:v>12</x:v>
      </x:c>
      <x:c r="K1364" s="16" t="n">
        <x:v>50333</x:v>
      </x:c>
      <x:c r="L1364" s="16" t="n">
        <x:v>50393</x:v>
      </x:c>
      <x:c r="M1364" s="16" t="n">
        <x:v>60</x:v>
      </x:c>
      <x:c r="N1364" s="16" t="n">
        <x:v>0.2</x:v>
      </x:c>
      <x:c r="O1364" s="12" t="str">
        <x:v>FTRL44G005</x:v>
      </x:c>
      <x:c r="P1364" s="12" t="str">
        <x:v>LVTH24R034</x:v>
      </x:c>
      <x:c r="Q1364" s="12" t="str"/>
      <x:c r="R1364" s="12" t="str"/>
      <x:c r="S1364" s="12" t="str"/>
      <x:c r="T1364" s="12" t="str">
        <x:v>ABM</x:v>
      </x:c>
      <x:c r="U1364" s="12" t="str"/>
      <x:c r="V1364" s="12" t="str"/>
      <x:c r="W1364" s="12" t="str"/>
      <x:c r="X1364" s="12" t="str">
        <x:v>LVTH24</x:v>
      </x:c>
      <x:c r="Y1364" s="12" t="str">
        <x:v>FANGKI &amp; RAFIF</x:v>
      </x:c>
      <x:c r="Z1364" s="12" t="str"/>
      <x:c r="AA1364" s="32" t="n">
        <x:f>IFERROR(VLOOKUP(G1364,Master_Unit!$A$2:$N$78,7,FALSE),"")</x:f>
        <x:v>0.2</x:v>
      </x:c>
      <x:c r="AB1364" s="32" t="n">
        <x:f>IF(OR(N1364="",AA1364=""),"",N1364-AA1364)</x:f>
        <x:v>0</x:v>
      </x:c>
      <x:c r="AC1364" s="20" t="n">
        <x:f>IF(OR(N1364="",AA1364="",AA1364=0),"",AB1364/AA1364)</x:f>
        <x:v>0</x:v>
      </x:c>
      <x:c r="AD1364" t="str">
        <x:f>IF(AA1364="","NO STANDARD",IF(AC1364&lt;=Config_Status!$B$2,"EFFICIENT",IF(AC1364&lt;=Config_Status!$B$3,"NORMAL",IF(AC1364&lt;=Config_Status!$B$4,"WARNING","OVER CONSUMPTION"))))</x:f>
        <x:v>NORMAL</x:v>
      </x:c>
      <x:c r="AE1364" t="str">
        <x:f>IFERROR(VLOOKUP(G1364,Master_Unit!$A$2:$N$78,13,FALSE),"UNIT NOT FOUND")</x:f>
        <x:v>Matched</x:v>
      </x:c>
    </x:row>
    <x:row r="1365">
      <x:c r="A1365" s="12" t="str">
        <x:v>FU-20260625-01364</x:v>
      </x:c>
      <x:c r="B1365" s="12" t="n">
        <x:v>1494</x:v>
      </x:c>
      <x:c r="C1365" s="14" t="n">
        <x:v>46198</x:v>
      </x:c>
      <x:c r="D1365" s="12" t="str">
        <x:v>Kamis</x:v>
      </x:c>
      <x:c r="E1365" s="12" t="str">
        <x:v>07:01:00</x:v>
      </x:c>
      <x:c r="F1365" s="12" t="str">
        <x:v>All Shift Day</x:v>
      </x:c>
      <x:c r="G1365" s="12" t="str">
        <x:v>LVTH24R033</x:v>
      </x:c>
      <x:c r="H1365" s="12" t="str">
        <x:v>Light Vehicle</x:v>
      </x:c>
      <x:c r="I1365" s="12" t="str">
        <x:v>LIGHT VEHICLE TOYOTA HILUX</x:v>
      </x:c>
      <x:c r="J1365" s="16" t="n">
        <x:v>30</x:v>
      </x:c>
      <x:c r="K1365" s="16" t="n">
        <x:v>141181</x:v>
      </x:c>
      <x:c r="L1365" s="16" t="n">
        <x:v>141329</x:v>
      </x:c>
      <x:c r="M1365" s="16" t="n">
        <x:v>148</x:v>
      </x:c>
      <x:c r="N1365" s="16" t="n">
        <x:v>0.20270270270270271</x:v>
      </x:c>
      <x:c r="O1365" s="12" t="str">
        <x:v>FTRL44G005</x:v>
      </x:c>
      <x:c r="P1365" s="12" t="str">
        <x:v>LVTH24R033</x:v>
      </x:c>
      <x:c r="Q1365" s="12" t="str"/>
      <x:c r="R1365" s="12" t="str"/>
      <x:c r="S1365" s="12" t="str"/>
      <x:c r="T1365" s="12" t="str">
        <x:v>ABM</x:v>
      </x:c>
      <x:c r="U1365" s="12" t="str"/>
      <x:c r="V1365" s="12" t="str"/>
      <x:c r="W1365" s="12" t="str"/>
      <x:c r="X1365" s="12" t="str">
        <x:v>LVTH24</x:v>
      </x:c>
      <x:c r="Y1365" s="12" t="str">
        <x:v>FANGKI &amp; RAFIF</x:v>
      </x:c>
      <x:c r="Z1365" s="12" t="str"/>
      <x:c r="AA1365" s="32" t="n">
        <x:f>IFERROR(VLOOKUP(G1365,Master_Unit!$A$2:$N$78,7,FALSE),"")</x:f>
        <x:v>0.2</x:v>
      </x:c>
      <x:c r="AB1365" s="32" t="n">
        <x:f>IF(OR(N1365="",AA1365=""),"",N1365-AA1365)</x:f>
        <x:v>0.002702702702702703</x:v>
      </x:c>
      <x:c r="AC1365" s="20" t="n">
        <x:f>IF(OR(N1365="",AA1365="",AA1365=0),"",AB1365/AA1365)</x:f>
        <x:v>0.013513513513513514</x:v>
      </x:c>
      <x:c r="AD1365" t="str">
        <x:f>IF(AA1365="","NO STANDARD",IF(AC1365&lt;=Config_Status!$B$2,"EFFICIENT",IF(AC1365&lt;=Config_Status!$B$3,"NORMAL",IF(AC1365&lt;=Config_Status!$B$4,"WARNING","OVER CONSUMPTION"))))</x:f>
        <x:v>NORMAL</x:v>
      </x:c>
      <x:c r="AE1365" t="str">
        <x:f>IFERROR(VLOOKUP(G1365,Master_Unit!$A$2:$N$78,13,FALSE),"UNIT NOT FOUND")</x:f>
        <x:v>Matched</x:v>
      </x:c>
    </x:row>
    <x:row r="1366">
      <x:c r="A1366" s="12" t="str">
        <x:v>FU-20260625-01365</x:v>
      </x:c>
      <x:c r="B1366" s="12" t="n">
        <x:v>1495</x:v>
      </x:c>
      <x:c r="C1366" s="14" t="n">
        <x:v>46198</x:v>
      </x:c>
      <x:c r="D1366" s="12" t="str">
        <x:v>Kamis</x:v>
      </x:c>
      <x:c r="E1366" s="12" t="str">
        <x:v>07:10:00</x:v>
      </x:c>
      <x:c r="F1366" s="12" t="str">
        <x:v>All Shift Day</x:v>
      </x:c>
      <x:c r="G1366" s="12" t="str">
        <x:v>ACKS50G001</x:v>
      </x:c>
      <x:c r="H1366" s="12" t="str">
        <x:v>Air Compressor</x:v>
      </x:c>
      <x:c r="I1366" s="12" t="str">
        <x:v>AIR COMPRESSOR MOBILAR MOBILAIR M50</x:v>
      </x:c>
      <x:c r="J1366" s="16" t="n">
        <x:v>37</x:v>
      </x:c>
      <x:c r="K1366" s="16" t="n">
        <x:v>1203.52</x:v>
      </x:c>
      <x:c r="L1366" s="16" t="n">
        <x:v>1210.4</x:v>
      </x:c>
      <x:c r="M1366" s="16" t="n">
        <x:v>6.880000000000109</x:v>
      </x:c>
      <x:c r="N1366" s="16" t="n">
        <x:v>5.377906976744101</x:v>
      </x:c>
      <x:c r="O1366" s="12" t="str">
        <x:v>FTRL44G005</x:v>
      </x:c>
      <x:c r="P1366" s="12" t="str">
        <x:v>ACKS50G001</x:v>
      </x:c>
      <x:c r="Q1366" s="12" t="str"/>
      <x:c r="R1366" s="12" t="str"/>
      <x:c r="S1366" s="12" t="str"/>
      <x:c r="T1366" s="12" t="str">
        <x:v>ABM</x:v>
      </x:c>
      <x:c r="U1366" s="12" t="str"/>
      <x:c r="V1366" s="12" t="str"/>
      <x:c r="W1366" s="12" t="str"/>
      <x:c r="X1366" s="12" t="str">
        <x:v>ACKS50</x:v>
      </x:c>
      <x:c r="Y1366" s="12" t="str">
        <x:v>FANGKI &amp; RAFIF</x:v>
      </x:c>
      <x:c r="Z1366" s="12" t="str"/>
      <x:c r="AA1366" s="32" t="n">
        <x:f>IFERROR(VLOOKUP(G1366,Master_Unit!$A$2:$N$78,7,FALSE),"")</x:f>
        <x:v>8</x:v>
      </x:c>
      <x:c r="AB1366" s="32" t="n">
        <x:f>IF(OR(N1366="",AA1366=""),"",N1366-AA1366)</x:f>
        <x:v>-2.622093023255899</x:v>
      </x:c>
      <x:c r="AC1366" s="20" t="n">
        <x:f>IF(OR(N1366="",AA1366="",AA1366=0),"",AB1366/AA1366)</x:f>
        <x:v>-0.3277616279069874</x:v>
      </x:c>
      <x:c r="AD1366" t="str">
        <x:f>IF(AA1366="","NO STANDARD",IF(AC1366&lt;=Config_Status!$B$2,"EFFICIENT",IF(AC1366&lt;=Config_Status!$B$3,"NORMAL",IF(AC1366&lt;=Config_Status!$B$4,"WARNING","OVER CONSUMPTION"))))</x:f>
        <x:v>EFFICIENT</x:v>
      </x:c>
      <x:c r="AE1366" t="str">
        <x:f>IFERROR(VLOOKUP(G1366,Master_Unit!$A$2:$N$78,13,FALSE),"UNIT NOT FOUND")</x:f>
        <x:v>Matched</x:v>
      </x:c>
    </x:row>
    <x:row r="1367">
      <x:c r="A1367" s="12" t="str">
        <x:v>FU-20260625-01366</x:v>
      </x:c>
      <x:c r="B1367" s="12" t="n">
        <x:v>1496</x:v>
      </x:c>
      <x:c r="C1367" s="14" t="n">
        <x:v>46198</x:v>
      </x:c>
      <x:c r="D1367" s="12" t="str">
        <x:v>Kamis</x:v>
      </x:c>
      <x:c r="E1367" s="12" t="str">
        <x:v>07:15:00</x:v>
      </x:c>
      <x:c r="F1367" s="12" t="str">
        <x:v>All Shift Day</x:v>
      </x:c>
      <x:c r="G1367" s="12" t="str">
        <x:v>GSHT40G002</x:v>
      </x:c>
      <x:c r="H1367" s="12" t="str">
        <x:v>Genset</x:v>
      </x:c>
      <x:c r="I1367" s="12" t="str">
        <x:v>GENSET HARTECH HT-400-V</x:v>
      </x:c>
      <x:c r="J1367" s="16" t="n">
        <x:v>400</x:v>
      </x:c>
      <x:c r="K1367" s="16" t="n">
        <x:v>14842.46</x:v>
      </x:c>
      <x:c r="L1367" s="16" t="n">
        <x:v>14866.47</x:v>
      </x:c>
      <x:c r="M1367" s="16" t="n">
        <x:v>24.01000000000022</x:v>
      </x:c>
      <x:c r="N1367" s="16" t="n">
        <x:v>16.65972511453546</x:v>
      </x:c>
      <x:c r="O1367" s="12" t="str">
        <x:v>FTRL44G005</x:v>
      </x:c>
      <x:c r="P1367" s="12" t="str">
        <x:v>GSHT40G002</x:v>
      </x:c>
      <x:c r="Q1367" s="12" t="str"/>
      <x:c r="R1367" s="12" t="str"/>
      <x:c r="S1367" s="12" t="str"/>
      <x:c r="T1367" s="12" t="str">
        <x:v>ABM</x:v>
      </x:c>
      <x:c r="U1367" s="12" t="str"/>
      <x:c r="V1367" s="12" t="str"/>
      <x:c r="W1367" s="12" t="str"/>
      <x:c r="X1367" s="12" t="str">
        <x:v>GSHT40</x:v>
      </x:c>
      <x:c r="Y1367" s="12" t="str">
        <x:v>FANGKI &amp; RAFIF</x:v>
      </x:c>
      <x:c r="Z1367" s="12" t="str"/>
      <x:c r="AA1367" s="32" t="n">
        <x:f>IFERROR(VLOOKUP(G1367,Master_Unit!$A$2:$N$78,7,FALSE),"")</x:f>
        <x:v>25</x:v>
      </x:c>
      <x:c r="AB1367" s="32" t="n">
        <x:f>IF(OR(N1367="",AA1367=""),"",N1367-AA1367)</x:f>
        <x:v>-8.340274885464542</x:v>
      </x:c>
      <x:c r="AC1367" s="20" t="n">
        <x:f>IF(OR(N1367="",AA1367="",AA1367=0),"",AB1367/AA1367)</x:f>
        <x:v>-0.3336109954185817</x:v>
      </x:c>
      <x:c r="AD1367" t="str">
        <x:f>IF(AA1367="","NO STANDARD",IF(AC1367&lt;=Config_Status!$B$2,"EFFICIENT",IF(AC1367&lt;=Config_Status!$B$3,"NORMAL",IF(AC1367&lt;=Config_Status!$B$4,"WARNING","OVER CONSUMPTION"))))</x:f>
        <x:v>EFFICIENT</x:v>
      </x:c>
      <x:c r="AE1367" t="str">
        <x:f>IFERROR(VLOOKUP(G1367,Master_Unit!$A$2:$N$78,13,FALSE),"UNIT NOT FOUND")</x:f>
        <x:v>Matched</x:v>
      </x:c>
    </x:row>
    <x:row r="1368">
      <x:c r="A1368" s="12" t="str">
        <x:v>FU-20260625-01367</x:v>
      </x:c>
      <x:c r="B1368" s="12" t="n">
        <x:v>1497</x:v>
      </x:c>
      <x:c r="C1368" s="14" t="n">
        <x:v>46198</x:v>
      </x:c>
      <x:c r="D1368" s="12" t="str">
        <x:v>Kamis</x:v>
      </x:c>
      <x:c r="E1368" s="12" t="str">
        <x:v>07:19:00</x:v>
      </x:c>
      <x:c r="F1368" s="12" t="str">
        <x:v>All Shift Day</x:v>
      </x:c>
      <x:c r="G1368" s="12" t="str">
        <x:v>FTRL44G005</x:v>
      </x:c>
      <x:c r="H1368" s="12" t="str">
        <x:v>Fuel Truck</x:v>
      </x:c>
      <x:c r="I1368" s="12" t="str">
        <x:v>FUEL TRUCK RENAULT KRANGE440-P6X4 A/T</x:v>
      </x:c>
      <x:c r="J1368" s="16" t="n">
        <x:v>80</x:v>
      </x:c>
      <x:c r="K1368" s="16" t="n">
        <x:v>3733</x:v>
      </x:c>
      <x:c r="L1368" s="16" t="n">
        <x:v>3738</x:v>
      </x:c>
      <x:c r="M1368" s="16" t="n">
        <x:v>5</x:v>
      </x:c>
      <x:c r="N1368" s="16" t="n">
        <x:v>16</x:v>
      </x:c>
      <x:c r="O1368" s="12" t="str">
        <x:v>FTRL44G005</x:v>
      </x:c>
      <x:c r="P1368" s="12" t="str">
        <x:v>FTRL44G005</x:v>
      </x:c>
      <x:c r="Q1368" s="12" t="str"/>
      <x:c r="R1368" s="12" t="str"/>
      <x:c r="S1368" s="12" t="str"/>
      <x:c r="T1368" s="12" t="str">
        <x:v>ABM</x:v>
      </x:c>
      <x:c r="U1368" s="12" t="str"/>
      <x:c r="V1368" s="12" t="str"/>
      <x:c r="W1368" s="12" t="str"/>
      <x:c r="X1368" s="12" t="str">
        <x:v>FTRL44</x:v>
      </x:c>
      <x:c r="Y1368" s="12" t="str">
        <x:v>FANGKI &amp; RAFIF</x:v>
      </x:c>
      <x:c r="Z1368" s="12" t="str"/>
      <x:c r="AA1368" s="32" t="n">
        <x:f>IFERROR(VLOOKUP(G1368,Master_Unit!$A$2:$N$78,7,FALSE),"")</x:f>
        <x:v>13</x:v>
      </x:c>
      <x:c r="AB1368" s="32" t="n">
        <x:f>IF(OR(N1368="",AA1368=""),"",N1368-AA1368)</x:f>
        <x:v>3</x:v>
      </x:c>
      <x:c r="AC1368" s="20" t="n">
        <x:f>IF(OR(N1368="",AA1368="",AA1368=0),"",AB1368/AA1368)</x:f>
        <x:v>0.23076923076923078</x:v>
      </x:c>
      <x:c r="AD1368" t="str">
        <x:f>IF(AA1368="","NO STANDARD",IF(AC1368&lt;=Config_Status!$B$2,"EFFICIENT",IF(AC1368&lt;=Config_Status!$B$3,"NORMAL",IF(AC1368&lt;=Config_Status!$B$4,"WARNING","OVER CONSUMPTION"))))</x:f>
        <x:v>OVER CONSUMPTION</x:v>
      </x:c>
      <x:c r="AE1368" t="str">
        <x:f>IFERROR(VLOOKUP(G1368,Master_Unit!$A$2:$N$78,13,FALSE),"UNIT NOT FOUND")</x:f>
        <x:v>Matched</x:v>
      </x:c>
    </x:row>
    <x:row r="1369">
      <x:c r="A1369" s="12" t="str">
        <x:v>FU-20260625-01368</x:v>
      </x:c>
      <x:c r="B1369" s="12" t="n">
        <x:v>1498</x:v>
      </x:c>
      <x:c r="C1369" s="14" t="n">
        <x:v>46198</x:v>
      </x:c>
      <x:c r="D1369" s="12" t="str">
        <x:v>Kamis</x:v>
      </x:c>
      <x:c r="E1369" s="12" t="str">
        <x:v>07:25:00</x:v>
      </x:c>
      <x:c r="F1369" s="12" t="str">
        <x:v>All Shift Day</x:v>
      </x:c>
      <x:c r="G1369" s="12" t="str">
        <x:v>LVTH24R053</x:v>
      </x:c>
      <x:c r="H1369" s="12" t="str">
        <x:v>Light Vehicle</x:v>
      </x:c>
      <x:c r="I1369" s="12" t="str">
        <x:v>LIGHT VEHICLE TOYOTA HILUX</x:v>
      </x:c>
      <x:c r="J1369" s="16" t="n">
        <x:v>54</x:v>
      </x:c>
      <x:c r="K1369" s="16" t="n">
        <x:v>26071</x:v>
      </x:c>
      <x:c r="L1369" s="16" t="n">
        <x:v>26514</x:v>
      </x:c>
      <x:c r="M1369" s="16" t="n">
        <x:v>443</x:v>
      </x:c>
      <x:c r="N1369" s="16" t="n">
        <x:v>0.12189616252821671</x:v>
      </x:c>
      <x:c r="O1369" s="12" t="str">
        <x:v>FTRL44G005</x:v>
      </x:c>
      <x:c r="P1369" s="12" t="str">
        <x:v>LVTH24R053</x:v>
      </x:c>
      <x:c r="Q1369" s="12" t="str"/>
      <x:c r="R1369" s="12" t="str"/>
      <x:c r="S1369" s="12" t="str"/>
      <x:c r="T1369" s="12" t="str">
        <x:v>ABM</x:v>
      </x:c>
      <x:c r="U1369" s="12" t="str"/>
      <x:c r="V1369" s="12" t="str"/>
      <x:c r="W1369" s="12" t="str"/>
      <x:c r="X1369" s="12" t="str">
        <x:v>LVTH24</x:v>
      </x:c>
      <x:c r="Y1369" s="12" t="str">
        <x:v>FANGKI &amp; RAFIF</x:v>
      </x:c>
      <x:c r="Z1369" s="12" t="str"/>
      <x:c r="AA1369" s="32" t="n">
        <x:f>IFERROR(VLOOKUP(G1369,Master_Unit!$A$2:$N$78,7,FALSE),"")</x:f>
        <x:v>0.2</x:v>
      </x:c>
      <x:c r="AB1369" s="32" t="n">
        <x:f>IF(OR(N1369="",AA1369=""),"",N1369-AA1369)</x:f>
        <x:v>-0.0781038374717833</x:v>
      </x:c>
      <x:c r="AC1369" s="20" t="n">
        <x:f>IF(OR(N1369="",AA1369="",AA1369=0),"",AB1369/AA1369)</x:f>
        <x:v>-0.3905191873589165</x:v>
      </x:c>
      <x:c r="AD1369" t="str">
        <x:f>IF(AA1369="","NO STANDARD",IF(AC1369&lt;=Config_Status!$B$2,"EFFICIENT",IF(AC1369&lt;=Config_Status!$B$3,"NORMAL",IF(AC1369&lt;=Config_Status!$B$4,"WARNING","OVER CONSUMPTION"))))</x:f>
        <x:v>EFFICIENT</x:v>
      </x:c>
      <x:c r="AE1369" t="str">
        <x:f>IFERROR(VLOOKUP(G1369,Master_Unit!$A$2:$N$78,13,FALSE),"UNIT NOT FOUND")</x:f>
        <x:v>Matched</x:v>
      </x:c>
    </x:row>
    <x:row r="1370">
      <x:c r="A1370" s="12" t="str">
        <x:v>FU-20260625-01369</x:v>
      </x:c>
      <x:c r="B1370" s="12" t="n">
        <x:v>1499</x:v>
      </x:c>
      <x:c r="C1370" s="14" t="n">
        <x:v>46198</x:v>
      </x:c>
      <x:c r="D1370" s="12" t="str">
        <x:v>Kamis</x:v>
      </x:c>
      <x:c r="E1370" s="12" t="str">
        <x:v>07:43:00</x:v>
      </x:c>
      <x:c r="F1370" s="12" t="str">
        <x:v>All Shift Day</x:v>
      </x:c>
      <x:c r="G1370" s="12" t="str">
        <x:v>WTRL44G006</x:v>
      </x:c>
      <x:c r="H1370" s="12" t="str">
        <x:v>Water Truck</x:v>
      </x:c>
      <x:c r="I1370" s="12" t="str">
        <x:v>WATER TRUCK RENAULT KRANGE440-P6X4 A/T</x:v>
      </x:c>
      <x:c r="J1370" s="16" t="n">
        <x:v>81</x:v>
      </x:c>
      <x:c r="K1370" s="16" t="n">
        <x:v>2086</x:v>
      </x:c>
      <x:c r="L1370" s="16" t="n">
        <x:v>2094</x:v>
      </x:c>
      <x:c r="M1370" s="16" t="n">
        <x:v>8</x:v>
      </x:c>
      <x:c r="N1370" s="16" t="n">
        <x:v>10.125</x:v>
      </x:c>
      <x:c r="O1370" s="12" t="str">
        <x:v>FTRL44G005</x:v>
      </x:c>
      <x:c r="P1370" s="12" t="str">
        <x:v>WTRL44G006</x:v>
      </x:c>
      <x:c r="Q1370" s="12" t="str"/>
      <x:c r="R1370" s="12" t="str"/>
      <x:c r="S1370" s="12" t="str"/>
      <x:c r="T1370" s="12" t="str">
        <x:v>ABM</x:v>
      </x:c>
      <x:c r="U1370" s="12" t="str"/>
      <x:c r="V1370" s="12" t="str"/>
      <x:c r="W1370" s="12" t="str"/>
      <x:c r="X1370" s="12" t="str">
        <x:v>WTRL44</x:v>
      </x:c>
      <x:c r="Y1370" s="12" t="str">
        <x:v>FANGKI &amp; RAFIF</x:v>
      </x:c>
      <x:c r="Z1370" s="12" t="str"/>
      <x:c r="AA1370" s="32" t="n">
        <x:f>IFERROR(VLOOKUP(G1370,Master_Unit!$A$2:$N$78,7,FALSE),"")</x:f>
        <x:v>20</x:v>
      </x:c>
      <x:c r="AB1370" s="32" t="n">
        <x:f>IF(OR(N1370="",AA1370=""),"",N1370-AA1370)</x:f>
        <x:v>-9.875</x:v>
      </x:c>
      <x:c r="AC1370" s="20" t="n">
        <x:f>IF(OR(N1370="",AA1370="",AA1370=0),"",AB1370/AA1370)</x:f>
        <x:v>-0.49375</x:v>
      </x:c>
      <x:c r="AD1370" t="str">
        <x:f>IF(AA1370="","NO STANDARD",IF(AC1370&lt;=Config_Status!$B$2,"EFFICIENT",IF(AC1370&lt;=Config_Status!$B$3,"NORMAL",IF(AC1370&lt;=Config_Status!$B$4,"WARNING","OVER CONSUMPTION"))))</x:f>
        <x:v>EFFICIENT</x:v>
      </x:c>
      <x:c r="AE1370" t="str">
        <x:f>IFERROR(VLOOKUP(G1370,Master_Unit!$A$2:$N$78,13,FALSE),"UNIT NOT FOUND")</x:f>
        <x:v>Matched</x:v>
      </x:c>
    </x:row>
    <x:row r="1371">
      <x:c r="A1371" s="12" t="str">
        <x:v>FU-20260626-01370</x:v>
      </x:c>
      <x:c r="B1371" s="12" t="n">
        <x:v>1500</x:v>
      </x:c>
      <x:c r="C1371" s="14" t="n">
        <x:v>46199</x:v>
      </x:c>
      <x:c r="D1371" s="12" t="str">
        <x:v>Jum'at</x:v>
      </x:c>
      <x:c r="E1371" s="12" t="str">
        <x:v>07:14:00</x:v>
      </x:c>
      <x:c r="F1371" s="12" t="str">
        <x:v>All Shift Day</x:v>
      </x:c>
      <x:c r="G1371" s="12" t="str">
        <x:v>LVMP25R005</x:v>
      </x:c>
      <x:c r="H1371" s="12" t="str">
        <x:v>Light Vehicle</x:v>
      </x:c>
      <x:c r="I1371" s="12" t="str">
        <x:v>LIGHT VEHICLE MITSUBISHI PAJERO</x:v>
      </x:c>
      <x:c r="J1371" s="16" t="n">
        <x:v>34</x:v>
      </x:c>
      <x:c r="K1371" s="16" t="n">
        <x:v>61774</x:v>
      </x:c>
      <x:c r="L1371" s="16" t="n">
        <x:v>61959</x:v>
      </x:c>
      <x:c r="M1371" s="16" t="n">
        <x:v>185</x:v>
      </x:c>
      <x:c r="N1371" s="16" t="n">
        <x:v>0.1837837837837838</x:v>
      </x:c>
      <x:c r="O1371" s="12" t="str">
        <x:v>FTRL44G005</x:v>
      </x:c>
      <x:c r="P1371" s="12" t="str">
        <x:v>LVMP25R005</x:v>
      </x:c>
      <x:c r="Q1371" s="12" t="str"/>
      <x:c r="R1371" s="12" t="str"/>
      <x:c r="S1371" s="12" t="str"/>
      <x:c r="T1371" s="12" t="str">
        <x:v>ABM</x:v>
      </x:c>
      <x:c r="U1371" s="12" t="str"/>
      <x:c r="V1371" s="12" t="str"/>
      <x:c r="W1371" s="12" t="str"/>
      <x:c r="X1371" s="12" t="str">
        <x:v>LVMP25</x:v>
      </x:c>
      <x:c r="Y1371" s="12" t="str">
        <x:v>FANGKI &amp; RAFIF</x:v>
      </x:c>
      <x:c r="Z1371" s="12" t="str"/>
      <x:c r="AA1371" s="32" t="str">
        <x:f>IFERROR(VLOOKUP(G1371,Master_Unit!$A$2:$N$78,7,FALSE),"")</x:f>
      </x:c>
      <x:c r="AB1371" s="32" t="str">
        <x:f>IF(OR(N1371="",AA1371=""),"",N1371-AA1371)</x:f>
      </x:c>
      <x:c r="AC1371" s="20" t="str">
        <x:f>IF(OR(N1371="",AA1371="",AA1371=0),"",AB1371/AA1371)</x:f>
      </x:c>
      <x:c r="AD1371" t="str">
        <x:f>IF(AA1371="","NO STANDARD",IF(AC1371&lt;=Config_Status!$B$2,"EFFICIENT",IF(AC1371&lt;=Config_Status!$B$3,"NORMAL",IF(AC1371&lt;=Config_Status!$B$4,"WARNING","OVER CONSUMPTION"))))</x:f>
        <x:v>NO STANDARD</x:v>
      </x:c>
      <x:c r="AE1371" t="str">
        <x:f>IFERROR(VLOOKUP(G1371,Master_Unit!$A$2:$N$78,13,FALSE),"UNIT NOT FOUND")</x:f>
        <x:v>No Standard</x:v>
      </x:c>
    </x:row>
    <x:row r="1372">
      <x:c r="A1372" s="12" t="str">
        <x:v>FU-20260626-01371</x:v>
      </x:c>
      <x:c r="B1372" s="12" t="n">
        <x:v>1501</x:v>
      </x:c>
      <x:c r="C1372" s="14" t="n">
        <x:v>46199</x:v>
      </x:c>
      <x:c r="D1372" s="12" t="str">
        <x:v>Jum'at</x:v>
      </x:c>
      <x:c r="E1372" s="12" t="str">
        <x:v>07:17:00</x:v>
      </x:c>
      <x:c r="F1372" s="12" t="str">
        <x:v>All Shift Day</x:v>
      </x:c>
      <x:c r="G1372" s="12" t="str">
        <x:v>LVTH24R053</x:v>
      </x:c>
      <x:c r="H1372" s="12" t="str">
        <x:v>Light Vehicle</x:v>
      </x:c>
      <x:c r="I1372" s="12" t="str">
        <x:v>LIGHT VEHICLE TOYOTA HILUX</x:v>
      </x:c>
      <x:c r="J1372" s="16" t="n">
        <x:v>23</x:v>
      </x:c>
      <x:c r="K1372" s="16" t="n">
        <x:v>26514</x:v>
      </x:c>
      <x:c r="L1372" s="16" t="n">
        <x:v>26693</x:v>
      </x:c>
      <x:c r="M1372" s="16" t="n">
        <x:v>179</x:v>
      </x:c>
      <x:c r="N1372" s="16" t="n">
        <x:v>0.12849162011173185</x:v>
      </x:c>
      <x:c r="O1372" s="12" t="str">
        <x:v>FTRL44G005</x:v>
      </x:c>
      <x:c r="P1372" s="12" t="str">
        <x:v>LVTH24R053</x:v>
      </x:c>
      <x:c r="Q1372" s="12" t="str"/>
      <x:c r="R1372" s="12" t="str"/>
      <x:c r="S1372" s="12" t="str"/>
      <x:c r="T1372" s="12" t="str">
        <x:v>ABM</x:v>
      </x:c>
      <x:c r="U1372" s="12" t="str"/>
      <x:c r="V1372" s="12" t="str"/>
      <x:c r="W1372" s="12" t="str"/>
      <x:c r="X1372" s="12" t="str">
        <x:v>LVTH24</x:v>
      </x:c>
      <x:c r="Y1372" s="12" t="str">
        <x:v>FANGKI &amp; RAFIF</x:v>
      </x:c>
      <x:c r="Z1372" s="12" t="str"/>
      <x:c r="AA1372" s="32" t="n">
        <x:f>IFERROR(VLOOKUP(G1372,Master_Unit!$A$2:$N$78,7,FALSE),"")</x:f>
        <x:v>0.2</x:v>
      </x:c>
      <x:c r="AB1372" s="32" t="n">
        <x:f>IF(OR(N1372="",AA1372=""),"",N1372-AA1372)</x:f>
        <x:v>-0.07150837988826816</x:v>
      </x:c>
      <x:c r="AC1372" s="20" t="n">
        <x:f>IF(OR(N1372="",AA1372="",AA1372=0),"",AB1372/AA1372)</x:f>
        <x:v>-0.3575418994413408</x:v>
      </x:c>
      <x:c r="AD1372" t="str">
        <x:f>IF(AA1372="","NO STANDARD",IF(AC1372&lt;=Config_Status!$B$2,"EFFICIENT",IF(AC1372&lt;=Config_Status!$B$3,"NORMAL",IF(AC1372&lt;=Config_Status!$B$4,"WARNING","OVER CONSUMPTION"))))</x:f>
        <x:v>EFFICIENT</x:v>
      </x:c>
      <x:c r="AE1372" t="str">
        <x:f>IFERROR(VLOOKUP(G1372,Master_Unit!$A$2:$N$78,13,FALSE),"UNIT NOT FOUND")</x:f>
        <x:v>Matched</x:v>
      </x:c>
    </x:row>
    <x:row r="1373">
      <x:c r="A1373" s="12" t="str">
        <x:v>FU-20260626-01372</x:v>
      </x:c>
      <x:c r="B1373" s="12" t="n">
        <x:v>1502</x:v>
      </x:c>
      <x:c r="C1373" s="14" t="n">
        <x:v>46199</x:v>
      </x:c>
      <x:c r="D1373" s="12" t="str">
        <x:v>Jum'at</x:v>
      </x:c>
      <x:c r="E1373" s="12" t="str">
        <x:v>07:39:00</x:v>
      </x:c>
      <x:c r="F1373" s="12" t="str">
        <x:v>All Shift Day</x:v>
      </x:c>
      <x:c r="G1373" s="12" t="str">
        <x:v>LVTH24R033</x:v>
      </x:c>
      <x:c r="H1373" s="12" t="str">
        <x:v>Light Vehicle</x:v>
      </x:c>
      <x:c r="I1373" s="12" t="str">
        <x:v>LIGHT VEHICLE TOYOTA HILUX</x:v>
      </x:c>
      <x:c r="J1373" s="16" t="n">
        <x:v>31</x:v>
      </x:c>
      <x:c r="K1373" s="16" t="n">
        <x:v>141329</x:v>
      </x:c>
      <x:c r="L1373" s="16" t="n">
        <x:v>141653</x:v>
      </x:c>
      <x:c r="M1373" s="16" t="n">
        <x:v>324</x:v>
      </x:c>
      <x:c r="N1373" s="16" t="n">
        <x:v>0.09567901234567901</x:v>
      </x:c>
      <x:c r="O1373" s="12" t="str">
        <x:v>FTRL44G005</x:v>
      </x:c>
      <x:c r="P1373" s="12" t="str">
        <x:v>LVTH24R033</x:v>
      </x:c>
      <x:c r="Q1373" s="12" t="str"/>
      <x:c r="R1373" s="12" t="str"/>
      <x:c r="S1373" s="12" t="str"/>
      <x:c r="T1373" s="12" t="str">
        <x:v>ABM</x:v>
      </x:c>
      <x:c r="U1373" s="12" t="str"/>
      <x:c r="V1373" s="12" t="str"/>
      <x:c r="W1373" s="12" t="str"/>
      <x:c r="X1373" s="12" t="str">
        <x:v>LVTH24</x:v>
      </x:c>
      <x:c r="Y1373" s="12" t="str">
        <x:v>FANGKI &amp; RAFIF</x:v>
      </x:c>
      <x:c r="Z1373" s="12" t="str"/>
      <x:c r="AA1373" s="32" t="n">
        <x:f>IFERROR(VLOOKUP(G1373,Master_Unit!$A$2:$N$78,7,FALSE),"")</x:f>
        <x:v>0.2</x:v>
      </x:c>
      <x:c r="AB1373" s="32" t="n">
        <x:f>IF(OR(N1373="",AA1373=""),"",N1373-AA1373)</x:f>
        <x:v>-0.104320987654321</x:v>
      </x:c>
      <x:c r="AC1373" s="20" t="n">
        <x:f>IF(OR(N1373="",AA1373="",AA1373=0),"",AB1373/AA1373)</x:f>
        <x:v>-0.521604938271605</x:v>
      </x:c>
      <x:c r="AD1373" t="str">
        <x:f>IF(AA1373="","NO STANDARD",IF(AC1373&lt;=Config_Status!$B$2,"EFFICIENT",IF(AC1373&lt;=Config_Status!$B$3,"NORMAL",IF(AC1373&lt;=Config_Status!$B$4,"WARNING","OVER CONSUMPTION"))))</x:f>
        <x:v>EFFICIENT</x:v>
      </x:c>
      <x:c r="AE1373" t="str">
        <x:f>IFERROR(VLOOKUP(G1373,Master_Unit!$A$2:$N$78,13,FALSE),"UNIT NOT FOUND")</x:f>
        <x:v>Matched</x:v>
      </x:c>
    </x:row>
    <x:row r="1374">
      <x:c r="A1374" s="12" t="str">
        <x:v>FU-20260626-01373</x:v>
      </x:c>
      <x:c r="B1374" s="12" t="n">
        <x:v>1503</x:v>
      </x:c>
      <x:c r="C1374" s="14" t="n">
        <x:v>46199</x:v>
      </x:c>
      <x:c r="D1374" s="12" t="str">
        <x:v>Jum'at</x:v>
      </x:c>
      <x:c r="E1374" s="12" t="str">
        <x:v>07:50:00</x:v>
      </x:c>
      <x:c r="F1374" s="12" t="str">
        <x:v>All Shift Day</x:v>
      </x:c>
      <x:c r="G1374" s="12" t="str">
        <x:v>GSHT25G001</x:v>
      </x:c>
      <x:c r="H1374" s="12" t="str">
        <x:v>Genset</x:v>
      </x:c>
      <x:c r="I1374" s="12" t="str">
        <x:v>GENSET HARTECH HT-250-V</x:v>
      </x:c>
      <x:c r="J1374" s="16" t="n">
        <x:v>489</x:v>
      </x:c>
      <x:c r="K1374" s="16" t="n">
        <x:v>1970.14</x:v>
      </x:c>
      <x:c r="L1374" s="16" t="n">
        <x:v>1994.14</x:v>
      </x:c>
      <x:c r="M1374" s="16" t="n">
        <x:v>24</x:v>
      </x:c>
      <x:c r="N1374" s="16" t="n">
        <x:v>20.375</x:v>
      </x:c>
      <x:c r="O1374" s="12" t="str">
        <x:v>FTRL44G005</x:v>
      </x:c>
      <x:c r="P1374" s="12" t="str">
        <x:v>GSHT25G001</x:v>
      </x:c>
      <x:c r="Q1374" s="12" t="str"/>
      <x:c r="R1374" s="12" t="str"/>
      <x:c r="S1374" s="12" t="str"/>
      <x:c r="T1374" s="12" t="str">
        <x:v>ABM</x:v>
      </x:c>
      <x:c r="U1374" s="12" t="str"/>
      <x:c r="V1374" s="12" t="str"/>
      <x:c r="W1374" s="12" t="str"/>
      <x:c r="X1374" s="12" t="str">
        <x:v>GSHT25</x:v>
      </x:c>
      <x:c r="Y1374" s="12" t="str">
        <x:v>FANGKI &amp; RAFIF</x:v>
      </x:c>
      <x:c r="Z1374" s="12" t="str"/>
      <x:c r="AA1374" s="32" t="n">
        <x:f>IFERROR(VLOOKUP(G1374,Master_Unit!$A$2:$N$78,7,FALSE),"")</x:f>
        <x:v>15</x:v>
      </x:c>
      <x:c r="AB1374" s="32" t="n">
        <x:f>IF(OR(N1374="",AA1374=""),"",N1374-AA1374)</x:f>
        <x:v>5.375</x:v>
      </x:c>
      <x:c r="AC1374" s="20" t="n">
        <x:f>IF(OR(N1374="",AA1374="",AA1374=0),"",AB1374/AA1374)</x:f>
        <x:v>0.35833333333333334</x:v>
      </x:c>
      <x:c r="AD1374" t="str">
        <x:f>IF(AA1374="","NO STANDARD",IF(AC1374&lt;=Config_Status!$B$2,"EFFICIENT",IF(AC1374&lt;=Config_Status!$B$3,"NORMAL",IF(AC1374&lt;=Config_Status!$B$4,"WARNING","OVER CONSUMPTION"))))</x:f>
        <x:v>OVER CONSUMPTION</x:v>
      </x:c>
      <x:c r="AE1374" t="str">
        <x:f>IFERROR(VLOOKUP(G1374,Master_Unit!$A$2:$N$78,13,FALSE),"UNIT NOT FOUND")</x:f>
        <x:v>Matched</x:v>
      </x:c>
    </x:row>
    <x:row r="1375">
      <x:c r="A1375" s="12" t="str">
        <x:v>FU-20260626-01374</x:v>
      </x:c>
      <x:c r="B1375" s="12" t="n">
        <x:v>1504</x:v>
      </x:c>
      <x:c r="C1375" s="14" t="n">
        <x:v>46199</x:v>
      </x:c>
      <x:c r="D1375" s="12" t="str">
        <x:v>Jum'at</x:v>
      </x:c>
      <x:c r="E1375" s="12" t="str">
        <x:v>08:34:00</x:v>
      </x:c>
      <x:c r="F1375" s="12" t="str">
        <x:v>All Shift Day</x:v>
      </x:c>
      <x:c r="G1375" s="12" t="str">
        <x:v>CTRL44G004</x:v>
      </x:c>
      <x:c r="H1375" s="12" t="str">
        <x:v>Crane Truck</x:v>
      </x:c>
      <x:c r="I1375" s="12" t="str">
        <x:v>CRANE TRUCK RENAULT KRANGE440-P6X4 A/T</x:v>
      </x:c>
      <x:c r="J1375" s="16" t="n">
        <x:v>100</x:v>
      </x:c>
      <x:c r="K1375" s="16" t="n">
        <x:v>1022</x:v>
      </x:c>
      <x:c r="L1375" s="16" t="n">
        <x:v>1025</x:v>
      </x:c>
      <x:c r="M1375" s="16" t="n">
        <x:v>3</x:v>
      </x:c>
      <x:c r="N1375" s="16" t="n">
        <x:v>33.333333333333336</x:v>
      </x:c>
      <x:c r="O1375" s="12" t="str">
        <x:v>FTRL44G004</x:v>
      </x:c>
      <x:c r="P1375" s="12" t="str">
        <x:v>CTRL44G004</x:v>
      </x:c>
      <x:c r="Q1375" s="12" t="str"/>
      <x:c r="R1375" s="12" t="str"/>
      <x:c r="S1375" s="12" t="str"/>
      <x:c r="T1375" s="12" t="str">
        <x:v>ABM</x:v>
      </x:c>
      <x:c r="U1375" s="12" t="str"/>
      <x:c r="V1375" s="12" t="str"/>
      <x:c r="W1375" s="12" t="str"/>
      <x:c r="X1375" s="12" t="str">
        <x:v>CTRL44</x:v>
      </x:c>
      <x:c r="Y1375" s="12" t="str">
        <x:v>FANGKI &amp; RAFIF</x:v>
      </x:c>
      <x:c r="Z1375" s="12" t="str"/>
      <x:c r="AA1375" s="32" t="n">
        <x:f>IFERROR(VLOOKUP(G1375,Master_Unit!$A$2:$N$78,7,FALSE),"")</x:f>
        <x:v>20</x:v>
      </x:c>
      <x:c r="AB1375" s="32" t="n">
        <x:f>IF(OR(N1375="",AA1375=""),"",N1375-AA1375)</x:f>
        <x:v>13.333333333333336</x:v>
      </x:c>
      <x:c r="AC1375" s="20" t="n">
        <x:f>IF(OR(N1375="",AA1375="",AA1375=0),"",AB1375/AA1375)</x:f>
        <x:v>0.6666666666666667</x:v>
      </x:c>
      <x:c r="AD1375" t="str">
        <x:f>IF(AA1375="","NO STANDARD",IF(AC1375&lt;=Config_Status!$B$2,"EFFICIENT",IF(AC1375&lt;=Config_Status!$B$3,"NORMAL",IF(AC1375&lt;=Config_Status!$B$4,"WARNING","OVER CONSUMPTION"))))</x:f>
        <x:v>OVER CONSUMPTION</x:v>
      </x:c>
      <x:c r="AE1375" t="str">
        <x:f>IFERROR(VLOOKUP(G1375,Master_Unit!$A$2:$N$78,13,FALSE),"UNIT NOT FOUND")</x:f>
        <x:v>Matched</x:v>
      </x:c>
    </x:row>
    <x:row r="1376">
      <x:c r="A1376" s="12" t="str">
        <x:v>FU-20260627-01375</x:v>
      </x:c>
      <x:c r="B1376" s="12" t="n">
        <x:v>1505</x:v>
      </x:c>
      <x:c r="C1376" s="14" t="n">
        <x:v>46200</x:v>
      </x:c>
      <x:c r="D1376" s="12" t="str">
        <x:v>Sabtu</x:v>
      </x:c>
      <x:c r="E1376" s="12" t="str">
        <x:v>06:51:00</x:v>
      </x:c>
      <x:c r="F1376" s="12" t="str">
        <x:v>All Shift Day</x:v>
      </x:c>
      <x:c r="G1376" s="12" t="str">
        <x:v>LVTH24R035</x:v>
      </x:c>
      <x:c r="H1376" s="12" t="str">
        <x:v>Light Vehicle</x:v>
      </x:c>
      <x:c r="I1376" s="12" t="str">
        <x:v>LIGHT VEHICLE TOYOTA HILUX</x:v>
      </x:c>
      <x:c r="J1376" s="16" t="n">
        <x:v>20</x:v>
      </x:c>
      <x:c r="K1376" s="16" t="n">
        <x:v>72307</x:v>
      </x:c>
      <x:c r="L1376" s="16" t="n">
        <x:v>72565</x:v>
      </x:c>
      <x:c r="M1376" s="16" t="n">
        <x:v>258</x:v>
      </x:c>
      <x:c r="N1376" s="16" t="n">
        <x:v>0.07751937984496124</x:v>
      </x:c>
      <x:c r="O1376" s="12" t="str">
        <x:v>FTRL44G004</x:v>
      </x:c>
      <x:c r="P1376" s="12" t="str">
        <x:v>LVTH24R035</x:v>
      </x:c>
      <x:c r="Q1376" s="12" t="str"/>
      <x:c r="R1376" s="12" t="str"/>
      <x:c r="S1376" s="12" t="str"/>
      <x:c r="T1376" s="12" t="str">
        <x:v>ABM</x:v>
      </x:c>
      <x:c r="U1376" s="12" t="str"/>
      <x:c r="V1376" s="12" t="str"/>
      <x:c r="W1376" s="12" t="str"/>
      <x:c r="X1376" s="12" t="str">
        <x:v>LVTH24</x:v>
      </x:c>
      <x:c r="Y1376" s="12" t="str">
        <x:v>RAFIF</x:v>
      </x:c>
      <x:c r="Z1376" s="12" t="str"/>
      <x:c r="AA1376" s="32" t="n">
        <x:f>IFERROR(VLOOKUP(G1376,Master_Unit!$A$2:$N$78,7,FALSE),"")</x:f>
        <x:v>0.2</x:v>
      </x:c>
      <x:c r="AB1376" s="32" t="n">
        <x:f>IF(OR(N1376="",AA1376=""),"",N1376-AA1376)</x:f>
        <x:v>-0.12248062015503877</x:v>
      </x:c>
      <x:c r="AC1376" s="20" t="n">
        <x:f>IF(OR(N1376="",AA1376="",AA1376=0),"",AB1376/AA1376)</x:f>
        <x:v>-0.6124031007751938</x:v>
      </x:c>
      <x:c r="AD1376" t="str">
        <x:f>IF(AA1376="","NO STANDARD",IF(AC1376&lt;=Config_Status!$B$2,"EFFICIENT",IF(AC1376&lt;=Config_Status!$B$3,"NORMAL",IF(AC1376&lt;=Config_Status!$B$4,"WARNING","OVER CONSUMPTION"))))</x:f>
        <x:v>EFFICIENT</x:v>
      </x:c>
      <x:c r="AE1376" t="str">
        <x:f>IFERROR(VLOOKUP(G1376,Master_Unit!$A$2:$N$78,13,FALSE),"UNIT NOT FOUND")</x:f>
        <x:v>Matched</x:v>
      </x:c>
    </x:row>
    <x:row r="1377">
      <x:c r="A1377" s="12" t="str">
        <x:v>FU-20260627-01376</x:v>
      </x:c>
      <x:c r="B1377" s="12" t="n">
        <x:v>1506</x:v>
      </x:c>
      <x:c r="C1377" s="14" t="n">
        <x:v>46200</x:v>
      </x:c>
      <x:c r="D1377" s="12" t="str">
        <x:v>Sabtu</x:v>
      </x:c>
      <x:c r="E1377" s="12" t="str">
        <x:v>07:01:00</x:v>
      </x:c>
      <x:c r="F1377" s="12" t="str">
        <x:v>All Shift Day</x:v>
      </x:c>
      <x:c r="G1377" s="12" t="str">
        <x:v>LVMP25R005</x:v>
      </x:c>
      <x:c r="H1377" s="12" t="str">
        <x:v>Light Vehicle</x:v>
      </x:c>
      <x:c r="I1377" s="12" t="str">
        <x:v>LIGHT VEHICLE MITSUBISHI PAJERO</x:v>
      </x:c>
      <x:c r="J1377" s="16" t="n">
        <x:v>24</x:v>
      </x:c>
      <x:c r="K1377" s="16" t="n">
        <x:v>61959</x:v>
      </x:c>
      <x:c r="L1377" s="16" t="n">
        <x:v>62161</x:v>
      </x:c>
      <x:c r="M1377" s="16" t="n">
        <x:v>202</x:v>
      </x:c>
      <x:c r="N1377" s="16" t="n">
        <x:v>0.1188118811881188</x:v>
      </x:c>
      <x:c r="O1377" s="12" t="str">
        <x:v>FTRL44G004</x:v>
      </x:c>
      <x:c r="P1377" s="12" t="str">
        <x:v>LVMP25R005</x:v>
      </x:c>
      <x:c r="Q1377" s="12" t="str"/>
      <x:c r="R1377" s="12" t="str"/>
      <x:c r="S1377" s="12" t="str"/>
      <x:c r="T1377" s="12" t="str">
        <x:v>ABM</x:v>
      </x:c>
      <x:c r="U1377" s="12" t="str"/>
      <x:c r="V1377" s="12" t="str"/>
      <x:c r="W1377" s="12" t="str"/>
      <x:c r="X1377" s="12" t="str">
        <x:v>LVMP25</x:v>
      </x:c>
      <x:c r="Y1377" s="12" t="str">
        <x:v>RAFIF</x:v>
      </x:c>
      <x:c r="Z1377" s="12" t="str"/>
      <x:c r="AA1377" s="32" t="str">
        <x:f>IFERROR(VLOOKUP(G1377,Master_Unit!$A$2:$N$78,7,FALSE),"")</x:f>
      </x:c>
      <x:c r="AB1377" s="32" t="str">
        <x:f>IF(OR(N1377="",AA1377=""),"",N1377-AA1377)</x:f>
      </x:c>
      <x:c r="AC1377" s="20" t="str">
        <x:f>IF(OR(N1377="",AA1377="",AA1377=0),"",AB1377/AA1377)</x:f>
      </x:c>
      <x:c r="AD1377" t="str">
        <x:f>IF(AA1377="","NO STANDARD",IF(AC1377&lt;=Config_Status!$B$2,"EFFICIENT",IF(AC1377&lt;=Config_Status!$B$3,"NORMAL",IF(AC1377&lt;=Config_Status!$B$4,"WARNING","OVER CONSUMPTION"))))</x:f>
        <x:v>NO STANDARD</x:v>
      </x:c>
      <x:c r="AE1377" t="str">
        <x:f>IFERROR(VLOOKUP(G1377,Master_Unit!$A$2:$N$78,13,FALSE),"UNIT NOT FOUND")</x:f>
        <x:v>No Standard</x:v>
      </x:c>
    </x:row>
    <x:row r="1378">
      <x:c r="A1378" s="12" t="str">
        <x:v>FU-20260627-01377</x:v>
      </x:c>
      <x:c r="B1378" s="12" t="n">
        <x:v>1507</x:v>
      </x:c>
      <x:c r="C1378" s="14" t="n">
        <x:v>46200</x:v>
      </x:c>
      <x:c r="D1378" s="12" t="str">
        <x:v>Sabtu</x:v>
      </x:c>
      <x:c r="E1378" s="12" t="str">
        <x:v>07:21:00</x:v>
      </x:c>
      <x:c r="F1378" s="12" t="str">
        <x:v>All Shift Day</x:v>
      </x:c>
      <x:c r="G1378" s="12" t="str">
        <x:v>LVTH24R033</x:v>
      </x:c>
      <x:c r="H1378" s="12" t="str">
        <x:v>Light Vehicle</x:v>
      </x:c>
      <x:c r="I1378" s="12" t="str">
        <x:v>LIGHT VEHICLE TOYOTA HILUX</x:v>
      </x:c>
      <x:c r="J1378" s="16" t="n">
        <x:v>20</x:v>
      </x:c>
      <x:c r="K1378" s="16" t="n">
        <x:v>141653</x:v>
      </x:c>
      <x:c r="L1378" s="16" t="n">
        <x:v>141736</x:v>
      </x:c>
      <x:c r="M1378" s="16" t="n">
        <x:v>83</x:v>
      </x:c>
      <x:c r="N1378" s="16" t="n">
        <x:v>0.24096385542168675</x:v>
      </x:c>
      <x:c r="O1378" s="12" t="str">
        <x:v>FTRL44G004</x:v>
      </x:c>
      <x:c r="P1378" s="12" t="str">
        <x:v>LVTH24R033</x:v>
      </x:c>
      <x:c r="Q1378" s="12" t="str"/>
      <x:c r="R1378" s="12" t="str"/>
      <x:c r="S1378" s="12" t="str"/>
      <x:c r="T1378" s="12" t="str">
        <x:v>ABM</x:v>
      </x:c>
      <x:c r="U1378" s="12" t="str"/>
      <x:c r="V1378" s="12" t="str"/>
      <x:c r="W1378" s="12" t="str"/>
      <x:c r="X1378" s="12" t="str">
        <x:v>LVTH24</x:v>
      </x:c>
      <x:c r="Y1378" s="12" t="str">
        <x:v>RAFIF</x:v>
      </x:c>
      <x:c r="Z1378" s="12" t="str"/>
      <x:c r="AA1378" s="32" t="n">
        <x:f>IFERROR(VLOOKUP(G1378,Master_Unit!$A$2:$N$78,7,FALSE),"")</x:f>
        <x:v>0.2</x:v>
      </x:c>
      <x:c r="AB1378" s="32" t="n">
        <x:f>IF(OR(N1378="",AA1378=""),"",N1378-AA1378)</x:f>
        <x:v>0.040963855421686735</x:v>
      </x:c>
      <x:c r="AC1378" s="20" t="n">
        <x:f>IF(OR(N1378="",AA1378="",AA1378=0),"",AB1378/AA1378)</x:f>
        <x:v>0.20481927710843367</x:v>
      </x:c>
      <x:c r="AD1378" t="str">
        <x:f>IF(AA1378="","NO STANDARD",IF(AC1378&lt;=Config_Status!$B$2,"EFFICIENT",IF(AC1378&lt;=Config_Status!$B$3,"NORMAL",IF(AC1378&lt;=Config_Status!$B$4,"WARNING","OVER CONSUMPTION"))))</x:f>
        <x:v>OVER CONSUMPTION</x:v>
      </x:c>
      <x:c r="AE1378" t="str">
        <x:f>IFERROR(VLOOKUP(G1378,Master_Unit!$A$2:$N$78,13,FALSE),"UNIT NOT FOUND")</x:f>
        <x:v>Matched</x:v>
      </x:c>
    </x:row>
    <x:row r="1379">
      <x:c r="A1379" s="12" t="str">
        <x:v>FU-20260627-01378</x:v>
      </x:c>
      <x:c r="B1379" s="12" t="n">
        <x:v>1508</x:v>
      </x:c>
      <x:c r="C1379" s="14" t="n">
        <x:v>46200</x:v>
      </x:c>
      <x:c r="D1379" s="12" t="str">
        <x:v>Sabtu</x:v>
      </x:c>
      <x:c r="E1379" s="12" t="str">
        <x:v>07:49:00</x:v>
      </x:c>
      <x:c r="F1379" s="12" t="str">
        <x:v>All Shift Day</x:v>
      </x:c>
      <x:c r="G1379" s="12" t="str">
        <x:v>GSHT40G002</x:v>
      </x:c>
      <x:c r="H1379" s="12" t="str">
        <x:v>Genset</x:v>
      </x:c>
      <x:c r="I1379" s="12" t="str">
        <x:v>GENSET HARTECH HT-400-V</x:v>
      </x:c>
      <x:c r="J1379" s="16" t="n">
        <x:v>400</x:v>
      </x:c>
      <x:c r="K1379" s="16" t="n">
        <x:v>14866.47</x:v>
      </x:c>
      <x:c r="L1379" s="16" t="n">
        <x:v>14890.47</x:v>
      </x:c>
      <x:c r="M1379" s="16" t="n">
        <x:v>24</x:v>
      </x:c>
      <x:c r="N1379" s="16" t="n">
        <x:v>16.666666666666668</x:v>
      </x:c>
      <x:c r="O1379" s="12" t="str">
        <x:v>FTRL44G004</x:v>
      </x:c>
      <x:c r="P1379" s="12" t="str">
        <x:v>GSHT40G002</x:v>
      </x:c>
      <x:c r="Q1379" s="12" t="str"/>
      <x:c r="R1379" s="12" t="str"/>
      <x:c r="S1379" s="12" t="str"/>
      <x:c r="T1379" s="12" t="str">
        <x:v>ABM</x:v>
      </x:c>
      <x:c r="U1379" s="12" t="str"/>
      <x:c r="V1379" s="12" t="str"/>
      <x:c r="W1379" s="12" t="str"/>
      <x:c r="X1379" s="12" t="str">
        <x:v>GSHT40</x:v>
      </x:c>
      <x:c r="Y1379" s="12" t="str">
        <x:v>RAFIF</x:v>
      </x:c>
      <x:c r="Z1379" s="12" t="str"/>
      <x:c r="AA1379" s="32" t="n">
        <x:f>IFERROR(VLOOKUP(G1379,Master_Unit!$A$2:$N$78,7,FALSE),"")</x:f>
        <x:v>25</x:v>
      </x:c>
      <x:c r="AB1379" s="32" t="n">
        <x:f>IF(OR(N1379="",AA1379=""),"",N1379-AA1379)</x:f>
        <x:v>-8.333333333333332</x:v>
      </x:c>
      <x:c r="AC1379" s="20" t="n">
        <x:f>IF(OR(N1379="",AA1379="",AA1379=0),"",AB1379/AA1379)</x:f>
        <x:v>-0.33333333333333326</x:v>
      </x:c>
      <x:c r="AD1379" t="str">
        <x:f>IF(AA1379="","NO STANDARD",IF(AC1379&lt;=Config_Status!$B$2,"EFFICIENT",IF(AC1379&lt;=Config_Status!$B$3,"NORMAL",IF(AC1379&lt;=Config_Status!$B$4,"WARNING","OVER CONSUMPTION"))))</x:f>
        <x:v>EFFICIENT</x:v>
      </x:c>
      <x:c r="AE1379" t="str">
        <x:f>IFERROR(VLOOKUP(G1379,Master_Unit!$A$2:$N$78,13,FALSE),"UNIT NOT FOUND")</x:f>
        <x:v>Matched</x:v>
      </x:c>
    </x:row>
  </x:sheetData>
  <x:conditionalFormatting sqref="AD2:AD1379">
    <x:cfRule type="expression" dxfId="3" priority="1">
      <x:formula>AD2="EFFICIENT"</x:formula>
    </x:cfRule>
    <x:cfRule type="expression" dxfId="4" priority="2">
      <x:formula>AD2="NORMAL"</x:formula>
    </x:cfRule>
    <x:cfRule type="expression" dxfId="5" priority="3">
      <x:formula>AD2="WARNING"</x:formula>
    </x:cfRule>
    <x:cfRule type="expression" dxfId="6" priority="4">
      <x:formula>AD2="OVER CONSUMPTION"</x:formula>
    </x:cfRule>
    <x:cfRule type="expression" dxfId="7" priority="5">
      <x:formula>AD2="NO STANDARD"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0fe1f85b1641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>
      <x:c r="A1" s="6" t="str">
        <x:v>Unit_Code</x:v>
      </x:c>
      <x:c r="B1" s="6" t="str">
        <x:v>Category</x:v>
      </x:c>
      <x:c r="C1" s="6" t="str">
        <x:v>Unit_Type</x:v>
      </x:c>
      <x:c r="D1" s="6" t="str">
        <x:v>Unit_Group_Code</x:v>
      </x:c>
      <x:c r="E1" s="6" t="str">
        <x:v>Mtech_Code</x:v>
      </x:c>
      <x:c r="F1" s="6" t="str">
        <x:v>Standard_Model</x:v>
      </x:c>
      <x:c r="G1" s="6" t="str">
        <x:v>Standard_LHM</x:v>
      </x:c>
      <x:c r="H1" s="6" t="str">
        <x:v>UOM</x:v>
      </x:c>
      <x:c r="I1" s="6" t="str">
        <x:v>Transaction_Count</x:v>
      </x:c>
      <x:c r="J1" s="6" t="str">
        <x:v>First_Seen</x:v>
      </x:c>
      <x:c r="K1" s="6" t="str">
        <x:v>Last_Seen</x:v>
      </x:c>
      <x:c r="L1" s="6" t="str">
        <x:v>Status</x:v>
      </x:c>
      <x:c r="M1" s="6" t="str">
        <x:v>Standard_Match</x:v>
      </x:c>
      <x:c r="N1" s="6" t="str">
        <x:v>Standard_Note</x:v>
      </x:c>
    </x:row>
    <x:row r="2">
      <x:c r="A2" s="12" t="str">
        <x:v>ACKS50G001</x:v>
      </x:c>
      <x:c r="B2" s="12" t="str">
        <x:v>Air Compressor</x:v>
      </x:c>
      <x:c r="C2" s="12" t="str">
        <x:v>AIR COMPRESSOR MOBILAR MOBILAIR M50</x:v>
      </x:c>
      <x:c r="D2" s="12" t="str">
        <x:v>ACKS50</x:v>
      </x:c>
      <x:c r="E2" s="12" t="str">
        <x:v>ACKS50G001</x:v>
      </x:c>
      <x:c r="F2" s="12" t="str">
        <x:v>AIR COMPRESSOR</x:v>
      </x:c>
      <x:c r="G2" s="18" t="n">
        <x:v>8</x:v>
      </x:c>
      <x:c r="H2" s="12" t="str">
        <x:v>L/HM</x:v>
      </x:c>
      <x:c r="I2" s="12" t="n">
        <x:v>5</x:v>
      </x:c>
      <x:c r="J2" s="14" t="n">
        <x:v>46176</x:v>
      </x:c>
      <x:c r="K2" s="14" t="n">
        <x:v>46198</x:v>
      </x:c>
      <x:c r="L2" s="12" t="str">
        <x:v>Active</x:v>
      </x:c>
      <x:c r="M2" s="12" t="str">
        <x:v>Matched</x:v>
      </x:c>
      <x:c r="N2" t="str"/>
    </x:row>
    <x:row r="3">
      <x:c r="A3" s="12" t="str">
        <x:v>BDKM85G039</x:v>
      </x:c>
      <x:c r="B3" s="12" t="str">
        <x:v>Dozer</x:v>
      </x:c>
      <x:c r="C3" s="12" t="str">
        <x:v>BULDOZER KOMATSU D85ESS-2</x:v>
      </x:c>
      <x:c r="D3" s="12" t="str">
        <x:v>BDKM85</x:v>
      </x:c>
      <x:c r="E3" s="12" t="str">
        <x:v>BDKM85G039</x:v>
      </x:c>
      <x:c r="F3" s="12" t="str">
        <x:v>BULDOZZER</x:v>
      </x:c>
      <x:c r="G3" s="18" t="n">
        <x:v>30</x:v>
      </x:c>
      <x:c r="H3" s="12" t="str">
        <x:v>L/HM</x:v>
      </x:c>
      <x:c r="I3" s="12" t="n">
        <x:v>27</x:v>
      </x:c>
      <x:c r="J3" s="14" t="n">
        <x:v>46174</x:v>
      </x:c>
      <x:c r="K3" s="14" t="n">
        <x:v>46194</x:v>
      </x:c>
      <x:c r="L3" s="12" t="str">
        <x:v>Active</x:v>
      </x:c>
      <x:c r="M3" s="12" t="str">
        <x:v>Matched</x:v>
      </x:c>
      <x:c r="N3" t="str"/>
    </x:row>
    <x:row r="4">
      <x:c r="A4" s="12" t="str">
        <x:v>BDKM85G040</x:v>
      </x:c>
      <x:c r="B4" s="12" t="str">
        <x:v>Dozer</x:v>
      </x:c>
      <x:c r="C4" s="12" t="str">
        <x:v>BULDOZER KOMATSU D85ESS-2</x:v>
      </x:c>
      <x:c r="D4" s="12" t="str">
        <x:v>BDKM85</x:v>
      </x:c>
      <x:c r="E4" s="12" t="str">
        <x:v>BDKM85G040</x:v>
      </x:c>
      <x:c r="F4" s="12" t="str">
        <x:v>BULDOZZER</x:v>
      </x:c>
      <x:c r="G4" s="18" t="n">
        <x:v>30</x:v>
      </x:c>
      <x:c r="H4" s="12" t="str">
        <x:v>L/HM</x:v>
      </x:c>
      <x:c r="I4" s="12" t="n">
        <x:v>18</x:v>
      </x:c>
      <x:c r="J4" s="14" t="n">
        <x:v>46174</x:v>
      </x:c>
      <x:c r="K4" s="14" t="n">
        <x:v>46190</x:v>
      </x:c>
      <x:c r="L4" s="12" t="str">
        <x:v>Active</x:v>
      </x:c>
      <x:c r="M4" s="12" t="str">
        <x:v>Matched</x:v>
      </x:c>
      <x:c r="N4" t="str"/>
    </x:row>
    <x:row r="5">
      <x:c r="A5" s="12" t="str">
        <x:v>CTRL44G004</x:v>
      </x:c>
      <x:c r="B5" s="12" t="str">
        <x:v>Crane Truck</x:v>
      </x:c>
      <x:c r="C5" s="12" t="str">
        <x:v>CRANE TRUCK RENAULT KRANGE440-P6X4 A/T</x:v>
      </x:c>
      <x:c r="D5" s="12" t="str">
        <x:v>CTRL44</x:v>
      </x:c>
      <x:c r="E5" s="12" t="str">
        <x:v>CTRL44G004</x:v>
      </x:c>
      <x:c r="F5" s="12" t="str">
        <x:v>CRANE TRUCK</x:v>
      </x:c>
      <x:c r="G5" s="18" t="n">
        <x:v>20</x:v>
      </x:c>
      <x:c r="H5" s="12" t="str">
        <x:v>L/HM</x:v>
      </x:c>
      <x:c r="I5" s="12" t="n">
        <x:v>7</x:v>
      </x:c>
      <x:c r="J5" s="14" t="n">
        <x:v>46178</x:v>
      </x:c>
      <x:c r="K5" s="14" t="n">
        <x:v>46199</x:v>
      </x:c>
      <x:c r="L5" s="12" t="str">
        <x:v>Active</x:v>
      </x:c>
      <x:c r="M5" s="12" t="str">
        <x:v>Matched</x:v>
      </x:c>
      <x:c r="N5" t="str"/>
    </x:row>
    <x:row r="6">
      <x:c r="A6" s="12" t="str">
        <x:v>EXVV21G032</x:v>
      </x:c>
      <x:c r="B6" s="12" t="str">
        <x:v>Excavator</x:v>
      </x:c>
      <x:c r="C6" s="12" t="str">
        <x:v>EXCAVATOR VOLVO EC210D</x:v>
      </x:c>
      <x:c r="D6" s="12" t="str">
        <x:v>EXVV21</x:v>
      </x:c>
      <x:c r="E6" s="12" t="str">
        <x:v>EXVV21G032</x:v>
      </x:c>
      <x:c r="F6" s="12" t="str">
        <x:v>EXCAVATOR 210D</x:v>
      </x:c>
      <x:c r="G6" s="18" t="n">
        <x:v>20</x:v>
      </x:c>
      <x:c r="H6" s="12" t="str">
        <x:v>L/HM</x:v>
      </x:c>
      <x:c r="I6" s="12" t="n">
        <x:v>32</x:v>
      </x:c>
      <x:c r="J6" s="14" t="n">
        <x:v>46174</x:v>
      </x:c>
      <x:c r="K6" s="14" t="n">
        <x:v>46193</x:v>
      </x:c>
      <x:c r="L6" s="12" t="str">
        <x:v>Active</x:v>
      </x:c>
      <x:c r="M6" s="12" t="str">
        <x:v>Matched</x:v>
      </x:c>
      <x:c r="N6" t="str"/>
    </x:row>
    <x:row r="7">
      <x:c r="A7" s="12" t="str">
        <x:v>EXVV21G035</x:v>
      </x:c>
      <x:c r="B7" s="12" t="str">
        <x:v>Excavator</x:v>
      </x:c>
      <x:c r="C7" s="12" t="str">
        <x:v>EXCAVATOR VOLVO EC210D</x:v>
      </x:c>
      <x:c r="D7" s="12" t="str">
        <x:v>EXVV21</x:v>
      </x:c>
      <x:c r="E7" s="12" t="str">
        <x:v>EXVV21G035</x:v>
      </x:c>
      <x:c r="F7" s="12" t="str">
        <x:v>EXCAVATOR 210D</x:v>
      </x:c>
      <x:c r="G7" s="18" t="n">
        <x:v>20</x:v>
      </x:c>
      <x:c r="H7" s="12" t="str">
        <x:v>L/HM</x:v>
      </x:c>
      <x:c r="I7" s="12" t="n">
        <x:v>30</x:v>
      </x:c>
      <x:c r="J7" s="14" t="n">
        <x:v>46174</x:v>
      </x:c>
      <x:c r="K7" s="14" t="n">
        <x:v>46193</x:v>
      </x:c>
      <x:c r="L7" s="12" t="str">
        <x:v>Active</x:v>
      </x:c>
      <x:c r="M7" s="12" t="str">
        <x:v>Matched</x:v>
      </x:c>
      <x:c r="N7" t="str"/>
    </x:row>
    <x:row r="8">
      <x:c r="A8" s="12" t="str">
        <x:v>EXVV21G036</x:v>
      </x:c>
      <x:c r="B8" s="12" t="str">
        <x:v>Excavator</x:v>
      </x:c>
      <x:c r="C8" s="12" t="str">
        <x:v>EXCAVATOR VOLVO EC210D</x:v>
      </x:c>
      <x:c r="D8" s="12" t="str">
        <x:v>EXVV21</x:v>
      </x:c>
      <x:c r="E8" s="12" t="str">
        <x:v>EXVV21G036</x:v>
      </x:c>
      <x:c r="F8" s="12" t="str">
        <x:v>EXCAVATOR 210D</x:v>
      </x:c>
      <x:c r="G8" s="18" t="n">
        <x:v>20</x:v>
      </x:c>
      <x:c r="H8" s="12" t="str">
        <x:v>L/HM</x:v>
      </x:c>
      <x:c r="I8" s="12" t="n">
        <x:v>30</x:v>
      </x:c>
      <x:c r="J8" s="14" t="n">
        <x:v>46174</x:v>
      </x:c>
      <x:c r="K8" s="14" t="n">
        <x:v>46193</x:v>
      </x:c>
      <x:c r="L8" s="12" t="str">
        <x:v>Active</x:v>
      </x:c>
      <x:c r="M8" s="12" t="str">
        <x:v>Matched</x:v>
      </x:c>
      <x:c r="N8" t="str"/>
    </x:row>
    <x:row r="9">
      <x:c r="A9" s="12" t="str">
        <x:v>EXVV21G037</x:v>
      </x:c>
      <x:c r="B9" s="12" t="str">
        <x:v>Excavator</x:v>
      </x:c>
      <x:c r="C9" s="12" t="str">
        <x:v>EXCAVATOR VOLVO EC210D</x:v>
      </x:c>
      <x:c r="D9" s="12" t="str">
        <x:v>EXVV21</x:v>
      </x:c>
      <x:c r="E9" s="12" t="str">
        <x:v>EXVV21G037</x:v>
      </x:c>
      <x:c r="F9" s="12" t="str">
        <x:v>EXCAVATOR 210D</x:v>
      </x:c>
      <x:c r="G9" s="18" t="n">
        <x:v>20</x:v>
      </x:c>
      <x:c r="H9" s="12" t="str">
        <x:v>L/HM</x:v>
      </x:c>
      <x:c r="I9" s="12" t="n">
        <x:v>36</x:v>
      </x:c>
      <x:c r="J9" s="14" t="n">
        <x:v>46174</x:v>
      </x:c>
      <x:c r="K9" s="14" t="n">
        <x:v>46194</x:v>
      </x:c>
      <x:c r="L9" s="12" t="str">
        <x:v>Active</x:v>
      </x:c>
      <x:c r="M9" s="12" t="str">
        <x:v>Matched</x:v>
      </x:c>
      <x:c r="N9" t="str"/>
    </x:row>
    <x:row r="10">
      <x:c r="A10" s="12" t="str">
        <x:v>EXVV21G038</x:v>
      </x:c>
      <x:c r="B10" s="12" t="str">
        <x:v>Excavator</x:v>
      </x:c>
      <x:c r="C10" s="12" t="str">
        <x:v>EXCAVATOR VOLVO EC210D</x:v>
      </x:c>
      <x:c r="D10" s="12" t="str">
        <x:v>EXVV21</x:v>
      </x:c>
      <x:c r="E10" s="12" t="str">
        <x:v>EXVV21G038</x:v>
      </x:c>
      <x:c r="F10" s="12" t="str">
        <x:v>EXCAVATOR 210D</x:v>
      </x:c>
      <x:c r="G10" s="18" t="n">
        <x:v>20</x:v>
      </x:c>
      <x:c r="H10" s="12" t="str">
        <x:v>L/HM</x:v>
      </x:c>
      <x:c r="I10" s="12" t="n">
        <x:v>24</x:v>
      </x:c>
      <x:c r="J10" s="14" t="n">
        <x:v>46174</x:v>
      </x:c>
      <x:c r="K10" s="14" t="n">
        <x:v>46190</x:v>
      </x:c>
      <x:c r="L10" s="12" t="str">
        <x:v>Active</x:v>
      </x:c>
      <x:c r="M10" s="12" t="str">
        <x:v>Matched</x:v>
      </x:c>
      <x:c r="N10" t="str"/>
    </x:row>
    <x:row r="11">
      <x:c r="A11" s="12" t="str">
        <x:v>EXVV21G039</x:v>
      </x:c>
      <x:c r="B11" s="12" t="str">
        <x:v>Excavator</x:v>
      </x:c>
      <x:c r="C11" s="12" t="str">
        <x:v>EXCAVATOR VOLVO EC210D</x:v>
      </x:c>
      <x:c r="D11" s="12" t="str">
        <x:v>EXVV21</x:v>
      </x:c>
      <x:c r="E11" s="12" t="str">
        <x:v>EXVV21G039</x:v>
      </x:c>
      <x:c r="F11" s="12" t="str">
        <x:v>EXCAVATOR 210D</x:v>
      </x:c>
      <x:c r="G11" s="18" t="n">
        <x:v>20</x:v>
      </x:c>
      <x:c r="H11" s="12" t="str">
        <x:v>L/HM</x:v>
      </x:c>
      <x:c r="I11" s="12" t="n">
        <x:v>31</x:v>
      </x:c>
      <x:c r="J11" s="14" t="n">
        <x:v>46175</x:v>
      </x:c>
      <x:c r="K11" s="14" t="n">
        <x:v>46193</x:v>
      </x:c>
      <x:c r="L11" s="12" t="str">
        <x:v>Active</x:v>
      </x:c>
      <x:c r="M11" s="12" t="str">
        <x:v>Matched</x:v>
      </x:c>
      <x:c r="N11" t="str"/>
    </x:row>
    <x:row r="12">
      <x:c r="A12" s="12" t="str">
        <x:v>EXVV21G040</x:v>
      </x:c>
      <x:c r="B12" s="12" t="str">
        <x:v>Excavator</x:v>
      </x:c>
      <x:c r="C12" s="12" t="str">
        <x:v>EXCAVATOR VOLVO EC210D</x:v>
      </x:c>
      <x:c r="D12" s="12" t="str">
        <x:v>EXVV21</x:v>
      </x:c>
      <x:c r="E12" s="12" t="str">
        <x:v>EXVV21G040</x:v>
      </x:c>
      <x:c r="F12" s="12" t="str">
        <x:v>EXCAVATOR 210D</x:v>
      </x:c>
      <x:c r="G12" s="18" t="n">
        <x:v>20</x:v>
      </x:c>
      <x:c r="H12" s="12" t="str">
        <x:v>L/HM</x:v>
      </x:c>
      <x:c r="I12" s="12" t="n">
        <x:v>29</x:v>
      </x:c>
      <x:c r="J12" s="14" t="n">
        <x:v>46174</x:v>
      </x:c>
      <x:c r="K12" s="14" t="n">
        <x:v>46193</x:v>
      </x:c>
      <x:c r="L12" s="12" t="str">
        <x:v>Active</x:v>
      </x:c>
      <x:c r="M12" s="12" t="str">
        <x:v>Matched</x:v>
      </x:c>
      <x:c r="N12" t="str"/>
    </x:row>
    <x:row r="13">
      <x:c r="A13" s="12" t="str">
        <x:v>EXVV21G041</x:v>
      </x:c>
      <x:c r="B13" s="12" t="str">
        <x:v>Excavator</x:v>
      </x:c>
      <x:c r="C13" s="12" t="str">
        <x:v>EXCAVATOR VOLVO EC210D</x:v>
      </x:c>
      <x:c r="D13" s="12" t="str">
        <x:v>EXVV21</x:v>
      </x:c>
      <x:c r="E13" s="12" t="str">
        <x:v>EXVV21G041</x:v>
      </x:c>
      <x:c r="F13" s="12" t="str">
        <x:v>EXCAVATOR 210D</x:v>
      </x:c>
      <x:c r="G13" s="18" t="n">
        <x:v>20</x:v>
      </x:c>
      <x:c r="H13" s="12" t="str">
        <x:v>L/HM</x:v>
      </x:c>
      <x:c r="I13" s="12" t="n">
        <x:v>23</x:v>
      </x:c>
      <x:c r="J13" s="14" t="n">
        <x:v>46174</x:v>
      </x:c>
      <x:c r="K13" s="14" t="n">
        <x:v>46190</x:v>
      </x:c>
      <x:c r="L13" s="12" t="str">
        <x:v>Active</x:v>
      </x:c>
      <x:c r="M13" s="12" t="str">
        <x:v>Matched</x:v>
      </x:c>
      <x:c r="N13" t="str"/>
    </x:row>
    <x:row r="14">
      <x:c r="A14" s="12" t="str">
        <x:v>EXVV21G042</x:v>
      </x:c>
      <x:c r="B14" s="12" t="str">
        <x:v>Excavator</x:v>
      </x:c>
      <x:c r="C14" s="12" t="str">
        <x:v>EXCAVATOR VOLVO EC210D</x:v>
      </x:c>
      <x:c r="D14" s="12" t="str">
        <x:v>EXVV21</x:v>
      </x:c>
      <x:c r="E14" s="12" t="str">
        <x:v>EXVV21G042</x:v>
      </x:c>
      <x:c r="F14" s="12" t="str">
        <x:v>EXCAVATOR 210D</x:v>
      </x:c>
      <x:c r="G14" s="18" t="n">
        <x:v>20</x:v>
      </x:c>
      <x:c r="H14" s="12" t="str">
        <x:v>L/HM</x:v>
      </x:c>
      <x:c r="I14" s="12" t="n">
        <x:v>32</x:v>
      </x:c>
      <x:c r="J14" s="14" t="n">
        <x:v>46174</x:v>
      </x:c>
      <x:c r="K14" s="14" t="n">
        <x:v>46193</x:v>
      </x:c>
      <x:c r="L14" s="12" t="str">
        <x:v>Active</x:v>
      </x:c>
      <x:c r="M14" s="12" t="str">
        <x:v>Matched</x:v>
      </x:c>
      <x:c r="N14" t="str"/>
    </x:row>
    <x:row r="15">
      <x:c r="A15" s="12" t="str">
        <x:v>EXVV21G043</x:v>
      </x:c>
      <x:c r="B15" s="12" t="str">
        <x:v>Excavator</x:v>
      </x:c>
      <x:c r="C15" s="12" t="str">
        <x:v>EXCAVATOR VOLVO EC210D</x:v>
      </x:c>
      <x:c r="D15" s="12" t="str">
        <x:v>EXVV21</x:v>
      </x:c>
      <x:c r="E15" s="12" t="str">
        <x:v>EXVV21G043</x:v>
      </x:c>
      <x:c r="F15" s="12" t="str">
        <x:v>EXCAVATOR 210D</x:v>
      </x:c>
      <x:c r="G15" s="18" t="n">
        <x:v>20</x:v>
      </x:c>
      <x:c r="H15" s="12" t="str">
        <x:v>L/HM</x:v>
      </x:c>
      <x:c r="I15" s="12" t="n">
        <x:v>24</x:v>
      </x:c>
      <x:c r="J15" s="14" t="n">
        <x:v>46174</x:v>
      </x:c>
      <x:c r="K15" s="14" t="n">
        <x:v>46194</x:v>
      </x:c>
      <x:c r="L15" s="12" t="str">
        <x:v>Active</x:v>
      </x:c>
      <x:c r="M15" s="12" t="str">
        <x:v>Matched</x:v>
      </x:c>
      <x:c r="N15" t="str"/>
    </x:row>
    <x:row r="16">
      <x:c r="A16" s="12" t="str">
        <x:v>EXVV35G002</x:v>
      </x:c>
      <x:c r="B16" s="12" t="str">
        <x:v>Excavator</x:v>
      </x:c>
      <x:c r="C16" s="12" t="str">
        <x:v>EXCAVATOR VOLVO EC350D</x:v>
      </x:c>
      <x:c r="D16" s="12" t="str">
        <x:v>EXVV35</x:v>
      </x:c>
      <x:c r="E16" s="12" t="str">
        <x:v>EXVV35G002</x:v>
      </x:c>
      <x:c r="F16" s="12" t="str">
        <x:v>EXCAVATOR 350D</x:v>
      </x:c>
      <x:c r="G16" s="18" t="n">
        <x:v>25</x:v>
      </x:c>
      <x:c r="H16" s="12" t="str">
        <x:v>L/HM</x:v>
      </x:c>
      <x:c r="I16" s="12" t="n">
        <x:v>6</x:v>
      </x:c>
      <x:c r="J16" s="14" t="n">
        <x:v>46174</x:v>
      </x:c>
      <x:c r="K16" s="14" t="n">
        <x:v>46177</x:v>
      </x:c>
      <x:c r="L16" s="12" t="str">
        <x:v>Active</x:v>
      </x:c>
      <x:c r="M16" s="12" t="str">
        <x:v>Matched</x:v>
      </x:c>
      <x:c r="N16" t="str"/>
    </x:row>
    <x:row r="17">
      <x:c r="A17" s="12" t="str">
        <x:v>EXVV35G004</x:v>
      </x:c>
      <x:c r="B17" s="12" t="str">
        <x:v>Excavator</x:v>
      </x:c>
      <x:c r="C17" s="12" t="str">
        <x:v>EXCAVATOR VOLVO EC350D</x:v>
      </x:c>
      <x:c r="D17" s="12" t="str">
        <x:v>EXVV35</x:v>
      </x:c>
      <x:c r="E17" s="12" t="str">
        <x:v>EXVV35G004</x:v>
      </x:c>
      <x:c r="F17" s="12" t="str">
        <x:v>EXCAVATOR 350D</x:v>
      </x:c>
      <x:c r="G17" s="18" t="n">
        <x:v>25</x:v>
      </x:c>
      <x:c r="H17" s="12" t="str">
        <x:v>L/HM</x:v>
      </x:c>
      <x:c r="I17" s="12" t="n">
        <x:v>14</x:v>
      </x:c>
      <x:c r="J17" s="14" t="n">
        <x:v>46174</x:v>
      </x:c>
      <x:c r="K17" s="14" t="n">
        <x:v>46189</x:v>
      </x:c>
      <x:c r="L17" s="12" t="str">
        <x:v>Active</x:v>
      </x:c>
      <x:c r="M17" s="12" t="str">
        <x:v>Matched</x:v>
      </x:c>
      <x:c r="N17" t="str"/>
    </x:row>
    <x:row r="18">
      <x:c r="A18" s="12" t="str">
        <x:v>EXVV35G005</x:v>
      </x:c>
      <x:c r="B18" s="12" t="str">
        <x:v>Excavator</x:v>
      </x:c>
      <x:c r="C18" s="12" t="str">
        <x:v>EXCAVATOR VOLVO EC350D</x:v>
      </x:c>
      <x:c r="D18" s="12" t="str">
        <x:v>EXVV35</x:v>
      </x:c>
      <x:c r="E18" s="12" t="str">
        <x:v>EXVV35G005</x:v>
      </x:c>
      <x:c r="F18" s="12" t="str">
        <x:v>EXCAVATOR 350D</x:v>
      </x:c>
      <x:c r="G18" s="18" t="n">
        <x:v>25</x:v>
      </x:c>
      <x:c r="H18" s="12" t="str">
        <x:v>L/HM</x:v>
      </x:c>
      <x:c r="I18" s="12" t="n">
        <x:v>35</x:v>
      </x:c>
      <x:c r="J18" s="14" t="n">
        <x:v>46174</x:v>
      </x:c>
      <x:c r="K18" s="14" t="n">
        <x:v>46193</x:v>
      </x:c>
      <x:c r="L18" s="12" t="str">
        <x:v>Active</x:v>
      </x:c>
      <x:c r="M18" s="12" t="str">
        <x:v>Matched</x:v>
      </x:c>
      <x:c r="N18" t="str"/>
    </x:row>
    <x:row r="19">
      <x:c r="A19" s="12" t="str">
        <x:v>EXVV35G006</x:v>
      </x:c>
      <x:c r="B19" s="12" t="str">
        <x:v>Excavator</x:v>
      </x:c>
      <x:c r="C19" s="12" t="str">
        <x:v>EXCAVATOR VOLVO EC350D</x:v>
      </x:c>
      <x:c r="D19" s="12" t="str">
        <x:v>EXVV35</x:v>
      </x:c>
      <x:c r="E19" s="12" t="str">
        <x:v>EXVV35G006</x:v>
      </x:c>
      <x:c r="F19" s="12" t="str">
        <x:v>EXCAVATOR 350D</x:v>
      </x:c>
      <x:c r="G19" s="18" t="n">
        <x:v>25</x:v>
      </x:c>
      <x:c r="H19" s="12" t="str">
        <x:v>L/HM</x:v>
      </x:c>
      <x:c r="I19" s="12" t="n">
        <x:v>28</x:v>
      </x:c>
      <x:c r="J19" s="14" t="n">
        <x:v>46174</x:v>
      </x:c>
      <x:c r="K19" s="14" t="n">
        <x:v>46191</x:v>
      </x:c>
      <x:c r="L19" s="12" t="str">
        <x:v>Active</x:v>
      </x:c>
      <x:c r="M19" s="12" t="str">
        <x:v>Matched</x:v>
      </x:c>
      <x:c r="N19" t="str"/>
    </x:row>
    <x:row r="20">
      <x:c r="A20" s="12" t="str">
        <x:v>EXVV35G007</x:v>
      </x:c>
      <x:c r="B20" s="12" t="str">
        <x:v>Excavator</x:v>
      </x:c>
      <x:c r="C20" s="12" t="str">
        <x:v>EXCAVATOR VOLVO EC350D</x:v>
      </x:c>
      <x:c r="D20" s="12" t="str">
        <x:v>EXVV35</x:v>
      </x:c>
      <x:c r="E20" s="12" t="str">
        <x:v>EXVV35G007</x:v>
      </x:c>
      <x:c r="F20" s="12" t="str">
        <x:v>EXCAVATOR 350D</x:v>
      </x:c>
      <x:c r="G20" s="18" t="n">
        <x:v>25</x:v>
      </x:c>
      <x:c r="H20" s="12" t="str">
        <x:v>L/HM</x:v>
      </x:c>
      <x:c r="I20" s="12" t="n">
        <x:v>24</x:v>
      </x:c>
      <x:c r="J20" s="14" t="n">
        <x:v>46175</x:v>
      </x:c>
      <x:c r="K20" s="14" t="n">
        <x:v>46193</x:v>
      </x:c>
      <x:c r="L20" s="12" t="str">
        <x:v>Active</x:v>
      </x:c>
      <x:c r="M20" s="12" t="str">
        <x:v>Matched</x:v>
      </x:c>
      <x:c r="N20" t="str"/>
    </x:row>
    <x:row r="21">
      <x:c r="A21" s="12" t="str">
        <x:v>FTRL44G004</x:v>
      </x:c>
      <x:c r="B21" s="12" t="str">
        <x:v>Fuel Truck</x:v>
      </x:c>
      <x:c r="C21" s="12" t="str">
        <x:v>FUEL TRUCK RENAULT KRANGE440-P6X4 A/T</x:v>
      </x:c>
      <x:c r="D21" s="12" t="str">
        <x:v>FTRL44</x:v>
      </x:c>
      <x:c r="E21" s="12" t="str">
        <x:v>FTRL44G004</x:v>
      </x:c>
      <x:c r="F21" s="12" t="str">
        <x:v>FUEL TRUCK</x:v>
      </x:c>
      <x:c r="G21" s="18" t="n">
        <x:v>13</x:v>
      </x:c>
      <x:c r="H21" s="12" t="str">
        <x:v>L/HM</x:v>
      </x:c>
      <x:c r="I21" s="12" t="n">
        <x:v>10</x:v>
      </x:c>
      <x:c r="J21" s="14" t="n">
        <x:v>46174</x:v>
      </x:c>
      <x:c r="K21" s="14" t="n">
        <x:v>46191</x:v>
      </x:c>
      <x:c r="L21" s="12" t="str">
        <x:v>Active</x:v>
      </x:c>
      <x:c r="M21" s="12" t="str">
        <x:v>Matched</x:v>
      </x:c>
      <x:c r="N21" t="str"/>
    </x:row>
    <x:row r="22">
      <x:c r="A22" s="12" t="str">
        <x:v>FTRL44G005</x:v>
      </x:c>
      <x:c r="B22" s="12" t="str">
        <x:v>Fuel Truck</x:v>
      </x:c>
      <x:c r="C22" s="12" t="str">
        <x:v>FUEL TRUCK RENAULT KRANGE440-P6X4 A/T</x:v>
      </x:c>
      <x:c r="D22" s="12" t="str">
        <x:v>FTRL44</x:v>
      </x:c>
      <x:c r="E22" s="12" t="str">
        <x:v>FTRL44G005</x:v>
      </x:c>
      <x:c r="F22" s="12" t="str">
        <x:v>FUEL TRUCK</x:v>
      </x:c>
      <x:c r="G22" s="18" t="n">
        <x:v>13</x:v>
      </x:c>
      <x:c r="H22" s="12" t="str">
        <x:v>L/HM</x:v>
      </x:c>
      <x:c r="I22" s="12" t="n">
        <x:v>10</x:v>
      </x:c>
      <x:c r="J22" s="14" t="n">
        <x:v>46174</x:v>
      </x:c>
      <x:c r="K22" s="14" t="n">
        <x:v>46198</x:v>
      </x:c>
      <x:c r="L22" s="12" t="str">
        <x:v>Active</x:v>
      </x:c>
      <x:c r="M22" s="12" t="str">
        <x:v>Matched</x:v>
      </x:c>
      <x:c r="N22" t="str"/>
    </x:row>
    <x:row r="23">
      <x:c r="A23" s="12" t="str">
        <x:v>GSHT10G001</x:v>
      </x:c>
      <x:c r="B23" s="12" t="str">
        <x:v>Genset</x:v>
      </x:c>
      <x:c r="C23" s="12" t="str">
        <x:v>GENSET HARTECH HT-10</x:v>
      </x:c>
      <x:c r="D23" s="12" t="str">
        <x:v>GSHT10</x:v>
      </x:c>
      <x:c r="E23" s="12" t="str">
        <x:v>GSHT10G001</x:v>
      </x:c>
      <x:c r="F23" s="12" t="str">
        <x:v>GENSET HARTEC 10KVA</x:v>
      </x:c>
      <x:c r="G23" s="18" t="n">
        <x:v>3</x:v>
      </x:c>
      <x:c r="H23" s="12" t="str">
        <x:v>L/HM</x:v>
      </x:c>
      <x:c r="I23" s="12" t="n">
        <x:v>17</x:v>
      </x:c>
      <x:c r="J23" s="14" t="n">
        <x:v>46174</x:v>
      </x:c>
      <x:c r="K23" s="14" t="n">
        <x:v>46196</x:v>
      </x:c>
      <x:c r="L23" s="12" t="str">
        <x:v>Active</x:v>
      </x:c>
      <x:c r="M23" s="12" t="str">
        <x:v>Matched</x:v>
      </x:c>
      <x:c r="N23" t="str"/>
    </x:row>
    <x:row r="24">
      <x:c r="A24" s="12" t="str">
        <x:v>GSHT10G002</x:v>
      </x:c>
      <x:c r="B24" s="12" t="str">
        <x:v>Genset</x:v>
      </x:c>
      <x:c r="C24" s="12" t="str">
        <x:v>GENSET HARTECH HT-10</x:v>
      </x:c>
      <x:c r="D24" s="12" t="str">
        <x:v>GSHT10</x:v>
      </x:c>
      <x:c r="E24" s="12" t="str">
        <x:v>GSHT10G002</x:v>
      </x:c>
      <x:c r="F24" s="12" t="str">
        <x:v>GENSET HARTEC 10KVA</x:v>
      </x:c>
      <x:c r="G24" s="18" t="n">
        <x:v>3</x:v>
      </x:c>
      <x:c r="H24" s="12" t="str">
        <x:v>L/HM</x:v>
      </x:c>
      <x:c r="I24" s="12" t="n">
        <x:v>18</x:v>
      </x:c>
      <x:c r="J24" s="14" t="n">
        <x:v>46174</x:v>
      </x:c>
      <x:c r="K24" s="14" t="n">
        <x:v>46195</x:v>
      </x:c>
      <x:c r="L24" s="12" t="str">
        <x:v>Active</x:v>
      </x:c>
      <x:c r="M24" s="12" t="str">
        <x:v>Matched</x:v>
      </x:c>
      <x:c r="N24" t="str"/>
    </x:row>
    <x:row r="25">
      <x:c r="A25" s="12" t="str">
        <x:v>GSHT25G001</x:v>
      </x:c>
      <x:c r="B25" s="12" t="str">
        <x:v>Genset</x:v>
      </x:c>
      <x:c r="C25" s="12" t="str">
        <x:v>GENSET HARTECH HT-250-V</x:v>
      </x:c>
      <x:c r="D25" s="12" t="str">
        <x:v>GSHT25</x:v>
      </x:c>
      <x:c r="E25" s="12" t="str">
        <x:v>GSHT25G001</x:v>
      </x:c>
      <x:c r="F25" s="12" t="str">
        <x:v>GENSET HARTEC 250KVA</x:v>
      </x:c>
      <x:c r="G25" s="18" t="n">
        <x:v>15</x:v>
      </x:c>
      <x:c r="H25" s="12" t="str">
        <x:v>L/HM</x:v>
      </x:c>
      <x:c r="I25" s="12" t="n">
        <x:v>11</x:v>
      </x:c>
      <x:c r="J25" s="14" t="n">
        <x:v>46174</x:v>
      </x:c>
      <x:c r="K25" s="14" t="n">
        <x:v>46199</x:v>
      </x:c>
      <x:c r="L25" s="12" t="str">
        <x:v>Active</x:v>
      </x:c>
      <x:c r="M25" s="12" t="str">
        <x:v>Matched</x:v>
      </x:c>
      <x:c r="N25" t="str"/>
    </x:row>
    <x:row r="26">
      <x:c r="A26" s="12" t="str">
        <x:v>GSHT40G002</x:v>
      </x:c>
      <x:c r="B26" s="12" t="str">
        <x:v>Genset</x:v>
      </x:c>
      <x:c r="C26" s="12" t="str">
        <x:v>GENSET HARTECH HT-400-V</x:v>
      </x:c>
      <x:c r="D26" s="12" t="str">
        <x:v>GSHT40</x:v>
      </x:c>
      <x:c r="E26" s="12" t="str">
        <x:v>GSHT40G002</x:v>
      </x:c>
      <x:c r="F26" s="12" t="str">
        <x:v>GENSET HARTEC 400KVA</x:v>
      </x:c>
      <x:c r="G26" s="18" t="n">
        <x:v>25</x:v>
      </x:c>
      <x:c r="H26" s="12" t="str">
        <x:v>L/HM</x:v>
      </x:c>
      <x:c r="I26" s="12" t="n">
        <x:v>17</x:v>
      </x:c>
      <x:c r="J26" s="14" t="n">
        <x:v>46175</x:v>
      </x:c>
      <x:c r="K26" s="14" t="n">
        <x:v>46200</x:v>
      </x:c>
      <x:c r="L26" s="12" t="str">
        <x:v>Active</x:v>
      </x:c>
      <x:c r="M26" s="12" t="str">
        <x:v>Matched</x:v>
      </x:c>
      <x:c r="N26" t="str"/>
    </x:row>
    <x:row r="27">
      <x:c r="A27" s="12" t="str">
        <x:v>LTRL44G002</x:v>
      </x:c>
      <x:c r="B27" s="12" t="str">
        <x:v>Lube Truck</x:v>
      </x:c>
      <x:c r="C27" s="12" t="str">
        <x:v>LUBE TRUCK RENAULT KRANGE440-P6X4 A/T</x:v>
      </x:c>
      <x:c r="D27" s="12" t="str">
        <x:v>LTRL44</x:v>
      </x:c>
      <x:c r="E27" s="12" t="str">
        <x:v>LTRL44G002</x:v>
      </x:c>
      <x:c r="F27" s="12" t="str">
        <x:v>LUBE TRUCK</x:v>
      </x:c>
      <x:c r="G27" s="18" t="n">
        <x:v>20</x:v>
      </x:c>
      <x:c r="H27" s="12" t="str">
        <x:v>L/HM</x:v>
      </x:c>
      <x:c r="I27" s="12" t="n">
        <x:v>8</x:v>
      </x:c>
      <x:c r="J27" s="14" t="n">
        <x:v>46174</x:v>
      </x:c>
      <x:c r="K27" s="14" t="n">
        <x:v>46192</x:v>
      </x:c>
      <x:c r="L27" s="12" t="str">
        <x:v>Active</x:v>
      </x:c>
      <x:c r="M27" s="12" t="str">
        <x:v>Matched</x:v>
      </x:c>
      <x:c r="N27" t="str"/>
    </x:row>
    <x:row r="28">
      <x:c r="A28" s="12" t="str">
        <x:v>LVMP25R005</x:v>
      </x:c>
      <x:c r="B28" s="12" t="str">
        <x:v>Light Vehicle</x:v>
      </x:c>
      <x:c r="C28" s="12" t="str">
        <x:v>LIGHT VEHICLE MITSUBISHI PAJERO</x:v>
      </x:c>
      <x:c r="D28" s="12" t="str">
        <x:v>LVMP25</x:v>
      </x:c>
      <x:c r="E28" s="12" t="str">
        <x:v>LVMP25R005</x:v>
      </x:c>
      <x:c r="F28" s="12" t="str"/>
      <x:c r="G28" s="18"/>
      <x:c r="H28" s="12" t="str"/>
      <x:c r="I28" s="12" t="n">
        <x:v>13</x:v>
      </x:c>
      <x:c r="J28" s="14" t="n">
        <x:v>46174</x:v>
      </x:c>
      <x:c r="K28" s="14" t="n">
        <x:v>46200</x:v>
      </x:c>
      <x:c r="L28" s="12" t="str">
        <x:v>Active</x:v>
      </x:c>
      <x:c r="M28" s="12" t="str">
        <x:v>No Standard</x:v>
      </x:c>
      <x:c r="N28" t="str">
        <x:v>No standard in source workbook</x:v>
      </x:c>
    </x:row>
    <x:row r="29">
      <x:c r="A29" s="12" t="str">
        <x:v>LVTH24R023</x:v>
      </x:c>
      <x:c r="B29" s="12" t="str">
        <x:v>Light Vehicle</x:v>
      </x:c>
      <x:c r="C29" s="12" t="str">
        <x:v>LIGHT VEHICLE TOYOTA HILUX</x:v>
      </x:c>
      <x:c r="D29" s="12" t="str">
        <x:v>LVTH24</x:v>
      </x:c>
      <x:c r="E29" s="12" t="str">
        <x:v>LVTH24R023</x:v>
      </x:c>
      <x:c r="F29" s="12" t="str">
        <x:v>LV HILUX</x:v>
      </x:c>
      <x:c r="G29" s="18" t="n">
        <x:v>0.2</x:v>
      </x:c>
      <x:c r="H29" s="12" t="str">
        <x:v>L/HM</x:v>
      </x:c>
      <x:c r="I29" s="12" t="n">
        <x:v>11</x:v>
      </x:c>
      <x:c r="J29" s="14" t="n">
        <x:v>46174</x:v>
      </x:c>
      <x:c r="K29" s="14" t="n">
        <x:v>46198</x:v>
      </x:c>
      <x:c r="L29" s="12" t="str">
        <x:v>Active</x:v>
      </x:c>
      <x:c r="M29" s="12" t="str">
        <x:v>Matched</x:v>
      </x:c>
      <x:c r="N29" t="str"/>
    </x:row>
    <x:row r="30">
      <x:c r="A30" s="12" t="str">
        <x:v>LVTH24R024</x:v>
      </x:c>
      <x:c r="B30" s="12" t="str">
        <x:v>Light Vehicle</x:v>
      </x:c>
      <x:c r="C30" s="12" t="str">
        <x:v>LIGHT VEHICLE TOYOTA HILUX</x:v>
      </x:c>
      <x:c r="D30" s="12" t="str">
        <x:v>LVTH24</x:v>
      </x:c>
      <x:c r="E30" s="12" t="str">
        <x:v>LVTH24R024</x:v>
      </x:c>
      <x:c r="F30" s="12" t="str">
        <x:v>LV HILUX</x:v>
      </x:c>
      <x:c r="G30" s="18" t="n">
        <x:v>0.2</x:v>
      </x:c>
      <x:c r="H30" s="12" t="str">
        <x:v>L/HM</x:v>
      </x:c>
      <x:c r="I30" s="12" t="n">
        <x:v>18</x:v>
      </x:c>
      <x:c r="J30" s="14" t="n">
        <x:v>46174</x:v>
      </x:c>
      <x:c r="K30" s="14" t="n">
        <x:v>46197</x:v>
      </x:c>
      <x:c r="L30" s="12" t="str">
        <x:v>Active</x:v>
      </x:c>
      <x:c r="M30" s="12" t="str">
        <x:v>Matched</x:v>
      </x:c>
      <x:c r="N30" t="str"/>
    </x:row>
    <x:row r="31">
      <x:c r="A31" s="12" t="str">
        <x:v>LVTH24R026</x:v>
      </x:c>
      <x:c r="B31" s="12" t="str">
        <x:v>Light Vehicle</x:v>
      </x:c>
      <x:c r="C31" s="12" t="str">
        <x:v>LIGHT VEHICLE TOYOTA HILUX</x:v>
      </x:c>
      <x:c r="D31" s="12" t="str">
        <x:v>LVTH24</x:v>
      </x:c>
      <x:c r="E31" s="12" t="str">
        <x:v>LVTH24R026</x:v>
      </x:c>
      <x:c r="F31" s="12" t="str">
        <x:v>LV HILUX</x:v>
      </x:c>
      <x:c r="G31" s="18" t="n">
        <x:v>0.2</x:v>
      </x:c>
      <x:c r="H31" s="12" t="str">
        <x:v>L/HM</x:v>
      </x:c>
      <x:c r="I31" s="12" t="n">
        <x:v>19</x:v>
      </x:c>
      <x:c r="J31" s="14" t="n">
        <x:v>46174</x:v>
      </x:c>
      <x:c r="K31" s="14" t="n">
        <x:v>46197</x:v>
      </x:c>
      <x:c r="L31" s="12" t="str">
        <x:v>Active</x:v>
      </x:c>
      <x:c r="M31" s="12" t="str">
        <x:v>Matched</x:v>
      </x:c>
      <x:c r="N31" t="str"/>
    </x:row>
    <x:row r="32">
      <x:c r="A32" s="12" t="str">
        <x:v>LVTH24R033</x:v>
      </x:c>
      <x:c r="B32" s="12" t="str">
        <x:v>Light Vehicle</x:v>
      </x:c>
      <x:c r="C32" s="12" t="str">
        <x:v>LIGHT VEHICLE TOYOTA HILUX</x:v>
      </x:c>
      <x:c r="D32" s="12" t="str">
        <x:v>LVTH24</x:v>
      </x:c>
      <x:c r="E32" s="12" t="str">
        <x:v>LVTH24R033</x:v>
      </x:c>
      <x:c r="F32" s="12" t="str">
        <x:v>LV HILUX</x:v>
      </x:c>
      <x:c r="G32" s="18" t="n">
        <x:v>0.2</x:v>
      </x:c>
      <x:c r="H32" s="12" t="str">
        <x:v>L/HM</x:v>
      </x:c>
      <x:c r="I32" s="12" t="n">
        <x:v>27</x:v>
      </x:c>
      <x:c r="J32" s="14" t="n">
        <x:v>46174</x:v>
      </x:c>
      <x:c r="K32" s="14" t="n">
        <x:v>46200</x:v>
      </x:c>
      <x:c r="L32" s="12" t="str">
        <x:v>Active</x:v>
      </x:c>
      <x:c r="M32" s="12" t="str">
        <x:v>Matched</x:v>
      </x:c>
      <x:c r="N32" t="str"/>
    </x:row>
    <x:row r="33">
      <x:c r="A33" s="12" t="str">
        <x:v>LVTH24R034</x:v>
      </x:c>
      <x:c r="B33" s="12" t="str">
        <x:v>Light Vehicle</x:v>
      </x:c>
      <x:c r="C33" s="12" t="str">
        <x:v>LIGHT VEHICLE TOYOTA HILUX</x:v>
      </x:c>
      <x:c r="D33" s="12" t="str">
        <x:v>LVTH24</x:v>
      </x:c>
      <x:c r="E33" s="12" t="str">
        <x:v>LVTH24R034</x:v>
      </x:c>
      <x:c r="F33" s="12" t="str">
        <x:v>LV HILUX</x:v>
      </x:c>
      <x:c r="G33" s="18" t="n">
        <x:v>0.2</x:v>
      </x:c>
      <x:c r="H33" s="12" t="str">
        <x:v>L/HM</x:v>
      </x:c>
      <x:c r="I33" s="12" t="n">
        <x:v>20</x:v>
      </x:c>
      <x:c r="J33" s="14" t="n">
        <x:v>46174</x:v>
      </x:c>
      <x:c r="K33" s="14" t="n">
        <x:v>46198</x:v>
      </x:c>
      <x:c r="L33" s="12" t="str">
        <x:v>Active</x:v>
      </x:c>
      <x:c r="M33" s="12" t="str">
        <x:v>Matched</x:v>
      </x:c>
      <x:c r="N33" t="str"/>
    </x:row>
    <x:row r="34">
      <x:c r="A34" s="12" t="str">
        <x:v>LVTH24R035</x:v>
      </x:c>
      <x:c r="B34" s="12" t="str">
        <x:v>Light Vehicle</x:v>
      </x:c>
      <x:c r="C34" s="12" t="str">
        <x:v>LIGHT VEHICLE TOYOTA HILUX</x:v>
      </x:c>
      <x:c r="D34" s="12" t="str">
        <x:v>LVTH24</x:v>
      </x:c>
      <x:c r="E34" s="12" t="str">
        <x:v>LVTH24R035</x:v>
      </x:c>
      <x:c r="F34" s="12" t="str">
        <x:v>LV HILUX</x:v>
      </x:c>
      <x:c r="G34" s="18" t="n">
        <x:v>0.2</x:v>
      </x:c>
      <x:c r="H34" s="12" t="str">
        <x:v>L/HM</x:v>
      </x:c>
      <x:c r="I34" s="12" t="n">
        <x:v>25</x:v>
      </x:c>
      <x:c r="J34" s="14" t="n">
        <x:v>46174</x:v>
      </x:c>
      <x:c r="K34" s="14" t="n">
        <x:v>46200</x:v>
      </x:c>
      <x:c r="L34" s="12" t="str">
        <x:v>Active</x:v>
      </x:c>
      <x:c r="M34" s="12" t="str">
        <x:v>Matched</x:v>
      </x:c>
      <x:c r="N34" t="str"/>
    </x:row>
    <x:row r="35">
      <x:c r="A35" s="12" t="str">
        <x:v>LVTH24R036</x:v>
      </x:c>
      <x:c r="B35" s="12" t="str">
        <x:v>Light Vehicle</x:v>
      </x:c>
      <x:c r="C35" s="12" t="str">
        <x:v>LIGHT VEHICLE TOYOTA HILUX</x:v>
      </x:c>
      <x:c r="D35" s="12" t="str">
        <x:v>LVTH24</x:v>
      </x:c>
      <x:c r="E35" s="12" t="str">
        <x:v>LVTH24R036</x:v>
      </x:c>
      <x:c r="F35" s="12" t="str">
        <x:v>LV HILUX</x:v>
      </x:c>
      <x:c r="G35" s="18" t="n">
        <x:v>0.2</x:v>
      </x:c>
      <x:c r="H35" s="12" t="str">
        <x:v>L/HM</x:v>
      </x:c>
      <x:c r="I35" s="12" t="n">
        <x:v>11</x:v>
      </x:c>
      <x:c r="J35" s="14" t="n">
        <x:v>46175</x:v>
      </x:c>
      <x:c r="K35" s="14" t="n">
        <x:v>46197</x:v>
      </x:c>
      <x:c r="L35" s="12" t="str">
        <x:v>Active</x:v>
      </x:c>
      <x:c r="M35" s="12" t="str">
        <x:v>Matched</x:v>
      </x:c>
      <x:c r="N35" t="str"/>
    </x:row>
    <x:row r="36">
      <x:c r="A36" s="12" t="str">
        <x:v>LVTH24R052</x:v>
      </x:c>
      <x:c r="B36" s="12" t="str">
        <x:v>Light Vehicle</x:v>
      </x:c>
      <x:c r="C36" s="12" t="str">
        <x:v>LIGHT VEHICLE TOYOTA HILUX</x:v>
      </x:c>
      <x:c r="D36" s="12" t="str">
        <x:v>LVTH24</x:v>
      </x:c>
      <x:c r="E36" s="12" t="str">
        <x:v>LVTH24R052</x:v>
      </x:c>
      <x:c r="F36" s="12" t="str">
        <x:v>LV HILUX</x:v>
      </x:c>
      <x:c r="G36" s="18" t="n">
        <x:v>0.2</x:v>
      </x:c>
      <x:c r="H36" s="12" t="str">
        <x:v>L/HM</x:v>
      </x:c>
      <x:c r="I36" s="12" t="n">
        <x:v>9</x:v>
      </x:c>
      <x:c r="J36" s="14" t="n">
        <x:v>46175</x:v>
      </x:c>
      <x:c r="K36" s="14" t="n">
        <x:v>46198</x:v>
      </x:c>
      <x:c r="L36" s="12" t="str">
        <x:v>Active</x:v>
      </x:c>
      <x:c r="M36" s="12" t="str">
        <x:v>Matched</x:v>
      </x:c>
      <x:c r="N36" t="str"/>
    </x:row>
    <x:row r="37">
      <x:c r="A37" s="12" t="str">
        <x:v>LVTH24R053</x:v>
      </x:c>
      <x:c r="B37" s="12" t="str">
        <x:v>Light Vehicle</x:v>
      </x:c>
      <x:c r="C37" s="12" t="str">
        <x:v>LIGHT VEHICLE TOYOTA HILUX</x:v>
      </x:c>
      <x:c r="D37" s="12" t="str">
        <x:v>LVTH24</x:v>
      </x:c>
      <x:c r="E37" s="12" t="str">
        <x:v>LVTH24R053</x:v>
      </x:c>
      <x:c r="F37" s="12" t="str">
        <x:v>LV HILUX</x:v>
      </x:c>
      <x:c r="G37" s="18" t="n">
        <x:v>0.2</x:v>
      </x:c>
      <x:c r="H37" s="12" t="str">
        <x:v>L/HM</x:v>
      </x:c>
      <x:c r="I37" s="12" t="n">
        <x:v>11</x:v>
      </x:c>
      <x:c r="J37" s="14" t="n">
        <x:v>46176</x:v>
      </x:c>
      <x:c r="K37" s="14" t="n">
        <x:v>46199</x:v>
      </x:c>
      <x:c r="L37" s="12" t="str">
        <x:v>Active</x:v>
      </x:c>
      <x:c r="M37" s="12" t="str">
        <x:v>Matched</x:v>
      </x:c>
      <x:c r="N37" t="str"/>
    </x:row>
    <x:row r="38">
      <x:c r="A38" s="12" t="str">
        <x:v>MGSD20G006</x:v>
      </x:c>
      <x:c r="B38" s="12" t="str">
        <x:v>Other</x:v>
      </x:c>
      <x:c r="C38" s="12" t="str">
        <x:v>MOTOR GRADER SDLG GD9220F</x:v>
      </x:c>
      <x:c r="D38" s="12" t="str">
        <x:v>MGSD20</x:v>
      </x:c>
      <x:c r="E38" s="12" t="str">
        <x:v>MGSD20G006</x:v>
      </x:c>
      <x:c r="F38" s="12" t="str">
        <x:v>MOTOR GREDER</x:v>
      </x:c>
      <x:c r="G38" s="18" t="n">
        <x:v>20</x:v>
      </x:c>
      <x:c r="H38" s="12" t="str">
        <x:v>L/HM</x:v>
      </x:c>
      <x:c r="I38" s="12" t="n">
        <x:v>9</x:v>
      </x:c>
      <x:c r="J38" s="14" t="n">
        <x:v>46187</x:v>
      </x:c>
      <x:c r="K38" s="14" t="n">
        <x:v>46193</x:v>
      </x:c>
      <x:c r="L38" s="12" t="str">
        <x:v>Active</x:v>
      </x:c>
      <x:c r="M38" s="12" t="str">
        <x:v>Matched</x:v>
      </x:c>
      <x:c r="N38" t="str"/>
    </x:row>
    <x:row r="39">
      <x:c r="A39" s="12" t="str">
        <x:v>MGSD20G007</x:v>
      </x:c>
      <x:c r="B39" s="12" t="str">
        <x:v>Other</x:v>
      </x:c>
      <x:c r="C39" s="12" t="str">
        <x:v>MOTOR GRADER SDLG GD9220F</x:v>
      </x:c>
      <x:c r="D39" s="12" t="str">
        <x:v>MGSD20</x:v>
      </x:c>
      <x:c r="E39" s="12" t="str">
        <x:v>MGSD20G007</x:v>
      </x:c>
      <x:c r="F39" s="12" t="str">
        <x:v>MOTOR GREDER</x:v>
      </x:c>
      <x:c r="G39" s="18" t="n">
        <x:v>20</x:v>
      </x:c>
      <x:c r="H39" s="12" t="str">
        <x:v>L/HM</x:v>
      </x:c>
      <x:c r="I39" s="12" t="n">
        <x:v>19</x:v>
      </x:c>
      <x:c r="J39" s="14" t="n">
        <x:v>46174</x:v>
      </x:c>
      <x:c r="K39" s="14" t="n">
        <x:v>46188</x:v>
      </x:c>
      <x:c r="L39" s="12" t="str">
        <x:v>Active</x:v>
      </x:c>
      <x:c r="M39" s="12" t="str">
        <x:v>Matched</x:v>
      </x:c>
      <x:c r="N39" t="str"/>
    </x:row>
    <x:row r="40">
      <x:c r="A40" s="12" t="str">
        <x:v>MHHN13G004</x:v>
      </x:c>
      <x:c r="B40" s="12" t="str">
        <x:v>Other</x:v>
      </x:c>
      <x:c r="C40" s="12" t="str">
        <x:v>MAIN HAUL HINO 136-HDL</x:v>
      </x:c>
      <x:c r="D40" s="12" t="str">
        <x:v>MHHN13</x:v>
      </x:c>
      <x:c r="E40" s="12" t="str">
        <x:v>MHHN13G004</x:v>
      </x:c>
      <x:c r="F40" s="12" t="str">
        <x:v>MANHAUL</x:v>
      </x:c>
      <x:c r="G40" s="18" t="n">
        <x:v>0.5</x:v>
      </x:c>
      <x:c r="H40" s="12" t="str">
        <x:v>L/HM</x:v>
      </x:c>
      <x:c r="I40" s="12" t="n">
        <x:v>2</x:v>
      </x:c>
      <x:c r="J40" s="14" t="n">
        <x:v>46175</x:v>
      </x:c>
      <x:c r="K40" s="14" t="n">
        <x:v>46182</x:v>
      </x:c>
      <x:c r="L40" s="12" t="str">
        <x:v>Active</x:v>
      </x:c>
      <x:c r="M40" s="12" t="str">
        <x:v>Matched</x:v>
      </x:c>
      <x:c r="N40" t="str"/>
    </x:row>
    <x:row r="41">
      <x:c r="A41" s="12" t="str">
        <x:v>MHHN13G005</x:v>
      </x:c>
      <x:c r="B41" s="12" t="str">
        <x:v>Other</x:v>
      </x:c>
      <x:c r="C41" s="12" t="str">
        <x:v>MAIN HAUL HINO 136-HDL</x:v>
      </x:c>
      <x:c r="D41" s="12" t="str">
        <x:v>MHHN13</x:v>
      </x:c>
      <x:c r="E41" s="12" t="str">
        <x:v>MHHN13G005</x:v>
      </x:c>
      <x:c r="F41" s="12" t="str">
        <x:v>MANHAUL</x:v>
      </x:c>
      <x:c r="G41" s="18" t="n">
        <x:v>0.5</x:v>
      </x:c>
      <x:c r="H41" s="12" t="str">
        <x:v>L/HM</x:v>
      </x:c>
      <x:c r="I41" s="12" t="n">
        <x:v>2</x:v>
      </x:c>
      <x:c r="J41" s="14" t="n">
        <x:v>46175</x:v>
      </x:c>
      <x:c r="K41" s="14" t="n">
        <x:v>46192</x:v>
      </x:c>
      <x:c r="L41" s="12" t="str">
        <x:v>Active</x:v>
      </x:c>
      <x:c r="M41" s="12" t="str">
        <x:v>Matched</x:v>
      </x:c>
      <x:c r="N41" t="str"/>
    </x:row>
    <x:row r="42">
      <x:c r="A42" s="12" t="str">
        <x:v>MHHN13G006</x:v>
      </x:c>
      <x:c r="B42" s="12" t="str">
        <x:v>Other</x:v>
      </x:c>
      <x:c r="C42" s="12" t="str">
        <x:v>MAIN HAUL HINO 136-HDL</x:v>
      </x:c>
      <x:c r="D42" s="12" t="str">
        <x:v>MHHN13</x:v>
      </x:c>
      <x:c r="E42" s="12" t="str">
        <x:v>MHHN13G006</x:v>
      </x:c>
      <x:c r="F42" s="12" t="str">
        <x:v>MANHAUL</x:v>
      </x:c>
      <x:c r="G42" s="18" t="n">
        <x:v>0.5</x:v>
      </x:c>
      <x:c r="H42" s="12" t="str">
        <x:v>L/HM</x:v>
      </x:c>
      <x:c r="I42" s="12" t="n">
        <x:v>3</x:v>
      </x:c>
      <x:c r="J42" s="14" t="n">
        <x:v>46175</x:v>
      </x:c>
      <x:c r="K42" s="14" t="n">
        <x:v>46190</x:v>
      </x:c>
      <x:c r="L42" s="12" t="str">
        <x:v>Active</x:v>
      </x:c>
      <x:c r="M42" s="12" t="str">
        <x:v>Matched</x:v>
      </x:c>
      <x:c r="N42" t="str"/>
    </x:row>
    <x:row r="43">
      <x:c r="A43" s="12" t="str">
        <x:v>SLRL48G001</x:v>
      </x:c>
      <x:c r="B43" s="12" t="str">
        <x:v>Self Loader</x:v>
      </x:c>
      <x:c r="C43" s="12" t="str">
        <x:v>SELF LOADER RENAULT KRANGE480-P8X4 A/T</x:v>
      </x:c>
      <x:c r="D43" s="12" t="str">
        <x:v>SLRL48</x:v>
      </x:c>
      <x:c r="E43" s="12" t="str">
        <x:v>SLRL48G001</x:v>
      </x:c>
      <x:c r="F43" s="12" t="str">
        <x:v>SELF LOADER</x:v>
      </x:c>
      <x:c r="G43" s="18" t="n">
        <x:v>20</x:v>
      </x:c>
      <x:c r="H43" s="12" t="str">
        <x:v>L/HM</x:v>
      </x:c>
      <x:c r="I43" s="12" t="n">
        <x:v>4</x:v>
      </x:c>
      <x:c r="J43" s="14" t="n">
        <x:v>46181</x:v>
      </x:c>
      <x:c r="K43" s="14" t="n">
        <x:v>46191</x:v>
      </x:c>
      <x:c r="L43" s="12" t="str">
        <x:v>Active</x:v>
      </x:c>
      <x:c r="M43" s="12" t="str">
        <x:v>Matched</x:v>
      </x:c>
      <x:c r="N43" t="str"/>
    </x:row>
    <x:row r="44">
      <x:c r="A44" s="12" t="str">
        <x:v>STRL44G134</x:v>
      </x:c>
      <x:c r="B44" s="12" t="str">
        <x:v>Dump Truck</x:v>
      </x:c>
      <x:c r="C44" s="12" t="str">
        <x:v>DUMP TRUCK RENAULT KRANGE440-P6X4 A/T</x:v>
      </x:c>
      <x:c r="D44" s="12" t="str">
        <x:v>STRL44</x:v>
      </x:c>
      <x:c r="E44" s="12" t="str">
        <x:v>STRL44G134</x:v>
      </x:c>
      <x:c r="F44" s="12" t="str">
        <x:v>DUMP TRUCK KRANGE440</x:v>
      </x:c>
      <x:c r="G44" s="18" t="n">
        <x:v>20</x:v>
      </x:c>
      <x:c r="H44" s="12" t="str">
        <x:v>L/HM</x:v>
      </x:c>
      <x:c r="I44" s="12" t="n">
        <x:v>20</x:v>
      </x:c>
      <x:c r="J44" s="14" t="n">
        <x:v>46174</x:v>
      </x:c>
      <x:c r="K44" s="14" t="n">
        <x:v>46192</x:v>
      </x:c>
      <x:c r="L44" s="12" t="str">
        <x:v>Active</x:v>
      </x:c>
      <x:c r="M44" s="12" t="str">
        <x:v>Matched</x:v>
      </x:c>
      <x:c r="N44" t="str"/>
    </x:row>
    <x:row r="45">
      <x:c r="A45" s="12" t="str">
        <x:v>STRL44G135</x:v>
      </x:c>
      <x:c r="B45" s="12" t="str">
        <x:v>Dump Truck</x:v>
      </x:c>
      <x:c r="C45" s="12" t="str">
        <x:v>DUMP TRUCK RENAULT KRANGE440-P6X4 A/T</x:v>
      </x:c>
      <x:c r="D45" s="12" t="str">
        <x:v>STRL44</x:v>
      </x:c>
      <x:c r="E45" s="12" t="str">
        <x:v>STRL44G135</x:v>
      </x:c>
      <x:c r="F45" s="12" t="str">
        <x:v>DUMP TRUCK KRANGE440</x:v>
      </x:c>
      <x:c r="G45" s="18" t="n">
        <x:v>20</x:v>
      </x:c>
      <x:c r="H45" s="12" t="str">
        <x:v>L/HM</x:v>
      </x:c>
      <x:c r="I45" s="12" t="n">
        <x:v>22</x:v>
      </x:c>
      <x:c r="J45" s="14" t="n">
        <x:v>46174</x:v>
      </x:c>
      <x:c r="K45" s="14" t="n">
        <x:v>46193</x:v>
      </x:c>
      <x:c r="L45" s="12" t="str">
        <x:v>Active</x:v>
      </x:c>
      <x:c r="M45" s="12" t="str">
        <x:v>Matched</x:v>
      </x:c>
      <x:c r="N45" t="str"/>
    </x:row>
    <x:row r="46">
      <x:c r="A46" s="12" t="str">
        <x:v>STRL44G136</x:v>
      </x:c>
      <x:c r="B46" s="12" t="str">
        <x:v>Dump Truck</x:v>
      </x:c>
      <x:c r="C46" s="12" t="str">
        <x:v>DUMP TRUCK RENAULT KRANGE440-P6X4 A/T</x:v>
      </x:c>
      <x:c r="D46" s="12" t="str">
        <x:v>STRL44</x:v>
      </x:c>
      <x:c r="E46" s="12" t="str">
        <x:v>STRL44G136</x:v>
      </x:c>
      <x:c r="F46" s="12" t="str">
        <x:v>DUMP TRUCK KRANGE440</x:v>
      </x:c>
      <x:c r="G46" s="18" t="n">
        <x:v>20</x:v>
      </x:c>
      <x:c r="H46" s="12" t="str">
        <x:v>L/HM</x:v>
      </x:c>
      <x:c r="I46" s="12" t="n">
        <x:v>21</x:v>
      </x:c>
      <x:c r="J46" s="14" t="n">
        <x:v>46174</x:v>
      </x:c>
      <x:c r="K46" s="14" t="n">
        <x:v>46192</x:v>
      </x:c>
      <x:c r="L46" s="12" t="str">
        <x:v>Active</x:v>
      </x:c>
      <x:c r="M46" s="12" t="str">
        <x:v>Matched</x:v>
      </x:c>
      <x:c r="N46" t="str"/>
    </x:row>
    <x:row r="47">
      <x:c r="A47" s="12" t="str">
        <x:v>STRL44G137</x:v>
      </x:c>
      <x:c r="B47" s="12" t="str">
        <x:v>Dump Truck</x:v>
      </x:c>
      <x:c r="C47" s="12" t="str">
        <x:v>DUMP TRUCK RENAULT KRANGE440-P6X4 A/T</x:v>
      </x:c>
      <x:c r="D47" s="12" t="str">
        <x:v>STRL44</x:v>
      </x:c>
      <x:c r="E47" s="12" t="str">
        <x:v>STRL44G137</x:v>
      </x:c>
      <x:c r="F47" s="12" t="str">
        <x:v>DUMP TRUCK KRANGE440</x:v>
      </x:c>
      <x:c r="G47" s="18" t="n">
        <x:v>20</x:v>
      </x:c>
      <x:c r="H47" s="12" t="str">
        <x:v>L/HM</x:v>
      </x:c>
      <x:c r="I47" s="12" t="n">
        <x:v>17</x:v>
      </x:c>
      <x:c r="J47" s="14" t="n">
        <x:v>46174</x:v>
      </x:c>
      <x:c r="K47" s="14" t="n">
        <x:v>46192</x:v>
      </x:c>
      <x:c r="L47" s="12" t="str">
        <x:v>Active</x:v>
      </x:c>
      <x:c r="M47" s="12" t="str">
        <x:v>Matched</x:v>
      </x:c>
      <x:c r="N47" t="str"/>
    </x:row>
    <x:row r="48">
      <x:c r="A48" s="12" t="str">
        <x:v>STRL44G138</x:v>
      </x:c>
      <x:c r="B48" s="12" t="str">
        <x:v>Dump Truck</x:v>
      </x:c>
      <x:c r="C48" s="12" t="str">
        <x:v>DUMP TRUCK RENAULT KRANGE440-P6X4 A/T</x:v>
      </x:c>
      <x:c r="D48" s="12" t="str">
        <x:v>STRL44</x:v>
      </x:c>
      <x:c r="E48" s="12" t="str">
        <x:v>STRL44G138</x:v>
      </x:c>
      <x:c r="F48" s="12" t="str">
        <x:v>DUMP TRUCK KRANGE440</x:v>
      </x:c>
      <x:c r="G48" s="18" t="n">
        <x:v>20</x:v>
      </x:c>
      <x:c r="H48" s="12" t="str">
        <x:v>L/HM</x:v>
      </x:c>
      <x:c r="I48" s="12" t="n">
        <x:v>23</x:v>
      </x:c>
      <x:c r="J48" s="14" t="n">
        <x:v>46174</x:v>
      </x:c>
      <x:c r="K48" s="14" t="n">
        <x:v>46193</x:v>
      </x:c>
      <x:c r="L48" s="12" t="str">
        <x:v>Active</x:v>
      </x:c>
      <x:c r="M48" s="12" t="str">
        <x:v>Matched</x:v>
      </x:c>
      <x:c r="N48" t="str"/>
    </x:row>
    <x:row r="49">
      <x:c r="A49" s="12" t="str">
        <x:v>STRL44G139</x:v>
      </x:c>
      <x:c r="B49" s="12" t="str">
        <x:v>Dump Truck</x:v>
      </x:c>
      <x:c r="C49" s="12" t="str">
        <x:v>DUMP TRUCK RENAULT KRANGE440-P6X4 A/T</x:v>
      </x:c>
      <x:c r="D49" s="12" t="str">
        <x:v>STRL44</x:v>
      </x:c>
      <x:c r="E49" s="12" t="str">
        <x:v>STRL44G139</x:v>
      </x:c>
      <x:c r="F49" s="12" t="str">
        <x:v>DUMP TRUCK KRANGE440</x:v>
      </x:c>
      <x:c r="G49" s="18" t="n">
        <x:v>20</x:v>
      </x:c>
      <x:c r="H49" s="12" t="str">
        <x:v>L/HM</x:v>
      </x:c>
      <x:c r="I49" s="12" t="n">
        <x:v>24</x:v>
      </x:c>
      <x:c r="J49" s="14" t="n">
        <x:v>46174</x:v>
      </x:c>
      <x:c r="K49" s="14" t="n">
        <x:v>46191</x:v>
      </x:c>
      <x:c r="L49" s="12" t="str">
        <x:v>Active</x:v>
      </x:c>
      <x:c r="M49" s="12" t="str">
        <x:v>Matched</x:v>
      </x:c>
      <x:c r="N49" t="str"/>
    </x:row>
    <x:row r="50">
      <x:c r="A50" s="12" t="str">
        <x:v>STRL44G140</x:v>
      </x:c>
      <x:c r="B50" s="12" t="str">
        <x:v>Dump Truck</x:v>
      </x:c>
      <x:c r="C50" s="12" t="str">
        <x:v>DUMP TRUCK RENAULT KRANGE440-P6X4 A/T</x:v>
      </x:c>
      <x:c r="D50" s="12" t="str">
        <x:v>STRL44</x:v>
      </x:c>
      <x:c r="E50" s="12" t="str">
        <x:v>STRL44G140</x:v>
      </x:c>
      <x:c r="F50" s="12" t="str">
        <x:v>DUMP TRUCK KRANGE440</x:v>
      </x:c>
      <x:c r="G50" s="18" t="n">
        <x:v>20</x:v>
      </x:c>
      <x:c r="H50" s="12" t="str">
        <x:v>L/HM</x:v>
      </x:c>
      <x:c r="I50" s="12" t="n">
        <x:v>22</x:v>
      </x:c>
      <x:c r="J50" s="14" t="n">
        <x:v>46174</x:v>
      </x:c>
      <x:c r="K50" s="14" t="n">
        <x:v>46191</x:v>
      </x:c>
      <x:c r="L50" s="12" t="str">
        <x:v>Active</x:v>
      </x:c>
      <x:c r="M50" s="12" t="str">
        <x:v>Matched</x:v>
      </x:c>
      <x:c r="N50" t="str"/>
    </x:row>
    <x:row r="51">
      <x:c r="A51" s="12" t="str">
        <x:v>STRL44G141</x:v>
      </x:c>
      <x:c r="B51" s="12" t="str">
        <x:v>Dump Truck</x:v>
      </x:c>
      <x:c r="C51" s="12" t="str">
        <x:v>DUMP TRUCK RENAULT KRANGE440-P6X4 A/T</x:v>
      </x:c>
      <x:c r="D51" s="12" t="str">
        <x:v>STRL44</x:v>
      </x:c>
      <x:c r="E51" s="12" t="str">
        <x:v>STRL44G141</x:v>
      </x:c>
      <x:c r="F51" s="12" t="str">
        <x:v>DUMP TRUCK KRANGE440</x:v>
      </x:c>
      <x:c r="G51" s="18" t="n">
        <x:v>20</x:v>
      </x:c>
      <x:c r="H51" s="12" t="str">
        <x:v>L/HM</x:v>
      </x:c>
      <x:c r="I51" s="12" t="n">
        <x:v>15</x:v>
      </x:c>
      <x:c r="J51" s="14" t="n">
        <x:v>46174</x:v>
      </x:c>
      <x:c r="K51" s="14" t="n">
        <x:v>46191</x:v>
      </x:c>
      <x:c r="L51" s="12" t="str">
        <x:v>Active</x:v>
      </x:c>
      <x:c r="M51" s="12" t="str">
        <x:v>Matched</x:v>
      </x:c>
      <x:c r="N51" t="str"/>
    </x:row>
    <x:row r="52">
      <x:c r="A52" s="12" t="str">
        <x:v>STRL44G142</x:v>
      </x:c>
      <x:c r="B52" s="12" t="str">
        <x:v>Dump Truck</x:v>
      </x:c>
      <x:c r="C52" s="12" t="str">
        <x:v>DUMP TRUCK RENAULT KRANGE440-P6X4 A/T</x:v>
      </x:c>
      <x:c r="D52" s="12" t="str">
        <x:v>STRL44</x:v>
      </x:c>
      <x:c r="E52" s="12" t="str">
        <x:v>STRL44G142</x:v>
      </x:c>
      <x:c r="F52" s="12" t="str">
        <x:v>DUMP TRUCK KRANGE440</x:v>
      </x:c>
      <x:c r="G52" s="18" t="n">
        <x:v>20</x:v>
      </x:c>
      <x:c r="H52" s="12" t="str">
        <x:v>L/HM</x:v>
      </x:c>
      <x:c r="I52" s="12" t="n">
        <x:v>26</x:v>
      </x:c>
      <x:c r="J52" s="14" t="n">
        <x:v>46174</x:v>
      </x:c>
      <x:c r="K52" s="14" t="n">
        <x:v>46191</x:v>
      </x:c>
      <x:c r="L52" s="12" t="str">
        <x:v>Active</x:v>
      </x:c>
      <x:c r="M52" s="12" t="str">
        <x:v>Matched</x:v>
      </x:c>
      <x:c r="N52" t="str"/>
    </x:row>
    <x:row r="53">
      <x:c r="A53" s="12" t="str">
        <x:v>STRL44G143</x:v>
      </x:c>
      <x:c r="B53" s="12" t="str">
        <x:v>Dump Truck</x:v>
      </x:c>
      <x:c r="C53" s="12" t="str">
        <x:v>DUMP TRUCK RENAULT KRANGE440-P6X4 A/T</x:v>
      </x:c>
      <x:c r="D53" s="12" t="str">
        <x:v>STRL44</x:v>
      </x:c>
      <x:c r="E53" s="12" t="str">
        <x:v>STRL44G143</x:v>
      </x:c>
      <x:c r="F53" s="12" t="str">
        <x:v>DUMP TRUCK KRANGE440</x:v>
      </x:c>
      <x:c r="G53" s="18" t="n">
        <x:v>20</x:v>
      </x:c>
      <x:c r="H53" s="12" t="str">
        <x:v>L/HM</x:v>
      </x:c>
      <x:c r="I53" s="12" t="n">
        <x:v>27</x:v>
      </x:c>
      <x:c r="J53" s="14" t="n">
        <x:v>46174</x:v>
      </x:c>
      <x:c r="K53" s="14" t="n">
        <x:v>46190</x:v>
      </x:c>
      <x:c r="L53" s="12" t="str">
        <x:v>Active</x:v>
      </x:c>
      <x:c r="M53" s="12" t="str">
        <x:v>Matched</x:v>
      </x:c>
      <x:c r="N53" t="str"/>
    </x:row>
    <x:row r="54">
      <x:c r="A54" s="12" t="str">
        <x:v>STRL44G144</x:v>
      </x:c>
      <x:c r="B54" s="12" t="str">
        <x:v>Dump Truck</x:v>
      </x:c>
      <x:c r="C54" s="12" t="str">
        <x:v>DUMP TRUCK RENAULT KRANGE440-P6X4 A/T</x:v>
      </x:c>
      <x:c r="D54" s="12" t="str">
        <x:v>STRL44</x:v>
      </x:c>
      <x:c r="E54" s="12" t="str">
        <x:v>STRL44G144</x:v>
      </x:c>
      <x:c r="F54" s="12" t="str">
        <x:v>DUMP TRUCK KRANGE440</x:v>
      </x:c>
      <x:c r="G54" s="18" t="n">
        <x:v>20</x:v>
      </x:c>
      <x:c r="H54" s="12" t="str">
        <x:v>L/HM</x:v>
      </x:c>
      <x:c r="I54" s="12" t="n">
        <x:v>27</x:v>
      </x:c>
      <x:c r="J54" s="14" t="n">
        <x:v>46174</x:v>
      </x:c>
      <x:c r="K54" s="14" t="n">
        <x:v>46191</x:v>
      </x:c>
      <x:c r="L54" s="12" t="str">
        <x:v>Active</x:v>
      </x:c>
      <x:c r="M54" s="12" t="str">
        <x:v>Matched</x:v>
      </x:c>
      <x:c r="N54" t="str"/>
    </x:row>
    <x:row r="55">
      <x:c r="A55" s="12" t="str">
        <x:v>STRL44G145</x:v>
      </x:c>
      <x:c r="B55" s="12" t="str">
        <x:v>Dump Truck</x:v>
      </x:c>
      <x:c r="C55" s="12" t="str">
        <x:v>DUMP TRUCK RENAULT KRANGE440-P6X4 A/T</x:v>
      </x:c>
      <x:c r="D55" s="12" t="str">
        <x:v>STRL44</x:v>
      </x:c>
      <x:c r="E55" s="12" t="str">
        <x:v>STRL44G145</x:v>
      </x:c>
      <x:c r="F55" s="12" t="str">
        <x:v>DUMP TRUCK KRANGE440</x:v>
      </x:c>
      <x:c r="G55" s="18" t="n">
        <x:v>20</x:v>
      </x:c>
      <x:c r="H55" s="12" t="str">
        <x:v>L/HM</x:v>
      </x:c>
      <x:c r="I55" s="12" t="n">
        <x:v>27</x:v>
      </x:c>
      <x:c r="J55" s="14" t="n">
        <x:v>46174</x:v>
      </x:c>
      <x:c r="K55" s="14" t="n">
        <x:v>46190</x:v>
      </x:c>
      <x:c r="L55" s="12" t="str">
        <x:v>Active</x:v>
      </x:c>
      <x:c r="M55" s="12" t="str">
        <x:v>Matched</x:v>
      </x:c>
      <x:c r="N55" t="str"/>
    </x:row>
    <x:row r="56">
      <x:c r="A56" s="12" t="str">
        <x:v>STRL44G146</x:v>
      </x:c>
      <x:c r="B56" s="12" t="str">
        <x:v>Dump Truck</x:v>
      </x:c>
      <x:c r="C56" s="12" t="str">
        <x:v>DUMP TRUCK RENAULT KRANGE440-P6X4 A/T</x:v>
      </x:c>
      <x:c r="D56" s="12" t="str">
        <x:v>STRL44</x:v>
      </x:c>
      <x:c r="E56" s="12" t="str">
        <x:v>STRL44G146</x:v>
      </x:c>
      <x:c r="F56" s="12" t="str">
        <x:v>DUMP TRUCK KRANGE440</x:v>
      </x:c>
      <x:c r="G56" s="18" t="n">
        <x:v>20</x:v>
      </x:c>
      <x:c r="H56" s="12" t="str">
        <x:v>L/HM</x:v>
      </x:c>
      <x:c r="I56" s="12" t="n">
        <x:v>24</x:v>
      </x:c>
      <x:c r="J56" s="14" t="n">
        <x:v>46174</x:v>
      </x:c>
      <x:c r="K56" s="14" t="n">
        <x:v>46190</x:v>
      </x:c>
      <x:c r="L56" s="12" t="str">
        <x:v>Active</x:v>
      </x:c>
      <x:c r="M56" s="12" t="str">
        <x:v>Matched</x:v>
      </x:c>
      <x:c r="N56" t="str"/>
    </x:row>
    <x:row r="57">
      <x:c r="A57" s="12" t="str">
        <x:v>STRL44G147</x:v>
      </x:c>
      <x:c r="B57" s="12" t="str">
        <x:v>Dump Truck</x:v>
      </x:c>
      <x:c r="C57" s="12" t="str">
        <x:v>DUMP TRUCK RENAULT KRANGE440-P6X4 A/T</x:v>
      </x:c>
      <x:c r="D57" s="12" t="str">
        <x:v>STRL44</x:v>
      </x:c>
      <x:c r="E57" s="12" t="str">
        <x:v>STRL44G147</x:v>
      </x:c>
      <x:c r="F57" s="12" t="str">
        <x:v>DUMP TRUCK KRANGE440</x:v>
      </x:c>
      <x:c r="G57" s="18" t="n">
        <x:v>20</x:v>
      </x:c>
      <x:c r="H57" s="12" t="str">
        <x:v>L/HM</x:v>
      </x:c>
      <x:c r="I57" s="12" t="n">
        <x:v>23</x:v>
      </x:c>
      <x:c r="J57" s="14" t="n">
        <x:v>46174</x:v>
      </x:c>
      <x:c r="K57" s="14" t="n">
        <x:v>46190</x:v>
      </x:c>
      <x:c r="L57" s="12" t="str">
        <x:v>Active</x:v>
      </x:c>
      <x:c r="M57" s="12" t="str">
        <x:v>Matched</x:v>
      </x:c>
      <x:c r="N57" t="str"/>
    </x:row>
    <x:row r="58">
      <x:c r="A58" s="12" t="str">
        <x:v>STRL44G149</x:v>
      </x:c>
      <x:c r="B58" s="12" t="str">
        <x:v>Dump Truck</x:v>
      </x:c>
      <x:c r="C58" s="12" t="str">
        <x:v>DUMP TRUCK RENAULT KRANGE440-P6X4 A/T</x:v>
      </x:c>
      <x:c r="D58" s="12" t="str">
        <x:v>STRL44</x:v>
      </x:c>
      <x:c r="E58" s="12" t="str">
        <x:v>STRL44G149</x:v>
      </x:c>
      <x:c r="F58" s="12" t="str">
        <x:v>DUMP TRUCK KRANGE440</x:v>
      </x:c>
      <x:c r="G58" s="18" t="n">
        <x:v>20</x:v>
      </x:c>
      <x:c r="H58" s="12" t="str">
        <x:v>L/HM</x:v>
      </x:c>
      <x:c r="I58" s="12" t="n">
        <x:v>25</x:v>
      </x:c>
      <x:c r="J58" s="14" t="n">
        <x:v>46174</x:v>
      </x:c>
      <x:c r="K58" s="14" t="n">
        <x:v>46190</x:v>
      </x:c>
      <x:c r="L58" s="12" t="str">
        <x:v>Active</x:v>
      </x:c>
      <x:c r="M58" s="12" t="str">
        <x:v>Matched</x:v>
      </x:c>
      <x:c r="N58" t="str"/>
    </x:row>
    <x:row r="59">
      <x:c r="A59" s="12" t="str">
        <x:v>STRL44G151</x:v>
      </x:c>
      <x:c r="B59" s="12" t="str">
        <x:v>Dump Truck</x:v>
      </x:c>
      <x:c r="C59" s="12" t="str">
        <x:v>DUMP TRUCK RENAULT KRANGE440-P6X4 A/T</x:v>
      </x:c>
      <x:c r="D59" s="12" t="str">
        <x:v>STRL44</x:v>
      </x:c>
      <x:c r="E59" s="12" t="str">
        <x:v>STRL44G151</x:v>
      </x:c>
      <x:c r="F59" s="12" t="str">
        <x:v>DUMP TRUCK KRANGE440</x:v>
      </x:c>
      <x:c r="G59" s="18" t="n">
        <x:v>20</x:v>
      </x:c>
      <x:c r="H59" s="12" t="str">
        <x:v>L/HM</x:v>
      </x:c>
      <x:c r="I59" s="12" t="n">
        <x:v>21</x:v>
      </x:c>
      <x:c r="J59" s="14" t="n">
        <x:v>46174</x:v>
      </x:c>
      <x:c r="K59" s="14" t="n">
        <x:v>46189</x:v>
      </x:c>
      <x:c r="L59" s="12" t="str">
        <x:v>Active</x:v>
      </x:c>
      <x:c r="M59" s="12" t="str">
        <x:v>Matched</x:v>
      </x:c>
      <x:c r="N59" t="str"/>
    </x:row>
    <x:row r="60">
      <x:c r="A60" s="12" t="str">
        <x:v>STRL44G152</x:v>
      </x:c>
      <x:c r="B60" s="12" t="str">
        <x:v>Dump Truck</x:v>
      </x:c>
      <x:c r="C60" s="12" t="str">
        <x:v>DUMP TRUCK RENAULT KRANGE440-P6X4 A/T</x:v>
      </x:c>
      <x:c r="D60" s="12" t="str">
        <x:v>STRL44</x:v>
      </x:c>
      <x:c r="E60" s="12" t="str">
        <x:v>STRL44G152</x:v>
      </x:c>
      <x:c r="F60" s="12" t="str">
        <x:v>DUMP TRUCK KRANGE440</x:v>
      </x:c>
      <x:c r="G60" s="18" t="n">
        <x:v>20</x:v>
      </x:c>
      <x:c r="H60" s="12" t="str">
        <x:v>L/HM</x:v>
      </x:c>
      <x:c r="I60" s="12" t="n">
        <x:v>27</x:v>
      </x:c>
      <x:c r="J60" s="14" t="n">
        <x:v>46174</x:v>
      </x:c>
      <x:c r="K60" s="14" t="n">
        <x:v>46190</x:v>
      </x:c>
      <x:c r="L60" s="12" t="str">
        <x:v>Active</x:v>
      </x:c>
      <x:c r="M60" s="12" t="str">
        <x:v>Matched</x:v>
      </x:c>
      <x:c r="N60" t="str"/>
    </x:row>
    <x:row r="61">
      <x:c r="A61" s="12" t="str">
        <x:v>STRL44G153</x:v>
      </x:c>
      <x:c r="B61" s="12" t="str">
        <x:v>Dump Truck</x:v>
      </x:c>
      <x:c r="C61" s="12" t="str">
        <x:v>DUMP TRUCK RENAULT KRANGE440-P6X4 A/T</x:v>
      </x:c>
      <x:c r="D61" s="12" t="str">
        <x:v>STRL44</x:v>
      </x:c>
      <x:c r="E61" s="12" t="str">
        <x:v>STRL44G153</x:v>
      </x:c>
      <x:c r="F61" s="12" t="str">
        <x:v>DUMP TRUCK KRANGE440</x:v>
      </x:c>
      <x:c r="G61" s="18" t="n">
        <x:v>20</x:v>
      </x:c>
      <x:c r="H61" s="12" t="str">
        <x:v>L/HM</x:v>
      </x:c>
      <x:c r="I61" s="12" t="n">
        <x:v>24</x:v>
      </x:c>
      <x:c r="J61" s="14" t="n">
        <x:v>46174</x:v>
      </x:c>
      <x:c r="K61" s="14" t="n">
        <x:v>46190</x:v>
      </x:c>
      <x:c r="L61" s="12" t="str">
        <x:v>Active</x:v>
      </x:c>
      <x:c r="M61" s="12" t="str">
        <x:v>Matched</x:v>
      </x:c>
      <x:c r="N61" t="str"/>
    </x:row>
    <x:row r="62">
      <x:c r="A62" s="12" t="str">
        <x:v>STRL44G154</x:v>
      </x:c>
      <x:c r="B62" s="12" t="str">
        <x:v>Dump Truck</x:v>
      </x:c>
      <x:c r="C62" s="12" t="str">
        <x:v>DUMP TRUCK RENAULT KRANGE440-P6X4 A/T</x:v>
      </x:c>
      <x:c r="D62" s="12" t="str">
        <x:v>STRL44</x:v>
      </x:c>
      <x:c r="E62" s="12" t="str">
        <x:v>STRL44G154</x:v>
      </x:c>
      <x:c r="F62" s="12" t="str">
        <x:v>DUMP TRUCK KRANGE440</x:v>
      </x:c>
      <x:c r="G62" s="18" t="n">
        <x:v>20</x:v>
      </x:c>
      <x:c r="H62" s="12" t="str">
        <x:v>L/HM</x:v>
      </x:c>
      <x:c r="I62" s="12" t="n">
        <x:v>26</x:v>
      </x:c>
      <x:c r="J62" s="14" t="n">
        <x:v>46174</x:v>
      </x:c>
      <x:c r="K62" s="14" t="n">
        <x:v>46190</x:v>
      </x:c>
      <x:c r="L62" s="12" t="str">
        <x:v>Active</x:v>
      </x:c>
      <x:c r="M62" s="12" t="str">
        <x:v>Matched</x:v>
      </x:c>
      <x:c r="N62" t="str"/>
    </x:row>
    <x:row r="63">
      <x:c r="A63" s="12" t="str">
        <x:v>STRL44G155</x:v>
      </x:c>
      <x:c r="B63" s="12" t="str">
        <x:v>Dump Truck</x:v>
      </x:c>
      <x:c r="C63" s="12" t="str">
        <x:v>DUMP TRUCK RENAULT KRANGE440-P6X4 A/T</x:v>
      </x:c>
      <x:c r="D63" s="12" t="str">
        <x:v>STRL44</x:v>
      </x:c>
      <x:c r="E63" s="12" t="str">
        <x:v>STRL44G155</x:v>
      </x:c>
      <x:c r="F63" s="12" t="str">
        <x:v>DUMP TRUCK KRANGE440</x:v>
      </x:c>
      <x:c r="G63" s="18" t="n">
        <x:v>20</x:v>
      </x:c>
      <x:c r="H63" s="12" t="str">
        <x:v>L/HM</x:v>
      </x:c>
      <x:c r="I63" s="12" t="n">
        <x:v>25</x:v>
      </x:c>
      <x:c r="J63" s="14" t="n">
        <x:v>46174</x:v>
      </x:c>
      <x:c r="K63" s="14" t="n">
        <x:v>46190</x:v>
      </x:c>
      <x:c r="L63" s="12" t="str">
        <x:v>Active</x:v>
      </x:c>
      <x:c r="M63" s="12" t="str">
        <x:v>Matched</x:v>
      </x:c>
      <x:c r="N63" t="str"/>
    </x:row>
    <x:row r="64">
      <x:c r="A64" s="12" t="str">
        <x:v>STRL44G156</x:v>
      </x:c>
      <x:c r="B64" s="12" t="str">
        <x:v>Dump Truck</x:v>
      </x:c>
      <x:c r="C64" s="12" t="str">
        <x:v>DUMP TRUCK RENAULT KRANGE440-P6X4 A/T</x:v>
      </x:c>
      <x:c r="D64" s="12" t="str">
        <x:v>STRL44</x:v>
      </x:c>
      <x:c r="E64" s="12" t="str">
        <x:v>STRL44G156</x:v>
      </x:c>
      <x:c r="F64" s="12" t="str">
        <x:v>DUMP TRUCK KRANGE440</x:v>
      </x:c>
      <x:c r="G64" s="18" t="n">
        <x:v>20</x:v>
      </x:c>
      <x:c r="H64" s="12" t="str">
        <x:v>L/HM</x:v>
      </x:c>
      <x:c r="I64" s="12" t="n">
        <x:v>27</x:v>
      </x:c>
      <x:c r="J64" s="14" t="n">
        <x:v>46174</x:v>
      </x:c>
      <x:c r="K64" s="14" t="n">
        <x:v>46190</x:v>
      </x:c>
      <x:c r="L64" s="12" t="str">
        <x:v>Active</x:v>
      </x:c>
      <x:c r="M64" s="12" t="str">
        <x:v>Matched</x:v>
      </x:c>
      <x:c r="N64" t="str"/>
    </x:row>
    <x:row r="65">
      <x:c r="A65" s="12" t="str">
        <x:v>STRL44G157</x:v>
      </x:c>
      <x:c r="B65" s="12" t="str">
        <x:v>Dump Truck</x:v>
      </x:c>
      <x:c r="C65" s="12" t="str">
        <x:v>DUMP TRUCK RENAULT KRANGE440-P6X4 A/T</x:v>
      </x:c>
      <x:c r="D65" s="12" t="str">
        <x:v>STRL44</x:v>
      </x:c>
      <x:c r="E65" s="12" t="str">
        <x:v>STRL44G157</x:v>
      </x:c>
      <x:c r="F65" s="12" t="str">
        <x:v>DUMP TRUCK KRANGE440</x:v>
      </x:c>
      <x:c r="G65" s="18" t="n">
        <x:v>20</x:v>
      </x:c>
      <x:c r="H65" s="12" t="str">
        <x:v>L/HM</x:v>
      </x:c>
      <x:c r="I65" s="12" t="n">
        <x:v>28</x:v>
      </x:c>
      <x:c r="J65" s="14" t="n">
        <x:v>46174</x:v>
      </x:c>
      <x:c r="K65" s="14" t="n">
        <x:v>46191</x:v>
      </x:c>
      <x:c r="L65" s="12" t="str">
        <x:v>Active</x:v>
      </x:c>
      <x:c r="M65" s="12" t="str">
        <x:v>Matched</x:v>
      </x:c>
      <x:c r="N65" t="str"/>
    </x:row>
    <x:row r="66">
      <x:c r="A66" s="12" t="str">
        <x:v>TLPT14G001</x:v>
      </x:c>
      <x:c r="B66" s="12" t="str">
        <x:v>Tower Lamp</x:v>
      </x:c>
      <x:c r="C66" s="12" t="str">
        <x:v>TOWERLAMP PATRIA LS4-1400</x:v>
      </x:c>
      <x:c r="D66" s="12" t="str">
        <x:v>TLPT14</x:v>
      </x:c>
      <x:c r="E66" s="12" t="str">
        <x:v>TLPT14G001</x:v>
      </x:c>
      <x:c r="F66" s="12" t="str"/>
      <x:c r="G66" s="18"/>
      <x:c r="H66" s="12" t="str"/>
      <x:c r="I66" s="12" t="n">
        <x:v>6</x:v>
      </x:c>
      <x:c r="J66" s="14" t="n">
        <x:v>46177</x:v>
      </x:c>
      <x:c r="K66" s="14" t="n">
        <x:v>46192</x:v>
      </x:c>
      <x:c r="L66" s="12" t="str">
        <x:v>Active</x:v>
      </x:c>
      <x:c r="M66" s="12" t="str">
        <x:v>No Standard</x:v>
      </x:c>
      <x:c r="N66" t="str">
        <x:v>No standard in source workbook</x:v>
      </x:c>
    </x:row>
    <x:row r="67">
      <x:c r="A67" s="12" t="str">
        <x:v>TLPT14G003</x:v>
      </x:c>
      <x:c r="B67" s="12" t="str">
        <x:v>Tower Lamp</x:v>
      </x:c>
      <x:c r="C67" s="12" t="str">
        <x:v>TOWERLAMP PATRIA LS4-1400</x:v>
      </x:c>
      <x:c r="D67" s="12" t="str">
        <x:v>TLPT14</x:v>
      </x:c>
      <x:c r="E67" s="12" t="str">
        <x:v>TLPT14G003</x:v>
      </x:c>
      <x:c r="F67" s="12" t="str"/>
      <x:c r="G67" s="18"/>
      <x:c r="H67" s="12" t="str"/>
      <x:c r="I67" s="12" t="n">
        <x:v>4</x:v>
      </x:c>
      <x:c r="J67" s="14" t="n">
        <x:v>46180</x:v>
      </x:c>
      <x:c r="K67" s="14" t="n">
        <x:v>46188</x:v>
      </x:c>
      <x:c r="L67" s="12" t="str">
        <x:v>Active</x:v>
      </x:c>
      <x:c r="M67" s="12" t="str">
        <x:v>No Standard</x:v>
      </x:c>
      <x:c r="N67" t="str">
        <x:v>No standard in source workbook</x:v>
      </x:c>
    </x:row>
    <x:row r="68">
      <x:c r="A68" s="12" t="str">
        <x:v>TLYM50G017</x:v>
      </x:c>
      <x:c r="B68" s="12" t="str">
        <x:v>Other</x:v>
      </x:c>
      <x:c r="C68" s="12" t="str">
        <x:v>TOWERLAMP YAMAGEN YDG5001SE-D-TLD4</x:v>
      </x:c>
      <x:c r="D68" s="12" t="str">
        <x:v>TLYM50</x:v>
      </x:c>
      <x:c r="E68" s="12" t="str">
        <x:v>TLYM50G017</x:v>
      </x:c>
      <x:c r="F68" s="12" t="str">
        <x:v>TOWER LAMP</x:v>
      </x:c>
      <x:c r="G68" s="18" t="n">
        <x:v>2</x:v>
      </x:c>
      <x:c r="H68" s="12" t="str">
        <x:v>L/HM</x:v>
      </x:c>
      <x:c r="I68" s="12" t="n">
        <x:v>8</x:v>
      </x:c>
      <x:c r="J68" s="14" t="n">
        <x:v>46175</x:v>
      </x:c>
      <x:c r="K68" s="14" t="n">
        <x:v>46190</x:v>
      </x:c>
      <x:c r="L68" s="12" t="str">
        <x:v>Active</x:v>
      </x:c>
      <x:c r="M68" s="12" t="str">
        <x:v>Matched</x:v>
      </x:c>
      <x:c r="N68" t="str"/>
    </x:row>
    <x:row r="69">
      <x:c r="A69" s="12" t="str">
        <x:v>TLYM50G019</x:v>
      </x:c>
      <x:c r="B69" s="12" t="str">
        <x:v>Other</x:v>
      </x:c>
      <x:c r="C69" s="12" t="str">
        <x:v>TOWERLAMP YAMAGEN YDG5001SE-D-TLD4</x:v>
      </x:c>
      <x:c r="D69" s="12" t="str">
        <x:v>TLYM50</x:v>
      </x:c>
      <x:c r="E69" s="12" t="str">
        <x:v>TLYM50G019</x:v>
      </x:c>
      <x:c r="F69" s="12" t="str">
        <x:v>TOWER LAMP</x:v>
      </x:c>
      <x:c r="G69" s="18" t="n">
        <x:v>2</x:v>
      </x:c>
      <x:c r="H69" s="12" t="str">
        <x:v>L/HM</x:v>
      </x:c>
      <x:c r="I69" s="12" t="n">
        <x:v>9</x:v>
      </x:c>
      <x:c r="J69" s="14" t="n">
        <x:v>46174</x:v>
      </x:c>
      <x:c r="K69" s="14" t="n">
        <x:v>46190</x:v>
      </x:c>
      <x:c r="L69" s="12" t="str">
        <x:v>Active</x:v>
      </x:c>
      <x:c r="M69" s="12" t="str">
        <x:v>Matched</x:v>
      </x:c>
      <x:c r="N69" t="str"/>
    </x:row>
    <x:row r="70">
      <x:c r="A70" s="12" t="str">
        <x:v>TLYM50G020</x:v>
      </x:c>
      <x:c r="B70" s="12" t="str">
        <x:v>Other</x:v>
      </x:c>
      <x:c r="C70" s="12" t="str">
        <x:v>TOWERLAMP YAMAGEN YDG5001SE-D-TLD4</x:v>
      </x:c>
      <x:c r="D70" s="12" t="str">
        <x:v>TLYM50</x:v>
      </x:c>
      <x:c r="E70" s="12" t="str">
        <x:v>TLYM50G020</x:v>
      </x:c>
      <x:c r="F70" s="12" t="str">
        <x:v>TOWER LAMP</x:v>
      </x:c>
      <x:c r="G70" s="18" t="n">
        <x:v>2</x:v>
      </x:c>
      <x:c r="H70" s="12" t="str">
        <x:v>L/HM</x:v>
      </x:c>
      <x:c r="I70" s="12" t="n">
        <x:v>10</x:v>
      </x:c>
      <x:c r="J70" s="14" t="n">
        <x:v>46174</x:v>
      </x:c>
      <x:c r="K70" s="14" t="n">
        <x:v>46192</x:v>
      </x:c>
      <x:c r="L70" s="12" t="str">
        <x:v>Active</x:v>
      </x:c>
      <x:c r="M70" s="12" t="str">
        <x:v>Matched</x:v>
      </x:c>
      <x:c r="N70" t="str"/>
    </x:row>
    <x:row r="71">
      <x:c r="A71" s="12" t="str">
        <x:v>TLYM50G023</x:v>
      </x:c>
      <x:c r="B71" s="12" t="str">
        <x:v>Other</x:v>
      </x:c>
      <x:c r="C71" s="12" t="str">
        <x:v>TOWERLAMP YAMAGEN YDG5001SE-D-TLD4</x:v>
      </x:c>
      <x:c r="D71" s="12" t="str">
        <x:v>TLYM50</x:v>
      </x:c>
      <x:c r="E71" s="12" t="str">
        <x:v>TLYM50G023</x:v>
      </x:c>
      <x:c r="F71" s="12" t="str">
        <x:v>TOWER LAMP</x:v>
      </x:c>
      <x:c r="G71" s="18" t="n">
        <x:v>2</x:v>
      </x:c>
      <x:c r="H71" s="12" t="str">
        <x:v>L/HM</x:v>
      </x:c>
      <x:c r="I71" s="12" t="n">
        <x:v>8</x:v>
      </x:c>
      <x:c r="J71" s="14" t="n">
        <x:v>46174</x:v>
      </x:c>
      <x:c r="K71" s="14" t="n">
        <x:v>46192</x:v>
      </x:c>
      <x:c r="L71" s="12" t="str">
        <x:v>Active</x:v>
      </x:c>
      <x:c r="M71" s="12" t="str">
        <x:v>Matched</x:v>
      </x:c>
      <x:c r="N71" t="str"/>
    </x:row>
    <x:row r="72">
      <x:c r="A72" s="12" t="str">
        <x:v>TLYM50G024</x:v>
      </x:c>
      <x:c r="B72" s="12" t="str">
        <x:v>Other</x:v>
      </x:c>
      <x:c r="C72" s="12" t="str">
        <x:v>TOWERLAMP YAMAGEN YDG5001SE-D-TLD4</x:v>
      </x:c>
      <x:c r="D72" s="12" t="str">
        <x:v>TLYM50</x:v>
      </x:c>
      <x:c r="E72" s="12" t="str">
        <x:v>TLYM50G024</x:v>
      </x:c>
      <x:c r="F72" s="12" t="str">
        <x:v>TOWER LAMP</x:v>
      </x:c>
      <x:c r="G72" s="18" t="n">
        <x:v>2</x:v>
      </x:c>
      <x:c r="H72" s="12" t="str">
        <x:v>L/HM</x:v>
      </x:c>
      <x:c r="I72" s="12" t="n">
        <x:v>2</x:v>
      </x:c>
      <x:c r="J72" s="14" t="n">
        <x:v>46178</x:v>
      </x:c>
      <x:c r="K72" s="14" t="n">
        <x:v>46182</x:v>
      </x:c>
      <x:c r="L72" s="12" t="str">
        <x:v>Active</x:v>
      </x:c>
      <x:c r="M72" s="12" t="str">
        <x:v>Matched</x:v>
      </x:c>
      <x:c r="N72" t="str"/>
    </x:row>
    <x:row r="73">
      <x:c r="A73" s="12" t="str">
        <x:v>VRVV11G012</x:v>
      </x:c>
      <x:c r="B73" s="12" t="str">
        <x:v>Compactor</x:v>
      </x:c>
      <x:c r="C73" s="12" t="str">
        <x:v>VIBRO COMPACTOR VOLVO SD110NE</x:v>
      </x:c>
      <x:c r="D73" s="12" t="str">
        <x:v>VRVV11</x:v>
      </x:c>
      <x:c r="E73" s="12" t="str">
        <x:v>VRVV11G012</x:v>
      </x:c>
      <x:c r="F73" s="12" t="str">
        <x:v>COMPACTOR</x:v>
      </x:c>
      <x:c r="G73" s="18" t="n">
        <x:v>15</x:v>
      </x:c>
      <x:c r="H73" s="12" t="str">
        <x:v>L/HM</x:v>
      </x:c>
      <x:c r="I73" s="12" t="n">
        <x:v>7</x:v>
      </x:c>
      <x:c r="J73" s="14" t="n">
        <x:v>46184</x:v>
      </x:c>
      <x:c r="K73" s="14" t="n">
        <x:v>46193</x:v>
      </x:c>
      <x:c r="L73" s="12" t="str">
        <x:v>Active</x:v>
      </x:c>
      <x:c r="M73" s="12" t="str">
        <x:v>Matched</x:v>
      </x:c>
      <x:c r="N73" t="str"/>
    </x:row>
    <x:row r="74">
      <x:c r="A74" s="12" t="str">
        <x:v>VRVV11G013</x:v>
      </x:c>
      <x:c r="B74" s="12" t="str">
        <x:v>Compactor</x:v>
      </x:c>
      <x:c r="C74" s="12" t="str">
        <x:v>VIBRO COMPACTOR VOLVO SD110NE</x:v>
      </x:c>
      <x:c r="D74" s="12" t="str">
        <x:v>VRVV11</x:v>
      </x:c>
      <x:c r="E74" s="12" t="str">
        <x:v>VRVV11G013</x:v>
      </x:c>
      <x:c r="F74" s="12" t="str">
        <x:v>COMPACTOR</x:v>
      </x:c>
      <x:c r="G74" s="18" t="n">
        <x:v>15</x:v>
      </x:c>
      <x:c r="H74" s="12" t="str">
        <x:v>L/HM</x:v>
      </x:c>
      <x:c r="I74" s="12" t="n">
        <x:v>19</x:v>
      </x:c>
      <x:c r="J74" s="14" t="n">
        <x:v>46174</x:v>
      </x:c>
      <x:c r="K74" s="14" t="n">
        <x:v>46193</x:v>
      </x:c>
      <x:c r="L74" s="12" t="str">
        <x:v>Active</x:v>
      </x:c>
      <x:c r="M74" s="12" t="str">
        <x:v>Matched</x:v>
      </x:c>
      <x:c r="N74" t="str"/>
    </x:row>
    <x:row r="75">
      <x:c r="A75" s="12" t="str">
        <x:v>WFIZ15G001</x:v>
      </x:c>
      <x:c r="B75" s="12" t="str">
        <x:v>Waterfill</x:v>
      </x:c>
      <x:c r="C75" s="12" t="str">
        <x:v>WATERFILL ISUZU ELF-150</x:v>
      </x:c>
      <x:c r="D75" s="12" t="str">
        <x:v>WFIZ15</x:v>
      </x:c>
      <x:c r="E75" s="12" t="str">
        <x:v>WFIZ15G001</x:v>
      </x:c>
      <x:c r="F75" s="12" t="str"/>
      <x:c r="G75" s="18"/>
      <x:c r="H75" s="12" t="str"/>
      <x:c r="I75" s="12" t="n">
        <x:v>7</x:v>
      </x:c>
      <x:c r="J75" s="14" t="n">
        <x:v>46177</x:v>
      </x:c>
      <x:c r="K75" s="14" t="n">
        <x:v>46193</x:v>
      </x:c>
      <x:c r="L75" s="12" t="str">
        <x:v>Active</x:v>
      </x:c>
      <x:c r="M75" s="12" t="str">
        <x:v>No Standard</x:v>
      </x:c>
      <x:c r="N75" t="str">
        <x:v>No standard in source workbook</x:v>
      </x:c>
    </x:row>
    <x:row r="76">
      <x:c r="A76" s="12" t="str">
        <x:v>WMML50G009</x:v>
      </x:c>
      <x:c r="B76" s="12" t="str">
        <x:v>Welding Machine</x:v>
      </x:c>
      <x:c r="C76" s="12" t="str">
        <x:v>WELDING MACHINE MILLER BIG BLUE 500X CC</x:v>
      </x:c>
      <x:c r="D76" s="12" t="str">
        <x:v>WMML50</x:v>
      </x:c>
      <x:c r="E76" s="12" t="str">
        <x:v>WMML50G009</x:v>
      </x:c>
      <x:c r="F76" s="12" t="str"/>
      <x:c r="G76" s="18"/>
      <x:c r="H76" s="12" t="str"/>
      <x:c r="I76" s="12" t="n">
        <x:v>1</x:v>
      </x:c>
      <x:c r="J76" s="14" t="n">
        <x:v>46189</x:v>
      </x:c>
      <x:c r="K76" s="14" t="n">
        <x:v>46189</x:v>
      </x:c>
      <x:c r="L76" s="12" t="str">
        <x:v>Active</x:v>
      </x:c>
      <x:c r="M76" s="12" t="str">
        <x:v>No Standard</x:v>
      </x:c>
      <x:c r="N76" t="str">
        <x:v>No standard in source workbook</x:v>
      </x:c>
    </x:row>
    <x:row r="77">
      <x:c r="A77" s="12" t="str">
        <x:v>WTRL44G006</x:v>
      </x:c>
      <x:c r="B77" s="12" t="str">
        <x:v>Water Truck</x:v>
      </x:c>
      <x:c r="C77" s="12" t="str">
        <x:v>WATER TRUCK RENAULT KRANGE440-P6X4 A/T</x:v>
      </x:c>
      <x:c r="D77" s="12" t="str">
        <x:v>WTRL44</x:v>
      </x:c>
      <x:c r="E77" s="12" t="str">
        <x:v>WTRL44G006</x:v>
      </x:c>
      <x:c r="F77" s="12" t="str">
        <x:v>WATER TRUCK</x:v>
      </x:c>
      <x:c r="G77" s="18" t="n">
        <x:v>20</x:v>
      </x:c>
      <x:c r="H77" s="12" t="str">
        <x:v>L/HM</x:v>
      </x:c>
      <x:c r="I77" s="12" t="n">
        <x:v>13</x:v>
      </x:c>
      <x:c r="J77" s="14" t="n">
        <x:v>46176</x:v>
      </x:c>
      <x:c r="K77" s="14" t="n">
        <x:v>46198</x:v>
      </x:c>
      <x:c r="L77" s="12" t="str">
        <x:v>Active</x:v>
      </x:c>
      <x:c r="M77" s="12" t="str">
        <x:v>Matched</x:v>
      </x:c>
      <x:c r="N77" t="str"/>
    </x:row>
    <x:row r="78">
      <x:c r="A78" s="12" t="str">
        <x:v>WTRL44G007</x:v>
      </x:c>
      <x:c r="B78" s="12" t="str">
        <x:v>Water Truck</x:v>
      </x:c>
      <x:c r="C78" s="12" t="str">
        <x:v>WATER TRUCK RENAULT KRANGE440-P6X4 A/T</x:v>
      </x:c>
      <x:c r="D78" s="12" t="str">
        <x:v>WTRL44</x:v>
      </x:c>
      <x:c r="E78" s="12" t="str">
        <x:v>WTRL44G007</x:v>
      </x:c>
      <x:c r="F78" s="12" t="str">
        <x:v>WATER TRUCK</x:v>
      </x:c>
      <x:c r="G78" s="18" t="n">
        <x:v>20</x:v>
      </x:c>
      <x:c r="H78" s="12" t="str">
        <x:v>L/HM</x:v>
      </x:c>
      <x:c r="I78" s="12" t="n">
        <x:v>14</x:v>
      </x:c>
      <x:c r="J78" s="14" t="n">
        <x:v>46174</x:v>
      </x:c>
      <x:c r="K78" s="14" t="n">
        <x:v>46196</x:v>
      </x:c>
      <x:c r="L78" s="12" t="str">
        <x:v>Active</x:v>
      </x:c>
      <x:c r="M78" s="12" t="str">
        <x:v>Matched</x:v>
      </x:c>
      <x:c r="N78" t="str"/>
    </x:row>
  </x:sheetData>
  <x:conditionalFormatting sqref="M2:M78">
    <x:cfRule type="expression" dxfId="0" priority="1">
      <x:formula>M2="Review Standard"</x:formula>
    </x:cfRule>
    <x:cfRule type="expression" dxfId="1" priority="2">
      <x:formula>M2="Matched"</x:formula>
    </x:cfRule>
  </x:conditionalFormatting>
  <x:conditionalFormatting sqref="N2:N78">
    <x:cfRule type="expression" dxfId="2" priority="3">
      <x:formula>M2="No Standard"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a3915be35b49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" t="str">
        <x:v>Remark_Unit</x:v>
      </x:c>
      <x:c r="B1" s="6" t="str">
        <x:v>Category</x:v>
      </x:c>
      <x:c r="C1" s="6" t="str">
        <x:v>Unit_Model</x:v>
      </x:c>
      <x:c r="D1" s="6" t="str">
        <x:v>Standard_LHM</x:v>
      </x:c>
      <x:c r="E1" s="6" t="str">
        <x:v>UOM_Source</x:v>
      </x:c>
      <x:c r="F1" s="6" t="str">
        <x:v>Source</x:v>
      </x:c>
      <x:c r="G1" s="6" t="str">
        <x:v>Status</x:v>
      </x:c>
    </x:row>
    <x:row r="2">
      <x:c r="A2" s="12" t="str">
        <x:v>LVTH24</x:v>
      </x:c>
      <x:c r="B2" s="12" t="str">
        <x:v>Light Vehicle</x:v>
      </x:c>
      <x:c r="C2" s="12" t="str">
        <x:v>LV HILUX</x:v>
      </x:c>
      <x:c r="D2" s="18" t="n">
        <x:v>0.2</x:v>
      </x:c>
      <x:c r="E2" s="12" t="str">
        <x:v>L/HM or source standard</x:v>
      </x:c>
      <x:c r="F2" s="12" t="str">
        <x:v>FUEL CONSUMPTION!B:D</x:v>
      </x:c>
      <x:c r="G2" s="12" t="str">
        <x:v>Active</x:v>
      </x:c>
    </x:row>
    <x:row r="3">
      <x:c r="A3" s="12" t="str">
        <x:v>MHHN13</x:v>
      </x:c>
      <x:c r="B3" s="12" t="str">
        <x:v>Manhaul</x:v>
      </x:c>
      <x:c r="C3" s="12" t="str">
        <x:v>MANHAUL</x:v>
      </x:c>
      <x:c r="D3" s="18" t="n">
        <x:v>0.5</x:v>
      </x:c>
      <x:c r="E3" s="12" t="str">
        <x:v>L/HM or source standard</x:v>
      </x:c>
      <x:c r="F3" s="12" t="str">
        <x:v>FUEL CONSUMPTION!B:D</x:v>
      </x:c>
      <x:c r="G3" s="12" t="str">
        <x:v>Active</x:v>
      </x:c>
    </x:row>
    <x:row r="4">
      <x:c r="A4" s="12" t="str">
        <x:v>TLYM50</x:v>
      </x:c>
      <x:c r="B4" s="12" t="str">
        <x:v>Tower Lamp</x:v>
      </x:c>
      <x:c r="C4" s="12" t="str">
        <x:v>TOWER LAMP</x:v>
      </x:c>
      <x:c r="D4" s="18" t="n">
        <x:v>2</x:v>
      </x:c>
      <x:c r="E4" s="12" t="str">
        <x:v>L/HM or source standard</x:v>
      </x:c>
      <x:c r="F4" s="12" t="str">
        <x:v>FUEL CONSUMPTION!B:D</x:v>
      </x:c>
      <x:c r="G4" s="12" t="str">
        <x:v>Active</x:v>
      </x:c>
    </x:row>
    <x:row r="5">
      <x:c r="A5" s="12" t="str">
        <x:v>GSHT10</x:v>
      </x:c>
      <x:c r="B5" s="12" t="str">
        <x:v>Genset</x:v>
      </x:c>
      <x:c r="C5" s="12" t="str">
        <x:v>GENSET HARTEC 10KVA</x:v>
      </x:c>
      <x:c r="D5" s="18" t="n">
        <x:v>3</x:v>
      </x:c>
      <x:c r="E5" s="12" t="str">
        <x:v>L/HM or source standard</x:v>
      </x:c>
      <x:c r="F5" s="12" t="str">
        <x:v>FUEL CONSUMPTION!B:D</x:v>
      </x:c>
      <x:c r="G5" s="12" t="str">
        <x:v>Active</x:v>
      </x:c>
    </x:row>
    <x:row r="6">
      <x:c r="A6" s="12" t="str">
        <x:v>ACKS50</x:v>
      </x:c>
      <x:c r="B6" s="12" t="str">
        <x:v>Air Compressor</x:v>
      </x:c>
      <x:c r="C6" s="12" t="str">
        <x:v>AIR COMPRESSOR</x:v>
      </x:c>
      <x:c r="D6" s="18" t="n">
        <x:v>8</x:v>
      </x:c>
      <x:c r="E6" s="12" t="str">
        <x:v>L/HM or source standard</x:v>
      </x:c>
      <x:c r="F6" s="12" t="str">
        <x:v>FUEL CONSUMPTION!B:D</x:v>
      </x:c>
      <x:c r="G6" s="12" t="str">
        <x:v>Active</x:v>
      </x:c>
    </x:row>
    <x:row r="7">
      <x:c r="A7" s="12" t="str">
        <x:v>GSHT60</x:v>
      </x:c>
      <x:c r="B7" s="12" t="str">
        <x:v>Genset</x:v>
      </x:c>
      <x:c r="C7" s="12" t="str">
        <x:v>GENSET HARTEC 60KVA</x:v>
      </x:c>
      <x:c r="D7" s="18" t="n">
        <x:v>10</x:v>
      </x:c>
      <x:c r="E7" s="12" t="str">
        <x:v>L/HM or source standard</x:v>
      </x:c>
      <x:c r="F7" s="12" t="str">
        <x:v>FUEL CONSUMPTION!B:D</x:v>
      </x:c>
      <x:c r="G7" s="12" t="str">
        <x:v>Active</x:v>
      </x:c>
    </x:row>
    <x:row r="8">
      <x:c r="A8" s="12" t="str">
        <x:v>FTRL44</x:v>
      </x:c>
      <x:c r="B8" s="12" t="str">
        <x:v>Fuel Truck</x:v>
      </x:c>
      <x:c r="C8" s="12" t="str">
        <x:v>FUEL TRUCK</x:v>
      </x:c>
      <x:c r="D8" s="18" t="n">
        <x:v>13</x:v>
      </x:c>
      <x:c r="E8" s="12" t="str">
        <x:v>L/HM or source standard</x:v>
      </x:c>
      <x:c r="F8" s="12" t="str">
        <x:v>FUEL CONSUMPTION!B:D</x:v>
      </x:c>
      <x:c r="G8" s="12" t="str">
        <x:v>Active</x:v>
      </x:c>
    </x:row>
    <x:row r="9">
      <x:c r="A9" s="12" t="str">
        <x:v>GSHT25</x:v>
      </x:c>
      <x:c r="B9" s="12" t="str">
        <x:v>Genset</x:v>
      </x:c>
      <x:c r="C9" s="12" t="str">
        <x:v>GENSET HARTEC 250KVA</x:v>
      </x:c>
      <x:c r="D9" s="18" t="n">
        <x:v>15</x:v>
      </x:c>
      <x:c r="E9" s="12" t="str">
        <x:v>L/HM or source standard</x:v>
      </x:c>
      <x:c r="F9" s="12" t="str">
        <x:v>FUEL CONSUMPTION!B:D</x:v>
      </x:c>
      <x:c r="G9" s="12" t="str">
        <x:v>Active</x:v>
      </x:c>
    </x:row>
    <x:row r="10">
      <x:c r="A10" s="12" t="str">
        <x:v>VRVV11</x:v>
      </x:c>
      <x:c r="B10" s="12" t="str">
        <x:v>Compactor</x:v>
      </x:c>
      <x:c r="C10" s="12" t="str">
        <x:v>COMPACTOR</x:v>
      </x:c>
      <x:c r="D10" s="18" t="n">
        <x:v>15</x:v>
      </x:c>
      <x:c r="E10" s="12" t="str">
        <x:v>L/HM or source standard</x:v>
      </x:c>
      <x:c r="F10" s="12" t="str">
        <x:v>FUEL CONSUMPTION!B:D</x:v>
      </x:c>
      <x:c r="G10" s="12" t="str">
        <x:v>Active</x:v>
      </x:c>
    </x:row>
    <x:row r="11">
      <x:c r="A11" s="12" t="str">
        <x:v>SLRL48</x:v>
      </x:c>
      <x:c r="B11" s="12" t="str">
        <x:v>Self Loader</x:v>
      </x:c>
      <x:c r="C11" s="12" t="str">
        <x:v>SELF LOADER</x:v>
      </x:c>
      <x:c r="D11" s="18" t="n">
        <x:v>20</x:v>
      </x:c>
      <x:c r="E11" s="12" t="str">
        <x:v>L/HM or source standard</x:v>
      </x:c>
      <x:c r="F11" s="12" t="str">
        <x:v>FUEL CONSUMPTION!B:D</x:v>
      </x:c>
      <x:c r="G11" s="12" t="str">
        <x:v>Active</x:v>
      </x:c>
    </x:row>
    <x:row r="12">
      <x:c r="A12" s="12" t="str">
        <x:v>CTRL44</x:v>
      </x:c>
      <x:c r="B12" s="12" t="str">
        <x:v>Crane Truck</x:v>
      </x:c>
      <x:c r="C12" s="12" t="str">
        <x:v>CRANE TRUCK</x:v>
      </x:c>
      <x:c r="D12" s="18" t="n">
        <x:v>20</x:v>
      </x:c>
      <x:c r="E12" s="12" t="str">
        <x:v>L/HM or source standard</x:v>
      </x:c>
      <x:c r="F12" s="12" t="str">
        <x:v>FUEL CONSUMPTION!B:D</x:v>
      </x:c>
      <x:c r="G12" s="12" t="str">
        <x:v>Active</x:v>
      </x:c>
    </x:row>
    <x:row r="13">
      <x:c r="A13" s="12" t="str">
        <x:v>LTRL44</x:v>
      </x:c>
      <x:c r="B13" s="12" t="str">
        <x:v>Lube Truck</x:v>
      </x:c>
      <x:c r="C13" s="12" t="str">
        <x:v>LUBE TRUCK</x:v>
      </x:c>
      <x:c r="D13" s="18" t="n">
        <x:v>20</x:v>
      </x:c>
      <x:c r="E13" s="12" t="str">
        <x:v>L/HM or source standard</x:v>
      </x:c>
      <x:c r="F13" s="12" t="str">
        <x:v>FUEL CONSUMPTION!B:D</x:v>
      </x:c>
      <x:c r="G13" s="12" t="str">
        <x:v>Active</x:v>
      </x:c>
    </x:row>
    <x:row r="14">
      <x:c r="A14" s="12" t="str">
        <x:v>WTRL44</x:v>
      </x:c>
      <x:c r="B14" s="12" t="str">
        <x:v>Water Truck</x:v>
      </x:c>
      <x:c r="C14" s="12" t="str">
        <x:v>WATER TRUCK</x:v>
      </x:c>
      <x:c r="D14" s="18" t="n">
        <x:v>20</x:v>
      </x:c>
      <x:c r="E14" s="12" t="str">
        <x:v>L/HM or source standard</x:v>
      </x:c>
      <x:c r="F14" s="12" t="str">
        <x:v>FUEL CONSUMPTION!B:D</x:v>
      </x:c>
      <x:c r="G14" s="12" t="str">
        <x:v>Active</x:v>
      </x:c>
    </x:row>
    <x:row r="15">
      <x:c r="A15" s="12" t="str">
        <x:v>MGSD20</x:v>
      </x:c>
      <x:c r="B15" s="12" t="str">
        <x:v>Motor Grader</x:v>
      </x:c>
      <x:c r="C15" s="12" t="str">
        <x:v>MOTOR GREDER</x:v>
      </x:c>
      <x:c r="D15" s="18" t="n">
        <x:v>20</x:v>
      </x:c>
      <x:c r="E15" s="12" t="str">
        <x:v>L/HM or source standard</x:v>
      </x:c>
      <x:c r="F15" s="12" t="str">
        <x:v>FUEL CONSUMPTION!B:D</x:v>
      </x:c>
      <x:c r="G15" s="12" t="str">
        <x:v>Active</x:v>
      </x:c>
    </x:row>
    <x:row r="16">
      <x:c r="A16" s="12" t="str">
        <x:v>STRL44</x:v>
      </x:c>
      <x:c r="B16" s="12" t="str">
        <x:v>Dump Truck</x:v>
      </x:c>
      <x:c r="C16" s="12" t="str">
        <x:v>DUMP TRUCK KRANGE440</x:v>
      </x:c>
      <x:c r="D16" s="18" t="n">
        <x:v>20</x:v>
      </x:c>
      <x:c r="E16" s="12" t="str">
        <x:v>L/HM or source standard</x:v>
      </x:c>
      <x:c r="F16" s="12" t="str">
        <x:v>FUEL CONSUMPTION!B:D</x:v>
      </x:c>
      <x:c r="G16" s="12" t="str">
        <x:v>Active</x:v>
      </x:c>
    </x:row>
    <x:row r="17">
      <x:c r="A17" s="12" t="str">
        <x:v>STDF50</x:v>
      </x:c>
      <x:c r="B17" s="12" t="str">
        <x:v>Support</x:v>
      </x:c>
      <x:c r="C17" s="12" t="str">
        <x:v>DONFENG</x:v>
      </x:c>
      <x:c r="D17" s="18" t="n">
        <x:v>20</x:v>
      </x:c>
      <x:c r="E17" s="12" t="str">
        <x:v>L/HM or source standard</x:v>
      </x:c>
      <x:c r="F17" s="12" t="str">
        <x:v>FUEL CONSUMPTION!B:D</x:v>
      </x:c>
      <x:c r="G17" s="12" t="str">
        <x:v>Active</x:v>
      </x:c>
    </x:row>
    <x:row r="18">
      <x:c r="A18" s="12" t="str">
        <x:v>STRL50</x:v>
      </x:c>
      <x:c r="B18" s="12" t="str">
        <x:v>Dump Truck</x:v>
      </x:c>
      <x:c r="C18" s="12" t="str">
        <x:v>DUMP TRUCK KRANGE500</x:v>
      </x:c>
      <x:c r="D18" s="18" t="n">
        <x:v>20</x:v>
      </x:c>
      <x:c r="E18" s="12" t="str">
        <x:v>L/HM or source standard</x:v>
      </x:c>
      <x:c r="F18" s="12" t="str">
        <x:v>FUEL CONSUMPTION!B:D</x:v>
      </x:c>
      <x:c r="G18" s="12" t="str">
        <x:v>Active</x:v>
      </x:c>
    </x:row>
    <x:row r="19">
      <x:c r="A19" s="12" t="str">
        <x:v>EXVV21</x:v>
      </x:c>
      <x:c r="B19" s="12" t="str">
        <x:v>Excavator</x:v>
      </x:c>
      <x:c r="C19" s="12" t="str">
        <x:v>EXCAVATOR 210D</x:v>
      </x:c>
      <x:c r="D19" s="18" t="n">
        <x:v>20</x:v>
      </x:c>
      <x:c r="E19" s="12" t="str">
        <x:v>L/HM or source standard</x:v>
      </x:c>
      <x:c r="F19" s="12" t="str">
        <x:v>FUEL CONSUMPTION!B:D</x:v>
      </x:c>
      <x:c r="G19" s="12" t="str">
        <x:v>Active</x:v>
      </x:c>
    </x:row>
    <x:row r="20">
      <x:c r="A20" s="12" t="str">
        <x:v>GSHT40</x:v>
      </x:c>
      <x:c r="B20" s="12" t="str">
        <x:v>Genset</x:v>
      </x:c>
      <x:c r="C20" s="12" t="str">
        <x:v>GENSET HARTEC 400KVA</x:v>
      </x:c>
      <x:c r="D20" s="18" t="n">
        <x:v>25</x:v>
      </x:c>
      <x:c r="E20" s="12" t="str">
        <x:v>L/HM or source standard</x:v>
      </x:c>
      <x:c r="F20" s="12" t="str">
        <x:v>FUEL CONSUMPTION!B:D</x:v>
      </x:c>
      <x:c r="G20" s="12" t="str">
        <x:v>Active</x:v>
      </x:c>
    </x:row>
    <x:row r="21">
      <x:c r="A21" s="12" t="str">
        <x:v>EXVV35</x:v>
      </x:c>
      <x:c r="B21" s="12" t="str">
        <x:v>Excavator</x:v>
      </x:c>
      <x:c r="C21" s="12" t="str">
        <x:v>EXCAVATOR 350D</x:v>
      </x:c>
      <x:c r="D21" s="18" t="n">
        <x:v>25</x:v>
      </x:c>
      <x:c r="E21" s="12" t="str">
        <x:v>L/HM or source standard</x:v>
      </x:c>
      <x:c r="F21" s="12" t="str">
        <x:v>FUEL CONSUMPTION!B:D</x:v>
      </x:c>
      <x:c r="G21" s="12" t="str">
        <x:v>Active</x:v>
      </x:c>
    </x:row>
    <x:row r="22">
      <x:c r="A22" s="12" t="str">
        <x:v>BDKM85</x:v>
      </x:c>
      <x:c r="B22" s="12" t="str">
        <x:v>Dozer</x:v>
      </x:c>
      <x:c r="C22" s="12" t="str">
        <x:v>BULDOZZER</x:v>
      </x:c>
      <x:c r="D22" s="18" t="n">
        <x:v>30</x:v>
      </x:c>
      <x:c r="E22" s="12" t="str">
        <x:v>L/HM or source standard</x:v>
      </x:c>
      <x:c r="F22" s="12" t="str">
        <x:v>FUEL CONSUMPTION!B:D</x:v>
      </x:c>
      <x:c r="G22" s="1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f5bbdc688f9745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</x:cols>
  <x:sheetData>
    <x:row r="1">
      <x:c r="A1" s="6" t="str">
        <x:v>CHECK MASTER DATA</x:v>
      </x:c>
      <x:c r="B1" s="6" t="str">
        <x:v>VALUE</x:v>
      </x:c>
    </x:row>
    <x:row r="2">
      <x:c r="A2" s="12" t="str">
        <x:v>Clean fuel transactions</x:v>
      </x:c>
      <x:c r="B2" s="12" t="n">
        <x:v>1378</x:v>
      </x:c>
    </x:row>
    <x:row r="3">
      <x:c r="A3" s="12" t="str">
        <x:v>Unique units / Master Unit</x:v>
      </x:c>
      <x:c r="B3" s="12" t="n">
        <x:v>77</x:v>
      </x:c>
    </x:row>
    <x:row r="4">
      <x:c r="A4" s="12" t="str">
        <x:v>Fuel consumption standards</x:v>
      </x:c>
      <x:c r="B4" s="12" t="n">
        <x:v>21</x:v>
      </x:c>
    </x:row>
    <x:row r="5">
      <x:c r="A5" s="12" t="str">
        <x:v>Units matched to standard</x:v>
      </x:c>
      <x:c r="B5" s="12" t="n">
        <x:v>72</x:v>
      </x:c>
    </x:row>
    <x:row r="6">
      <x:c r="A6" s="12" t="str">
        <x:v>Units needing standard review</x:v>
      </x:c>
      <x:c r="B6" s="12" t="n">
        <x:v>5</x:v>
      </x:c>
    </x:row>
    <x:row r="7">
      <x:c r="A7" s="12" t="str">
        <x:v>Total fuel issued</x:v>
      </x:c>
      <x:c r="B7" s="16" t="n">
        <x:v>170011</x:v>
      </x:c>
    </x:row>
    <x:row r="8">
      <x:c r="A8" s="12" t="str">
        <x:v>First transaction date</x:v>
      </x:c>
      <x:c r="B8" s="14" t="n">
        <x:v>46174</x:v>
      </x:c>
    </x:row>
    <x:row r="9">
      <x:c r="A9" s="12" t="str">
        <x:v>Last transaction date</x:v>
      </x:c>
      <x:c r="B9" s="14" t="n">
        <x:v>46200</x:v>
      </x:c>
    </x:row>
    <x:row r="11">
      <x:c r="A11" s="26" t="str">
        <x:v>DASHBOARD READINESS CHECK</x:v>
      </x:c>
      <x:c r="B11" s="26" t="str">
        <x:v>VALUE</x:v>
      </x:c>
    </x:row>
    <x:row r="12">
      <x:c r="A12" s="12" t="str">
        <x:v>Units with matched standard</x:v>
      </x:c>
      <x:c r="B12" s="12" t="n">
        <x:v>72</x:v>
      </x:c>
    </x:row>
    <x:row r="13">
      <x:c r="A13" s="12" t="str">
        <x:v>Units without source standard</x:v>
      </x:c>
      <x:c r="B13" s="12" t="n">
        <x:v>5</x:v>
      </x:c>
    </x:row>
    <x:row r="14">
      <x:c r="A14" s="12" t="str">
        <x:v>Transactions with standard</x:v>
      </x:c>
      <x:c r="B14" s="12" t="n">
        <x:f>COUNT(Fuel_Usage_Clean!AA2:AA1379)</x:f>
        <x:v>1347</x:v>
      </x:c>
    </x:row>
    <x:row r="15">
      <x:c r="A15" s="12" t="str">
        <x:v>Transactions without standard</x:v>
      </x:c>
      <x:c r="B15" s="12" t="n">
        <x:f>COUNTBLANK(Fuel_Usage_Clean!AA2:AA1379)</x:f>
        <x:v>31</x:v>
      </x:c>
    </x:row>
    <x:row r="16">
      <x:c r="A16" s="12" t="str">
        <x:v>Efficient transactions</x:v>
      </x:c>
      <x:c r="B16" s="12" t="n">
        <x:f>COUNTIF(Fuel_Usage_Clean!AD2:AD1379,"EFFICIENT")</x:f>
        <x:v>815</x:v>
      </x:c>
    </x:row>
    <x:row r="17">
      <x:c r="A17" s="12" t="str">
        <x:v>Normal transactions</x:v>
      </x:c>
      <x:c r="B17" s="12" t="n">
        <x:f>COUNTIF(Fuel_Usage_Clean!AD2:AD1379,"NORMAL")</x:f>
        <x:v>208</x:v>
      </x:c>
    </x:row>
    <x:row r="18">
      <x:c r="A18" s="12" t="str">
        <x:v>Warning transactions</x:v>
      </x:c>
      <x:c r="B18" s="12" t="n">
        <x:f>COUNTIF(Fuel_Usage_Clean!AD2:AD1379,"WARNING")</x:f>
        <x:v>70</x:v>
      </x:c>
    </x:row>
    <x:row r="19">
      <x:c r="A19" s="12" t="str">
        <x:v>Over consumption transactions</x:v>
      </x:c>
      <x:c r="B19" s="12" t="n">
        <x:f>COUNTIF(Fuel_Usage_Clean!AD2:AD1379,"OVER CONSUMPTION")</x:f>
        <x:v>254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6" hidden="0" customWidth="1"/>
  </x:cols>
  <x:sheetData>
    <x:row r="1">
      <x:c r="A1" s="6" t="str">
        <x:v>FUEL CONSUMPTION STATUS RULE</x:v>
      </x:c>
      <x:c r="B1" s="6" t="str">
        <x:v>VALUE</x:v>
      </x:c>
      <x:c r="C1" s="6" t="str">
        <x:v>DESCRIPTION</x:v>
      </x:c>
    </x:row>
    <x:row r="2">
      <x:c r="A2" t="str">
        <x:v>Efficient_Max_Variance_Pct</x:v>
      </x:c>
      <x:c r="B2" s="20" t="n">
        <x:v>-0.1</x:v>
      </x:c>
      <x:c r="C2" t="str">
        <x:v>Variance &lt;= -10% = Efficient</x:v>
      </x:c>
    </x:row>
    <x:row r="3">
      <x:c r="A3" t="str">
        <x:v>Normal_Max_Variance_Pct</x:v>
      </x:c>
      <x:c r="B3" s="20" t="n">
        <x:v>0.1</x:v>
      </x:c>
      <x:c r="C3" t="str">
        <x:v>Variance &gt; -10% and &lt;= +10% = Normal</x:v>
      </x:c>
    </x:row>
    <x:row r="4">
      <x:c r="A4" t="str">
        <x:v>Warning_Max_Variance_Pct</x:v>
      </x:c>
      <x:c r="B4" s="20" t="n">
        <x:v>0.2</x:v>
      </x:c>
      <x:c r="C4" t="str">
        <x:v>Variance &gt; +10% and &lt;= +20% = Warning</x:v>
      </x:c>
    </x:row>
    <x:row r="5">
      <x:c r="A5" t="str">
        <x:v>Over_Consumption</x:v>
      </x:c>
      <x:c r="B5" s="20" t="n">
        <x:v>0.2</x:v>
      </x:c>
      <x:c r="C5" t="str">
        <x:v>Variance &gt; +20% = Over Consumption</x:v>
      </x:c>
    </x:row>
    <x:row r="6">
      <x:c r="A6" t="str">
        <x:v>No_Standard_Status</x:v>
      </x:c>
      <x:c r="B6" t="str"/>
      <x:c r="C6" t="str">
        <x:v>If Standard L/HM is blank, status = NO STANDARD</x:v>
      </x:c>
    </x:row>
  </x:sheetData>
  <x:pageMargins left="0.7" right="0.7" top="0.75" bottom="0.75" header="0.3" footer="0.3"/>
</x:worksheet>
</file>